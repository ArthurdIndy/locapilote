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ueil" sheetId="1" state="visible" r:id="rId3"/>
    <sheet name="Synthèse" sheetId="2" state="visible" r:id="rId4"/>
    <sheet name="Journal" sheetId="3" state="visible" r:id="rId5"/>
    <sheet name="Biens" sheetId="4" state="visible" r:id="rId6"/>
    <sheet name="Catégories" sheetId="5" state="visible" r:id="rId7"/>
    <sheet name="Prêts" sheetId="6" state="visible" r:id="rId8"/>
    <sheet name="Échéancier" sheetId="7" state="visible" r:id="rId9"/>
    <sheet name="Amortissements" sheetId="8" state="visible" r:id="rId10"/>
    <sheet name="Revente" sheetId="9" state="visible" r:id="rId11"/>
    <sheet name="Vendre quand" sheetId="10" state="visible" r:id="rId12"/>
    <sheet name="Échéances" sheetId="11" state="visible" r:id="rId13"/>
    <sheet name="Contrôles" sheetId="12" state="visible" r:id="rId14"/>
    <sheet name="Listes" sheetId="13" state="visible" r:id="rId15"/>
  </sheets>
  <definedNames>
    <definedName function="false" hidden="true" localSheetId="6" name="_xlnm._FilterDatabase" vbProcedure="false">Échéancier!$A$4:$K$300</definedName>
    <definedName function="false" hidden="true" localSheetId="2" name="_xlnm._FilterDatabase" vbProcedure="false">Journal!$A$4:$O$1004</definedName>
    <definedName function="false" hidden="false" name="lst_biens" vbProcedure="false">Biens!$A$5:$A$30</definedName>
    <definedName function="false" hidden="false" name="lst_categories" vbProcedure="false">Catégories!$A$5:$A$60</definedName>
    <definedName function="false" hidden="false" name="lst_comptes" vbProcedure="false">Listes!$A$5:$A$20</definedName>
    <definedName function="false" hidden="false" name="lst_regimes" vbProcedure="false">Listes!$B$5:$B$20</definedName>
    <definedName function="false" hidden="false" name="lst_types" vbProcedure="false">Listes!$C$5:$C$20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<sst xmlns="http://schemas.openxmlformats.org/spreadsheetml/2006/main" count="2680" uniqueCount="691">
  <si>
    <t xml:space="preserve">Pilotage locatif</t>
  </si>
  <si>
    <t xml:space="preserve">Outil de suivi d'un ou plusieurs biens en location. Version 1.2, 26/10/2026.</t>
  </si>
  <si>
    <t xml:space="preserve">Comment l'utiliser</t>
  </si>
  <si>
    <t xml:space="preserve">1. Biens</t>
  </si>
  <si>
    <t xml:space="preserve">Renseignez une ligne par bien (identifiant, régime fiscal, coût d'acquisition, date de mise en location).</t>
  </si>
  <si>
    <t xml:space="preserve">2. Journal</t>
  </si>
  <si>
    <t xml:space="preserve">Saisissez chaque mouvement : relevé de l'agence (montants bruts : loyers, honoraires, travaux) et dépenses payées depuis la banque. Le prêt ne se saisit pas ici.</t>
  </si>
  <si>
    <t xml:space="preserve">3. Prêts et Échéancier</t>
  </si>
  <si>
    <t xml:space="preserve">Une ligne par prêt, et le tableau d'amortissement de la banque collé dans l'Échéancier.</t>
  </si>
  <si>
    <t xml:space="preserve">4. Amortissements</t>
  </si>
  <si>
    <t xml:space="preserve">Le plan d'amortissement du comptable, et chaque nouvel équipement immobilisé.</t>
  </si>
  <si>
    <t xml:space="preserve">5. Synthèse</t>
  </si>
  <si>
    <t xml:space="preserve">Choisissez le bien en C3 : résultat fiscal estimé, cash-flow et rentabilité par année.</t>
  </si>
  <si>
    <t xml:space="preserve">6. Revente et Vendre quand</t>
  </si>
  <si>
    <t xml:space="preserve">Revente : détail de la somme perçue et de la plus-value pour une date. Vendre quand : comparaison de trois dates de vente (somme nette, impôt, effort de trésorerie, gain total et TRI depuis l'achat).</t>
  </si>
  <si>
    <t xml:space="preserve">7. Contrôles</t>
  </si>
  <si>
    <t xml:space="preserve">Vérifiez que tout est « OK » ou « Écart expliqué ».</t>
  </si>
  <si>
    <t xml:space="preserve">Code couleur</t>
  </si>
  <si>
    <t xml:space="preserve">Fond jaune, texte bleu</t>
  </si>
  <si>
    <t xml:space="preserve">Cellule à saisir</t>
  </si>
  <si>
    <t xml:space="preserve">Fond gris</t>
  </si>
  <si>
    <t xml:space="preserve">Calcul automatique : ne pas modifier</t>
  </si>
  <si>
    <t xml:space="preserve">Texte noir</t>
  </si>
  <si>
    <t xml:space="preserve">Formule</t>
  </si>
  <si>
    <t xml:space="preserve">Ce qui change par rapport au fichier d'origine</t>
  </si>
  <si>
    <t xml:space="preserve">Un seul journal</t>
  </si>
  <si>
    <t xml:space="preserve">Les deux listings (dépenses, recettes) fusionnent en une table, avec bien, compte, catégorie, pièce justificative.</t>
  </si>
  <si>
    <t xml:space="preserve">Référentiels</t>
  </si>
  <si>
    <t xml:space="preserve">Biens, catégories (avec traitement fiscal LMNP) et listes déroulantes : plus de codes tapés à la main, plus de montants qui disparaissent des totaux.</t>
  </si>
  <si>
    <t xml:space="preserve">Multi-biens</t>
  </si>
  <si>
    <t xml:space="preserve">Chaque ligne est rattachée à un bien ; la synthèse se filtre par bien.</t>
  </si>
  <si>
    <t xml:space="preserve">Prêt</t>
  </si>
  <si>
    <t xml:space="preserve">Un seul échéancier pour tous les prêts (au lieu d'un onglet par prêt aux mises en page différentes) ; il fait foi pour le capital, les intérêts et l'assurance.</t>
  </si>
  <si>
    <t xml:space="preserve">Fiscalité LMNP réel</t>
  </si>
  <si>
    <t xml:space="preserve">Nouvel onglet Amortissements et calcul du résultat fiscal avec report des amortissements, absents du fichier d'origine.</t>
  </si>
  <si>
    <t xml:space="preserve">Synthèse</t>
  </si>
  <si>
    <t xml:space="preserve">Recap et Ratio Trésorerie remplacés par une synthèse unique : résultat fiscal, cash-flow, rendements, capital restant dû.</t>
  </si>
  <si>
    <t xml:space="preserve">Revente</t>
  </si>
  <si>
    <t xml:space="preserve">Simulation corrigée : capital restant dû exact, somme nette, cash-flow cumulé, amortissements à réintégrer.</t>
  </si>
  <si>
    <t xml:space="preserve">Nouveaux onglets</t>
  </si>
  <si>
    <t xml:space="preserve">Échéances (rappels annuels) et Contrôles (rapprochement avec l'agence et les comptes du comptable).</t>
  </si>
  <si>
    <t xml:space="preserve">Erreurs corrigées</t>
  </si>
  <si>
    <t xml:space="preserve">Addition capital restant dû + mensualité, intérêts décalés d'un mois, capital du prêt 1 jamais compté, formules limitées à 93 lignes, cumul fiscal faux, valeurs en dur.</t>
  </si>
  <si>
    <t xml:space="preserve">Données de départ</t>
  </si>
  <si>
    <t xml:space="preserve">Contenu</t>
  </si>
  <si>
    <t xml:space="preserve">Mise en location du 18/05/2024 au 25/10/2026 : grand livre de l'agence (ligne à ligne), dépenses payées depuis le compte BANQUE, assurance PNO d'après les comptes annuels, échéancier BANQUE complet, plan d'amortissement déduit des comptes 2024 et 2025.</t>
  </si>
  <si>
    <t xml:space="preserve">Avertissement</t>
  </si>
  <si>
    <t xml:space="preserve">Outil de suivi, pas un conseil fiscal. Les règles fiscales sont à confirmer avec un expert-comptable ou sur impots.gouv.fr.</t>
  </si>
  <si>
    <t xml:space="preserve">Nouveautés de la version 1.2</t>
  </si>
  <si>
    <t xml:space="preserve">Vendre quand</t>
  </si>
  <si>
    <t xml:space="preserve">Nouvel onglet : trois dates de vente comparées (somme nette, impôt sur la plus-value, exonération pour remploi, cash-flow d'ici la vente, gain total et TRI depuis l'achat, rendement de l'attente).</t>
  </si>
  <si>
    <t xml:space="preserve">Avant la location</t>
  </si>
  <si>
    <t xml:space="preserve">Les dépenses payées pendant l'occupation et la vacance (copropriété, taxe foncière) se saisissent dans l'onglet Vendre quand, sans fausser le résultat fiscal.</t>
  </si>
  <si>
    <t xml:space="preserve">Contrôles</t>
  </si>
  <si>
    <t xml:space="preserve">Nouveau contrôle : l'onglet Vendre quand retombe sur l'onglet Revente pour une même date et un même prix.</t>
  </si>
  <si>
    <t xml:space="preserve">Synthèse annuelle</t>
  </si>
  <si>
    <t xml:space="preserve">Tout est calculé à partir du Journal, de l'Échéancier et des Amortissements. Choisissez le bien en C3.</t>
  </si>
  <si>
    <t xml:space="preserve">Bien</t>
  </si>
  <si>
    <t xml:space="preserve">APPART-01</t>
  </si>
  <si>
    <t xml:space="preserve">Données à jour au</t>
  </si>
  <si>
    <t xml:space="preserve">Mis en location le</t>
  </si>
  <si>
    <t xml:space="preserve">Rubrique</t>
  </si>
  <si>
    <t xml:space="preserve">1. Résultat fiscal estimé (LMNP réel)</t>
  </si>
  <si>
    <t xml:space="preserve">Loyers hors charges</t>
  </si>
  <si>
    <t xml:space="preserve">Charges refacturées au locataire</t>
  </si>
  <si>
    <t xml:space="preserve">Autres recettes</t>
  </si>
  <si>
    <t xml:space="preserve">Total des recettes imposables</t>
  </si>
  <si>
    <t xml:space="preserve">Frais de gestion (agence, comptable)</t>
  </si>
  <si>
    <t xml:space="preserve">Copropriété</t>
  </si>
  <si>
    <t xml:space="preserve">Assurances</t>
  </si>
  <si>
    <t xml:space="preserve">Impôts et taxes</t>
  </si>
  <si>
    <t xml:space="preserve">Entretien et petit équipement</t>
  </si>
  <si>
    <t xml:space="preserve">Autres charges</t>
  </si>
  <si>
    <t xml:space="preserve">Intérêts d'emprunt (période louée)</t>
  </si>
  <si>
    <t xml:space="preserve">Assurance emprunteur (période louée)</t>
  </si>
  <si>
    <t xml:space="preserve">Total des charges déductibles</t>
  </si>
  <si>
    <t xml:space="preserve">Résultat avant amortissements</t>
  </si>
  <si>
    <t xml:space="preserve">Dotations aux amortissements de l'année</t>
  </si>
  <si>
    <t xml:space="preserve">Amortissements en report (début d'année)</t>
  </si>
  <si>
    <t xml:space="preserve">Amortissements utilisés</t>
  </si>
  <si>
    <t xml:space="preserve">Un amortissement ne peut pas créer de déficit : l'excédent est reporté sans limite de durée.</t>
  </si>
  <si>
    <t xml:space="preserve">Amortissements en report (fin d'année, calcul de l'outil)</t>
  </si>
  <si>
    <t xml:space="preserve">Année en cours : estimation, la dotation est annuelle alors que les recettes ne sont saisies que jusqu'à la date de mise à jour.</t>
  </si>
  <si>
    <t xml:space="preserve">Résultat fiscal estimé</t>
  </si>
  <si>
    <t xml:space="preserve">Négatif = déficit imputable sur les revenus de location meublée des 10 années suivantes.</t>
  </si>
  <si>
    <t xml:space="preserve">Dépenses à qualifier (non retenues)</t>
  </si>
  <si>
    <t xml:space="preserve">À valider avec le comptable (onglet Journal, lignes surlignées).</t>
  </si>
  <si>
    <t xml:space="preserve">Investissements de l'année (à amortir)</t>
  </si>
  <si>
    <t xml:space="preserve">À reporter dans l'onglet Amortissements.</t>
  </si>
  <si>
    <t xml:space="preserve">Stock reporté retenu par le comptable (comptes déposés)</t>
  </si>
  <si>
    <t xml:space="preserve">À saisir chaque année depuis les comptes du comptable. S'il est renseigné, c'est ce stock qui sert de point de départ l'année suivante (il fait foi pour la déclaration).</t>
  </si>
  <si>
    <t xml:space="preserve">2. Trésorerie (cash-flow)</t>
  </si>
  <si>
    <t xml:space="preserve">Encaissements (recettes)</t>
  </si>
  <si>
    <t xml:space="preserve">Dépenses payées (hors prêt)</t>
  </si>
  <si>
    <t xml:space="preserve">Échéances de prêt (période louée)</t>
  </si>
  <si>
    <t xml:space="preserve">dont capital remboursé</t>
  </si>
  <si>
    <t xml:space="preserve">Cash-flow</t>
  </si>
  <si>
    <t xml:space="preserve">Mois de location sur la période</t>
  </si>
  <si>
    <t xml:space="preserve">Jusqu'à la fin du mois de la date de mise à jour (C4), les loyers étant payés d'avance.</t>
  </si>
  <si>
    <t xml:space="preserve">Cash-flow mensuel moyen</t>
  </si>
  <si>
    <t xml:space="preserve">Enrichissement (cash-flow + capital remboursé)</t>
  </si>
  <si>
    <t xml:space="preserve">3. Rentabilité</t>
  </si>
  <si>
    <t xml:space="preserve">Coût total d'acquisition</t>
  </si>
  <si>
    <t xml:space="preserve">Loyers hors charges annualisés</t>
  </si>
  <si>
    <t xml:space="preserve">Rendement brut</t>
  </si>
  <si>
    <t xml:space="preserve">Rendement net (avant financement)</t>
  </si>
  <si>
    <t xml:space="preserve">Recettes moins charges hors intérêts, annualisées, rapportées au coût d'acquisition.</t>
  </si>
  <si>
    <t xml:space="preserve">Capital restant dû au 31/12</t>
  </si>
  <si>
    <t xml:space="preserve">Valeur estimée moins capital restant dû</t>
  </si>
  <si>
    <t xml:space="preserve">Ce tableau est un outil de suivi, pas un conseil fiscal. Les règles (amortissements, déficits, catégories déductibles) sont à confirmer avec votre expert-comptable ou sur impots.gouv.fr.</t>
  </si>
  <si>
    <t xml:space="preserve">Journal des mouvements</t>
  </si>
  <si>
    <t xml:space="preserve">Une ligne par mouvement d'argent (agence, banque ou autre). Montant toujours positif, sauf annulation ou remise. Saisissez les colonnes A, C à G et M à O : les colonnes grises se calculent.</t>
  </si>
  <si>
    <t xml:space="preserve">Date</t>
  </si>
  <si>
    <t xml:space="preserve">Année</t>
  </si>
  <si>
    <t xml:space="preserve">Compte</t>
  </si>
  <si>
    <t xml:space="preserve">Catégorie</t>
  </si>
  <si>
    <t xml:space="preserve">Libellé</t>
  </si>
  <si>
    <t xml:space="preserve">Montant</t>
  </si>
  <si>
    <t xml:space="preserve">Sens</t>
  </si>
  <si>
    <t xml:space="preserve">Traitement fiscal</t>
  </si>
  <si>
    <t xml:space="preserve">Groupe</t>
  </si>
  <si>
    <t xml:space="preserve">Montant au résultat</t>
  </si>
  <si>
    <t xml:space="preserve">Flux de trésorerie</t>
  </si>
  <si>
    <t xml:space="preserve">Pièce justificative</t>
  </si>
  <si>
    <t xml:space="preserve">Source</t>
  </si>
  <si>
    <t xml:space="preserve">Commentaire</t>
  </si>
  <si>
    <t xml:space="preserve">Agence</t>
  </si>
  <si>
    <t xml:space="preserve">Honoraires de mise en location</t>
  </si>
  <si>
    <t xml:space="preserve">HONORAIRES EDL</t>
  </si>
  <si>
    <t xml:space="preserve">Bien/04_Agence/2024-05_2026-11_AGENCE_Grand-livre-proprietaire.pdf</t>
  </si>
  <si>
    <t xml:space="preserve">Grand livre agence</t>
  </si>
  <si>
    <t xml:space="preserve">TVA HONORAIRES EDL</t>
  </si>
  <si>
    <t xml:space="preserve">HONORAIRES LOCATION</t>
  </si>
  <si>
    <t xml:space="preserve">TVA HONORAIRES LOCATION</t>
  </si>
  <si>
    <t xml:space="preserve">Loyer hors charges</t>
  </si>
  <si>
    <t xml:space="preserve">LOYER PRINCIPAL (18/05/2024 - 31/05/2024)</t>
  </si>
  <si>
    <t xml:space="preserve">Honoraires de gestion</t>
  </si>
  <si>
    <t xml:space="preserve">HONORAIRES GESTION LOYER PRINCIPAL 6.00%</t>
  </si>
  <si>
    <t xml:space="preserve">TVA HONORAIRES GESTION LOYER PRINCIPAL</t>
  </si>
  <si>
    <t xml:space="preserve">Provisions sur charges</t>
  </si>
  <si>
    <t xml:space="preserve">PROVISIONS CHARGES (18/05/2024 - 31/05/2024)</t>
  </si>
  <si>
    <t xml:space="preserve">HONORAIRES GESTION PROVISIONS CHARGES 6.00%</t>
  </si>
  <si>
    <t xml:space="preserve">TVA HONORAIRES GESTION PROVISIONS CHARGES</t>
  </si>
  <si>
    <t xml:space="preserve">Dépôt de garantie restitué</t>
  </si>
  <si>
    <t xml:space="preserve">DEPOT DE GARANTIE LOCATAIRE - debit</t>
  </si>
  <si>
    <t xml:space="preserve">Écriture de passage à l'agence (le dépôt a été versé directement au propriétaire)</t>
  </si>
  <si>
    <t xml:space="preserve">Dépôt de garantie reçu</t>
  </si>
  <si>
    <t xml:space="preserve">DEPOT GARANTIE PROPRIETAIRE/LOCATAIRE - credit</t>
  </si>
  <si>
    <t xml:space="preserve">Banque</t>
  </si>
  <si>
    <t xml:space="preserve">VIR INST LOCATAIRE DEPOT DE GARANTIE LOCATAIRE</t>
  </si>
  <si>
    <t xml:space="preserve">Banque/Banque_Exempleville_Revenus-Depenses_2024-2026.xlsx</t>
  </si>
  <si>
    <t xml:space="preserve">Relevé BANQUE</t>
  </si>
  <si>
    <t xml:space="preserve">Dépôt de garantie versé directement par le locataire : à restituer à son départ</t>
  </si>
  <si>
    <t xml:space="preserve">À qualifier</t>
  </si>
  <si>
    <t xml:space="preserve">VIR SEPA FACTURE -</t>
  </si>
  <si>
    <t xml:space="preserve">Volet du Velux refait avant la location. Non repris par le comptable en 2024 : à lui soumettre (charge ou immobilisation)</t>
  </si>
  <si>
    <t xml:space="preserve">LOYER PRINCIPAL (01/06/2024 - 30/06/2024)</t>
  </si>
  <si>
    <t xml:space="preserve">PROVISIONS CHARGES (01/06/2024 - 30/06/2024)</t>
  </si>
  <si>
    <t xml:space="preserve">Honoraires sur travaux</t>
  </si>
  <si>
    <t xml:space="preserve">HONORAIRES GESTION SUR TRAVAUX 3%TTC</t>
  </si>
  <si>
    <t xml:space="preserve">TVA HONORAIRES GESTION SUR TRAVAUX 3%TTC</t>
  </si>
  <si>
    <t xml:space="preserve">Entretien et réparations</t>
  </si>
  <si>
    <t xml:space="preserve">ROBINET CUISINE + PORTE CHAMBRE ARTISAN D</t>
  </si>
  <si>
    <t xml:space="preserve">reparation lave-linge ARTISAN C</t>
  </si>
  <si>
    <t xml:space="preserve">HONORAIRES GESTION TRAVAUX 3% TTC (ARTISAN C)</t>
  </si>
  <si>
    <t xml:space="preserve">TVA HONORAIRES GESTION TRAVAUX 3% TTC (ARTISAN C)</t>
  </si>
  <si>
    <t xml:space="preserve">HONORAIRES GESTION TRAVAUX refrigerateur 3% TTC</t>
  </si>
  <si>
    <t xml:space="preserve">TVA HONORAIRES GESTION TRAVAUX refrigerateur 3% TTC</t>
  </si>
  <si>
    <t xml:space="preserve">Transfert sortant</t>
  </si>
  <si>
    <t xml:space="preserve">Virement de l'agence au propriétaire</t>
  </si>
  <si>
    <t xml:space="preserve">Équipement / mobilier (à amortir)</t>
  </si>
  <si>
    <t xml:space="preserve">VIR SEPA DEVIS FRIGO NEUF</t>
  </si>
  <si>
    <t xml:space="preserve">Réfrigérateur, immobilisé par le comptable</t>
  </si>
  <si>
    <t xml:space="preserve">Petit équipement</t>
  </si>
  <si>
    <t xml:space="preserve">VIR SEPA EXEMPLEVILLE - REPARATION FR</t>
  </si>
  <si>
    <t xml:space="preserve">Passé en petit équipement par le comptable</t>
  </si>
  <si>
    <t xml:space="preserve">LOYER PRINCIPAL (01/07/2024 - 31/07/2024)</t>
  </si>
  <si>
    <t xml:space="preserve">PROVISIONS CHARGES (01/07/2024 - 31/07/2024)</t>
  </si>
  <si>
    <t xml:space="preserve">LOYER PRINCIPAL (01/08/2024 - 31/08/2024)</t>
  </si>
  <si>
    <t xml:space="preserve">PROVISIONS CHARGES (01/08/2024 - 31/08/2024)</t>
  </si>
  <si>
    <t xml:space="preserve">Charges de copropriété</t>
  </si>
  <si>
    <t xml:space="preserve">VIR SEPA CHARGES COPRO</t>
  </si>
  <si>
    <t xml:space="preserve">Bien/05_Copropriete/Appels/2024-07-02_Syndic_Appel-T3-2024.pdf</t>
  </si>
  <si>
    <t xml:space="preserve">Appel T3 2024 (637,22 €) moins le crédit de régularisation 2023 (289,24 €)</t>
  </si>
  <si>
    <t xml:space="preserve">LOYER PRINCIPAL (01/09/2024 - 30/09/2024)</t>
  </si>
  <si>
    <t xml:space="preserve">PROVISIONS CHARGES (01/09/2024 - 30/09/2024)</t>
  </si>
  <si>
    <t xml:space="preserve">VIR SEPA CHARGES T4</t>
  </si>
  <si>
    <t xml:space="preserve">Bien/05_Copropriete/Appels/2024-09-24_Syndic_Appel-T4-2024.pdf</t>
  </si>
  <si>
    <t xml:space="preserve">LOYER PRINCIPAL (01/10/2024 - 31/10/2024)</t>
  </si>
  <si>
    <t xml:space="preserve">PROVISIONS CHARGES (01/10/2024 - 31/10/2024)</t>
  </si>
  <si>
    <t xml:space="preserve">Taxe foncière</t>
  </si>
  <si>
    <t xml:space="preserve">PRLV SEPA DGFIP IMPOT TF</t>
  </si>
  <si>
    <t xml:space="preserve">Taxe foncière 2024</t>
  </si>
  <si>
    <t xml:space="preserve">Taxe ordures ménagères refacturée</t>
  </si>
  <si>
    <t xml:space="preserve">ORDURES MENAGERES 2024</t>
  </si>
  <si>
    <t xml:space="preserve">HONORAIRES GESTION ORDURES MENAGERES 2024 6.00%</t>
  </si>
  <si>
    <t xml:space="preserve">TVA HONORAIRES GESTION ORDURES MENAGERES 2024</t>
  </si>
  <si>
    <t xml:space="preserve">LOYER PRINCIPAL (01/11/2024 - 30/11/2024)</t>
  </si>
  <si>
    <t xml:space="preserve">PROVISIONS CHARGES (01/11/2024 - 30/11/2024)</t>
  </si>
  <si>
    <t xml:space="preserve">LOYER PRINCIPAL (01/12/2024 - 31/12/2024)</t>
  </si>
  <si>
    <t xml:space="preserve">PROVISIONS CHARGES (01/12/2024 - 31/12/2024)</t>
  </si>
  <si>
    <t xml:space="preserve">Bien/05_Copropriete/Appels/2024-09-24_Syndic_Appel-travaux-oct-2024.pdf</t>
  </si>
  <si>
    <t xml:space="preserve">Travaux appelés en octobre 2024 (local vélos, refonte du règlement)</t>
  </si>
  <si>
    <t xml:space="preserve">Autre compte</t>
  </si>
  <si>
    <t xml:space="preserve">Assurance PNO</t>
  </si>
  <si>
    <t xml:space="preserve">Assurance propriétaire non occupant ASSUREUR 2024</t>
  </si>
  <si>
    <t xml:space="preserve">Bien/07_Comptabilite/2024_CABINET COMPTABLE_Comptes-annuels-LMNP.pdf</t>
  </si>
  <si>
    <t xml:space="preserve">Comptes annuels</t>
  </si>
  <si>
    <t xml:space="preserve">Montant retenu par le comptable, payé hors compte BANQUE (date réelle inconnue)</t>
  </si>
  <si>
    <t xml:space="preserve">LOYER PRINCIPAL (01/01/2025 - 31/01/2025)</t>
  </si>
  <si>
    <t xml:space="preserve">PROVISIONS CHARGES (01/01/2025 - 31/01/2025)</t>
  </si>
  <si>
    <t xml:space="preserve">VIR SEPA CHARGES 1 RUE EXEMPLE</t>
  </si>
  <si>
    <t xml:space="preserve">Bien/05_Copropriete/Appels/2024-12-25_Syndic_Appel-T1-2025.pdf</t>
  </si>
  <si>
    <t xml:space="preserve">LOYER PRINCIPAL (01/02/2025 - 28/02/2025)</t>
  </si>
  <si>
    <t xml:space="preserve">PROVISIONS CHARGES (01/02/2025 - 28/02/2025)</t>
  </si>
  <si>
    <t xml:space="preserve">LOYER PRINCIPAL (01/03/2025 - 31/03/2025)</t>
  </si>
  <si>
    <t xml:space="preserve">PROVISIONS CHARGES (01/03/2025 - 31/03/2025)</t>
  </si>
  <si>
    <t xml:space="preserve">Bien/05_Copropriete/Appels/2025-03-31_Syndic_Appel-T2-2025.pdf</t>
  </si>
  <si>
    <t xml:space="preserve">LOYER PRINCIPAL (01/04/2025 - 30/04/2025)</t>
  </si>
  <si>
    <t xml:space="preserve">PROVISIONS CHARGES (01/04/2025 - 30/04/2025)</t>
  </si>
  <si>
    <t xml:space="preserve">LOYER PRINCIPAL (01/05/2025 - 31/05/2025)</t>
  </si>
  <si>
    <t xml:space="preserve">PROVISIONS CHARGES (01/05/2025 - 31/05/2025)</t>
  </si>
  <si>
    <t xml:space="preserve">LOYER PRINCIPAL (01/06/2025 - 30/06/2025)</t>
  </si>
  <si>
    <t xml:space="preserve">PROVISIONS CHARGES (01/06/2025 - 30/06/2025)</t>
  </si>
  <si>
    <t xml:space="preserve">VIR SEPA CHARGES 49 EXEMPLE</t>
  </si>
  <si>
    <t xml:space="preserve">Bien/05_Copropriete/Appels/2025-06-26_Syndic_Appel-T3-2025.pdf</t>
  </si>
  <si>
    <t xml:space="preserve">LOYER PRINCIPAL (01/07/2025 - 31/07/2025)</t>
  </si>
  <si>
    <t xml:space="preserve">PROVISIONS CHARGES (01/07/2025 - 31/07/2025)</t>
  </si>
  <si>
    <t xml:space="preserve">Transfert entrant</t>
  </si>
  <si>
    <t xml:space="preserve">VERSEMENT RECU DU PROPRIETAIRE Facture ARTISAN E</t>
  </si>
  <si>
    <t xml:space="preserve">VIR SEPA FACTURE ARTISAN E 1 RUE LECL</t>
  </si>
  <si>
    <t xml:space="preserve">Versé à l'agence pour payer la recherche de fuite (la dépense figure côté agence)</t>
  </si>
  <si>
    <t xml:space="preserve">recherche de fuite ARTISAN E F2025-07-221</t>
  </si>
  <si>
    <t xml:space="preserve">Honoraires comptable</t>
  </si>
  <si>
    <t xml:space="preserve">VIR SEPA COMPTABLE CABINET COMPTABLE</t>
  </si>
  <si>
    <t xml:space="preserve">Honoraires pour les comptes 2024</t>
  </si>
  <si>
    <t xml:space="preserve">HONORAIRES GESTION SUR TRAVAUX ARTISAN E 3% TTC</t>
  </si>
  <si>
    <t xml:space="preserve">TVA HONORAIRES GESTION SUR TRAVAUX ARTISAN E 3% TTC</t>
  </si>
  <si>
    <t xml:space="preserve">GRATUITE DE LOYER suite REMPLACEMENT BALLON</t>
  </si>
  <si>
    <t xml:space="preserve">Remise de loyer accordée après le remplacement du ballon</t>
  </si>
  <si>
    <t xml:space="preserve">LOYER PRINCIPAL (01/08/2025 - 31/08/2025) complement</t>
  </si>
  <si>
    <t xml:space="preserve">HONORAIRES GESTION LOYER PRINCIPAL (01/08/2025 - 31/08/2025) 6.00%</t>
  </si>
  <si>
    <t xml:space="preserve">TVA HONORAIRES GESTION LOYER PRINCIPAL (01/08/2025 - 31/08/2025)</t>
  </si>
  <si>
    <t xml:space="preserve">HONORAIRES GESTION SUR TRAVAUX ARTISAN A 3% TTC</t>
  </si>
  <si>
    <t xml:space="preserve">TVA HONORAIRES GESTION SUR TRAVAUX ARTISAN A 3% TTC</t>
  </si>
  <si>
    <t xml:space="preserve">LOYER PRINCIPAL (01/08/2025 - 31/08/2025)</t>
  </si>
  <si>
    <t xml:space="preserve">PROVISIONS CHARGES (01/08/2025 - 31/08/2025)</t>
  </si>
  <si>
    <t xml:space="preserve">travaux creation vanne d'arret ARTISAN A</t>
  </si>
  <si>
    <t xml:space="preserve">VERSEMENT RECU DU PROPRIETAIRE POUR FACTURE ARTISAN A</t>
  </si>
  <si>
    <t xml:space="preserve">changement ballon d'eau chaude ARTISAN A</t>
  </si>
  <si>
    <t xml:space="preserve">Remplacement du ballon d'eau chaude, immobilisé par le comptable</t>
  </si>
  <si>
    <t xml:space="preserve">VIR SEPA BALLON EAU CHAUDE - GE</t>
  </si>
  <si>
    <t xml:space="preserve">Versé à l'agence pour payer le ballon (la dépense figure côté agence)</t>
  </si>
  <si>
    <t xml:space="preserve">LOYER PRINCIPAL (01/09/2025 - 30/09/2025)</t>
  </si>
  <si>
    <t xml:space="preserve">PROVISIONS CHARGES (01/09/2025 - 30/09/2025)</t>
  </si>
  <si>
    <t xml:space="preserve">LOYER PRINCIPAL (01/10/2025 - 31/10/2025)</t>
  </si>
  <si>
    <t xml:space="preserve">PROVISIONS CHARGES (01/10/2025 - 31/10/2025)</t>
  </si>
  <si>
    <t xml:space="preserve">Bien/06_Impots-locaux/2025-08-07_DGFIP_Taxe-fonciere-2025.pdf</t>
  </si>
  <si>
    <t xml:space="preserve">Taxe foncière 2025</t>
  </si>
  <si>
    <t xml:space="preserve">VIR SEPA APPEL DE PROVISIONS T4</t>
  </si>
  <si>
    <t xml:space="preserve">Bien/05_Copropriete/Appels/2025-09-26_Syndic_Appel-T4-2025.pdf</t>
  </si>
  <si>
    <t xml:space="preserve">LOYER PRINCIPAL (01/11/2025 - 30/11/2025)</t>
  </si>
  <si>
    <t xml:space="preserve">PROVISIONS CHARGES (01/11/2025 - 30/11/2025)</t>
  </si>
  <si>
    <t xml:space="preserve">ORDURES MENAGERES</t>
  </si>
  <si>
    <t xml:space="preserve">HONORAIRES GESTION ORDURES MENAGERES 6.00%</t>
  </si>
  <si>
    <t xml:space="preserve">TVA HONORAIRES GESTION ORDURES MENAGERES</t>
  </si>
  <si>
    <t xml:space="preserve">Régularisation de charges locataire</t>
  </si>
  <si>
    <t xml:space="preserve">RESTIT. PROV. REGULARISATION. DE CHARGES</t>
  </si>
  <si>
    <t xml:space="preserve">REGULARISATION DES CHARGES - reprise provisions</t>
  </si>
  <si>
    <t xml:space="preserve">REGULARISATION DES CHARGES (01/01/2024 - 31/12/2024)</t>
  </si>
  <si>
    <t xml:space="preserve">HONORAIRES GESTION REGULARISATION DES CHARGES 6.00%</t>
  </si>
  <si>
    <t xml:space="preserve">TVA HONORAIRES GESTION REGULARISATION DES CHARGES</t>
  </si>
  <si>
    <t xml:space="preserve">LOYER PRINCIPAL (01/12/2025 - 31/12/2025)</t>
  </si>
  <si>
    <t xml:space="preserve">PROVISIONS CHARGES (01/12/2025 - 31/12/2025)</t>
  </si>
  <si>
    <t xml:space="preserve">VIR SEPA REGULE CHARGES 2024</t>
  </si>
  <si>
    <t xml:space="preserve">Bien/05_Copropriete/Regularisations/2025-11-25_Syndic_Avis-regul-exercice-2024.pdf</t>
  </si>
  <si>
    <t xml:space="preserve">Régularisation des charges 2024</t>
  </si>
  <si>
    <t xml:space="preserve">Assurance propriétaire non occupant ASSUREUR 2025</t>
  </si>
  <si>
    <t xml:space="preserve">Bien/07_Comptabilite/2025_CABINET COMPTABLE_Comptes-annuels-LMNP.pdf</t>
  </si>
  <si>
    <t xml:space="preserve">LOYER PRINCIPAL (01/01/2026 - 31/01/2026)</t>
  </si>
  <si>
    <t xml:space="preserve">PROVISIONS CHARGES (01/01/2026 - 31/01/2026)</t>
  </si>
  <si>
    <t xml:space="preserve">Appel T1 2026 (avis non classé)</t>
  </si>
  <si>
    <t xml:space="preserve">Bien/05_Copropriete/Appels/2026-01-22_Syndic_Appel-travaux-T1-2026.pdf</t>
  </si>
  <si>
    <t xml:space="preserve">Travaux votés en AG 2025 (net du fonds de travaux mobilisé)</t>
  </si>
  <si>
    <t xml:space="preserve">LOYER PRINCIPAL (01/02/2026 - 28/02/2026)</t>
  </si>
  <si>
    <t xml:space="preserve">PROVISIONS CHARGES (01/02/2026 - 28/02/2026)</t>
  </si>
  <si>
    <t xml:space="preserve">LOYER PRINCIPAL (01/03/2026 - 31/03/2026)</t>
  </si>
  <si>
    <t xml:space="preserve">PROVISIONS CHARGES (01/03/2026 - 31/03/2026)</t>
  </si>
  <si>
    <t xml:space="preserve">Bien/05_Copropriete/Appels/2026-03-25_Syndic_Appel-T2-2026.pdf</t>
  </si>
  <si>
    <t xml:space="preserve">LOYER PRINCIPAL (01/04/2026 - 30/04/2026)</t>
  </si>
  <si>
    <t xml:space="preserve">PROVISIONS CHARGES (01/04/2026 - 30/04/2026)</t>
  </si>
  <si>
    <t xml:space="preserve">LOYER PRINCIPAL (01/05/2026 - 31/05/2026)</t>
  </si>
  <si>
    <t xml:space="preserve">PROVISIONS CHARGES (01/05/2026 - 31/05/2026)</t>
  </si>
  <si>
    <t xml:space="preserve">LOYER PRINCIPAL (01/06/2026 - 30/06/2026)</t>
  </si>
  <si>
    <t xml:space="preserve">PROVISIONS CHARGES (01/06/2026 - 30/06/2026)</t>
  </si>
  <si>
    <t xml:space="preserve">LOYER PRINCIPAL (01/07/2026 - 31/07/2026)</t>
  </si>
  <si>
    <t xml:space="preserve">PROVISIONS CHARGES (01/07/2026 - 31/07/2026)</t>
  </si>
  <si>
    <t xml:space="preserve">VIR SEPA CHARGES COPRO T3 2026</t>
  </si>
  <si>
    <t xml:space="preserve">Bien/05_Copropriete/Appels/2026-06-24_Syndic_Appel-T3-2026.pdf</t>
  </si>
  <si>
    <t xml:space="preserve">CFE</t>
  </si>
  <si>
    <t xml:space="preserve">VIR SEPA IMPOTS ENTREPRISE EXEMPLEVILLE</t>
  </si>
  <si>
    <t xml:space="preserve">Bien/06_Impots-locaux/2026-07-15_SIE_CFE-2025_rappel.pdf</t>
  </si>
  <si>
    <t xml:space="preserve">Rappel de CFE 2025</t>
  </si>
  <si>
    <t xml:space="preserve">LOYER PRINCIPAL (01/08/2026 - 31/08/2026)</t>
  </si>
  <si>
    <t xml:space="preserve">PROVISIONS CHARGES (01/08/2026 - 31/08/2026)</t>
  </si>
  <si>
    <t xml:space="preserve">LOYER PRINCIPAL (01/09/2026 - 30/09/2026)</t>
  </si>
  <si>
    <t xml:space="preserve">PROVISIONS CHARGES (01/09/2026 - 30/09/2026)</t>
  </si>
  <si>
    <t xml:space="preserve">RECHERCHE DE FUITE EVACUATION EAU CHAUDE FAC-</t>
  </si>
  <si>
    <t xml:space="preserve">TRANSFERT SOMMES VERS PROVISIONS GARDEES POUR DEVIS DEV-</t>
  </si>
  <si>
    <t xml:space="preserve">Somme mise de côté par l'agence pour un devis</t>
  </si>
  <si>
    <t xml:space="preserve">TRANSFERT DE SOMMES GARDEES VERS PROPRIETAIRE POUR FACTURE ARTISAN A-</t>
  </si>
  <si>
    <t xml:space="preserve">Restitution de la provision pour payer la facture</t>
  </si>
  <si>
    <t xml:space="preserve">HONORAIRES DE GESTION SUR TRAVAUX FACTURE ARTISAN A-</t>
  </si>
  <si>
    <t xml:space="preserve">TVA HONORAIRES DE GESTION SUR TRAVAUX FACTURE ARTISAN A-</t>
  </si>
  <si>
    <t xml:space="preserve">FACTURE FAC- modification evacuation pente ballon EC</t>
  </si>
  <si>
    <t xml:space="preserve">TRANSFERT SOMMES VERS PROVISIONS GARDEES Devis ARTISAN B 2026-071</t>
  </si>
  <si>
    <t xml:space="preserve">LOYER PRINCIPAL (01/10/2026 - 31/10/2026)</t>
  </si>
  <si>
    <t xml:space="preserve">PROVISIONS CHARGES (01/10/2026 - 31/10/2026)</t>
  </si>
  <si>
    <t xml:space="preserve">TRANSFERT SOMMES VERS PROVISIONS GARDEES POUR DEVIS ARTISAN B 2026-071</t>
  </si>
  <si>
    <t xml:space="preserve">VIR SEPA PAIEMENT COMPTABLE CABINET COMPTABLE</t>
  </si>
  <si>
    <t xml:space="preserve">Honoraires pour les comptes 2025</t>
  </si>
  <si>
    <t xml:space="preserve">Paiement en ligne validé</t>
  </si>
  <si>
    <t xml:space="preserve">Bien/06_Impots-locaux/2026-08-06_DGFIP_Taxe-fonciere-2026.pdf</t>
  </si>
  <si>
    <t xml:space="preserve">Taxe foncière 2026 : débit à confirmer sur le relevé</t>
  </si>
  <si>
    <t xml:space="preserve">TRANSFERT DE SOMMES GARDEES VERS PROPRIETAIRE POUR FACTURE ARTISAN B 2026-061</t>
  </si>
  <si>
    <t xml:space="preserve">Facture ARTISAN B 2026-061</t>
  </si>
  <si>
    <t xml:space="preserve">HONORAIRES DE GESTION SUR TRAVAUX POUR FACTURE ARTISAN B 2026-061</t>
  </si>
  <si>
    <t xml:space="preserve">TVA HONORAIRES DE GESTION SUR TRAVAUX POUR FACTURE ARTISAN B 2026-061</t>
  </si>
  <si>
    <t xml:space="preserve">Bien/05_Copropriete/Appels/2026-09-25_Syndic_Appel-T4-2026.pdf</t>
  </si>
  <si>
    <t xml:space="preserve">ORDURES MENAGERES 2026</t>
  </si>
  <si>
    <t xml:space="preserve">HONORAIRES GESTION ORDURES MENAGERES 2026 6.00%</t>
  </si>
  <si>
    <t xml:space="preserve">TVA HONORAIRES GESTION ORDURES MENAGERES 2026</t>
  </si>
  <si>
    <t xml:space="preserve">Biens</t>
  </si>
  <si>
    <t xml:space="preserve">Une ligne par bien. Les cellules jaunes sont à renseigner. L'identifiant (colonne A) relie le bien au journal, aux prêts et aux amortissements.</t>
  </si>
  <si>
    <t xml:space="preserve">Identifiant</t>
  </si>
  <si>
    <t xml:space="preserve">Nom</t>
  </si>
  <si>
    <t xml:space="preserve">Adresse</t>
  </si>
  <si>
    <t xml:space="preserve">Code postal</t>
  </si>
  <si>
    <t xml:space="preserve">Ville</t>
  </si>
  <si>
    <t xml:space="preserve">Type de location</t>
  </si>
  <si>
    <t xml:space="preserve">Régime fiscal</t>
  </si>
  <si>
    <t xml:space="preserve">Date d'acquisition</t>
  </si>
  <si>
    <t xml:space="preserve">Prix d'achat (net vendeur)</t>
  </si>
  <si>
    <t xml:space="preserve">dont mobilier</t>
  </si>
  <si>
    <t xml:space="preserve">Frais d'agence (achat)</t>
  </si>
  <si>
    <t xml:space="preserve">Frais de notaire et de garantie</t>
  </si>
  <si>
    <t xml:space="preserve">Apport personnel</t>
  </si>
  <si>
    <t xml:space="preserve">Date de mise en location</t>
  </si>
  <si>
    <t xml:space="preserve">Valeur estimée actuelle</t>
  </si>
  <si>
    <t xml:space="preserve">Surface (m²)</t>
  </si>
  <si>
    <t xml:space="preserve">Gestionnaire</t>
  </si>
  <si>
    <t xml:space="preserve">Syndic</t>
  </si>
  <si>
    <t xml:space="preserve">Loyer hors charges actuel</t>
  </si>
  <si>
    <t xml:space="preserve">Provision sur charges</t>
  </si>
  <si>
    <t xml:space="preserve">Dépôt de garantie</t>
  </si>
  <si>
    <t xml:space="preserve">Appartement exemple</t>
  </si>
  <si>
    <t xml:space="preserve">1 rue de l'Exemple</t>
  </si>
  <si>
    <t xml:space="preserve">Exempleville</t>
  </si>
  <si>
    <t xml:space="preserve">Meublée</t>
  </si>
  <si>
    <t xml:space="preserve">LMNP réel</t>
  </si>
  <si>
    <t xml:space="preserve">Agence exemple (6 % HT)</t>
  </si>
  <si>
    <t xml:space="preserve">Syndic exemple</t>
  </si>
  <si>
    <t xml:space="preserve">Catégories</t>
  </si>
  <si>
    <t xml:space="preserve">Chaque catégorie détermine le sens du mouvement, son traitement fiscal (LMNP réel) et son groupe dans la synthèse. Les intérêts et le capital du prêt ne passent pas par le journal : ils viennent de l'onglet Échéancier.</t>
  </si>
  <si>
    <t xml:space="preserve">Traitement fiscal (LMNP réel)</t>
  </si>
  <si>
    <t xml:space="preserve">Groupe (synthèse)</t>
  </si>
  <si>
    <t xml:space="preserve">Signe trésorerie</t>
  </si>
  <si>
    <t xml:space="preserve">Description</t>
  </si>
  <si>
    <t xml:space="preserve">Recette</t>
  </si>
  <si>
    <t xml:space="preserve">Imposable</t>
  </si>
  <si>
    <t xml:space="preserve">Loyers</t>
  </si>
  <si>
    <t xml:space="preserve">Loyer brut, avant honoraires (une remise de loyer se saisit en montant négatif)</t>
  </si>
  <si>
    <t xml:space="preserve">Charges refacturées</t>
  </si>
  <si>
    <t xml:space="preserve">Provisions mensuelles payées par le locataire</t>
  </si>
  <si>
    <t xml:space="preserve">Solde annuel réclamé (ou rendu, en négatif) au locataire</t>
  </si>
  <si>
    <t xml:space="preserve">TEOM refacturée au locataire</t>
  </si>
  <si>
    <t xml:space="preserve">Indemnités, refacturations diverses</t>
  </si>
  <si>
    <t xml:space="preserve">Dépense</t>
  </si>
  <si>
    <t xml:space="preserve">Déductible</t>
  </si>
  <si>
    <t xml:space="preserve">Frais de gestion</t>
  </si>
  <si>
    <t xml:space="preserve">Honoraires de l'agence, TVA comprise</t>
  </si>
  <si>
    <t xml:space="preserve">Recherche de locataire, état des lieux</t>
  </si>
  <si>
    <t xml:space="preserve">Commission de l'agence sur les travaux</t>
  </si>
  <si>
    <t xml:space="preserve">Expert-comptable, centre de gestion</t>
  </si>
  <si>
    <t xml:space="preserve">Appels de fonds payés au syndic (charges, travaux, fonds de travaux)</t>
  </si>
  <si>
    <t xml:space="preserve">Assurance propriétaire non occupant, loyers impayés</t>
  </si>
  <si>
    <t xml:space="preserve">Taxe foncière (TEOM incluse)</t>
  </si>
  <si>
    <t xml:space="preserve">Cotisation foncière des entreprises</t>
  </si>
  <si>
    <t xml:space="preserve">Réparations, dépannages, petits travaux</t>
  </si>
  <si>
    <t xml:space="preserve">Équipement de faible valeur passé en charge</t>
  </si>
  <si>
    <t xml:space="preserve">Frais bancaires</t>
  </si>
  <si>
    <t xml:space="preserve">Frais de compte dédié, frais de dossier</t>
  </si>
  <si>
    <t xml:space="preserve">Autres charges déductibles</t>
  </si>
  <si>
    <t xml:space="preserve">À amortir</t>
  </si>
  <si>
    <t xml:space="preserve">Investissements</t>
  </si>
  <si>
    <t xml:space="preserve">Électroménager, mobilier : à reporter dans l'onglet Amortissements</t>
  </si>
  <si>
    <t xml:space="preserve">Travaux d'amélioration (à amortir)</t>
  </si>
  <si>
    <t xml:space="preserve">Travaux immobilisés : à reporter dans l'onglet Amortissements</t>
  </si>
  <si>
    <t xml:space="preserve">À valider</t>
  </si>
  <si>
    <t xml:space="preserve">Dépense dont le traitement fiscal doit être validé avec le comptable</t>
  </si>
  <si>
    <t xml:space="preserve">Transfert</t>
  </si>
  <si>
    <t xml:space="preserve">Non fiscal</t>
  </si>
  <si>
    <t xml:space="preserve">Mouvements internes</t>
  </si>
  <si>
    <t xml:space="preserve">Argent reçu d'un autre compte (ex. : versement du propriétaire à l'agence)</t>
  </si>
  <si>
    <t xml:space="preserve">Argent envoyé vers un autre compte (ex. : virement de l'agence au propriétaire)</t>
  </si>
  <si>
    <t xml:space="preserve">Neutre</t>
  </si>
  <si>
    <t xml:space="preserve">Somme à restituer : ni revenu, ni imposable</t>
  </si>
  <si>
    <t xml:space="preserve">Restitution au locataire</t>
  </si>
  <si>
    <t xml:space="preserve">Prêts</t>
  </si>
  <si>
    <t xml:space="preserve">Une ligne par prêt. Le tableau d'amortissement de la banque se colle dans l'onglet Échéancier.</t>
  </si>
  <si>
    <t xml:space="preserve">Montant emprunté</t>
  </si>
  <si>
    <t xml:space="preserve">Taux (hors assurance)</t>
  </si>
  <si>
    <t xml:space="preserve">Durée (mois)</t>
  </si>
  <si>
    <t xml:space="preserve">1re échéance</t>
  </si>
  <si>
    <t xml:space="preserve">Dernière échéance</t>
  </si>
  <si>
    <t xml:space="preserve">Assurance mensuelle</t>
  </si>
  <si>
    <t xml:space="preserve">Capital restant dû (date d'arrêté)</t>
  </si>
  <si>
    <t xml:space="preserve">P1</t>
  </si>
  <si>
    <t xml:space="preserve">BANQUE</t>
  </si>
  <si>
    <t xml:space="preserve">Prêt immobilier amortissable</t>
  </si>
  <si>
    <t xml:space="preserve">Échéancier des prêts</t>
  </si>
  <si>
    <t xml:space="preserve">Source : tableau d'amortissement BANQUE du 03/03/2026 (02_Pret). Une ligne par échéance ; colonnes grises calculées. « Période louée » = 1 si l'échéance tombe après la mise en location du bien.</t>
  </si>
  <si>
    <t xml:space="preserve">N°</t>
  </si>
  <si>
    <t xml:space="preserve">Capital dû avant échéance</t>
  </si>
  <si>
    <t xml:space="preserve">Capital</t>
  </si>
  <si>
    <t xml:space="preserve">Intérêts</t>
  </si>
  <si>
    <t xml:space="preserve">Assurance</t>
  </si>
  <si>
    <t xml:space="preserve">Échéance totale</t>
  </si>
  <si>
    <t xml:space="preserve">Période louée</t>
  </si>
  <si>
    <t xml:space="preserve">Amortissements (LMNP réel)</t>
  </si>
  <si>
    <t xml:space="preserve">Une ligne par composant ou équipement immobilisé. Dotation linéaire au prorata des jours (base 365). Le terrain ne s'amortit pas.</t>
  </si>
  <si>
    <t xml:space="preserve">Composant</t>
  </si>
  <si>
    <t xml:space="preserve">Date de mise en service</t>
  </si>
  <si>
    <t xml:space="preserve">Valeur</t>
  </si>
  <si>
    <t xml:space="preserve">Durée (années)</t>
  </si>
  <si>
    <t xml:space="preserve">Dotation annuelle</t>
  </si>
  <si>
    <t xml:space="preserve">Fin d'amortissement</t>
  </si>
  <si>
    <t xml:space="preserve">Terrain</t>
  </si>
  <si>
    <t xml:space="preserve">Non amortissable. Valeur retenue par le comptable (comptes 2024).</t>
  </si>
  <si>
    <t xml:space="preserve">Bâtiment</t>
  </si>
  <si>
    <t xml:space="preserve">Valeur retenue par le comptable. Durée moyenne déduite des comptes 2025 (dotation 9 014,17 €) : à remplacer par le plan par composants du comptable.</t>
  </si>
  <si>
    <t xml:space="preserve">Réfrigérateur</t>
  </si>
  <si>
    <t xml:space="preserve">Durée et date déduites des comptes 2024 (dotation 120,28 €).</t>
  </si>
  <si>
    <t xml:space="preserve">Ballon d'eau chaude</t>
  </si>
  <si>
    <t xml:space="preserve">Durée et date déduites des comptes 2025 (dotation 67,96 €) : à confirmer.</t>
  </si>
  <si>
    <t xml:space="preserve">Mobilier acquis en 2017 (acte de vente)</t>
  </si>
  <si>
    <t xml:space="preserve">Non amorti par le comptable : question à lui poser (durée 0 = non amorti).</t>
  </si>
  <si>
    <t xml:space="preserve">Simulation de revente</t>
  </si>
  <si>
    <t xml:space="preserve">Saisissez les cellules jaunes. Estimation indicative de la somme perçue et de l'impôt sur la plus-value (régime des particuliers, LMNP). Le bien doit être le même que celui choisi dans la Synthèse.</t>
  </si>
  <si>
    <t xml:space="preserve">Hypothèses</t>
  </si>
  <si>
    <t xml:space="preserve">Date de vente envisagée</t>
  </si>
  <si>
    <t xml:space="preserve">Prix de vente (net vendeur)</t>
  </si>
  <si>
    <t xml:space="preserve">Frais d'agence à votre charge (% du prix)</t>
  </si>
  <si>
    <t xml:space="preserve">0 % si les frais d'agence sont payés par l'acheteur</t>
  </si>
  <si>
    <t xml:space="preserve">Frais divers de vente (diagnostics, état daté, mainlevée)</t>
  </si>
  <si>
    <t xml:space="preserve">Indemnités de remboursement anticipé</t>
  </si>
  <si>
    <t xml:space="preserve">Votre offre de prêt les exclut en cas de remboursement par la revente du bien : à confirmer avec le BANQUE.</t>
  </si>
  <si>
    <t xml:space="preserve">Frais d'acquisition réels justifiables (2017)</t>
  </si>
  <si>
    <t xml:space="preserve">Droits, émoluments du notaire et honoraires d'agence payés à l'achat (hors frais de garantie du prêt), selon l'acte de vente.</t>
  </si>
  <si>
    <t xml:space="preserve">Taux d'impôt sur le revenu sur la plus-value</t>
  </si>
  <si>
    <t xml:space="preserve">Taux des prélèvements sociaux sur la plus-value</t>
  </si>
  <si>
    <t xml:space="preserve">17,2 % maintenu en 2026 pour les plus-values immobilières.</t>
  </si>
  <si>
    <t xml:space="preserve">Somme perçue à la vente</t>
  </si>
  <si>
    <t xml:space="preserve">Prix de vente</t>
  </si>
  <si>
    <t xml:space="preserve">− Frais d'agence</t>
  </si>
  <si>
    <t xml:space="preserve">− Frais divers de vente</t>
  </si>
  <si>
    <t xml:space="preserve">− Capital restant dû à la date de vente</t>
  </si>
  <si>
    <t xml:space="preserve">− Indemnités de remboursement anticipé</t>
  </si>
  <si>
    <t xml:space="preserve">Somme perçue avant impôt</t>
  </si>
  <si>
    <t xml:space="preserve">− Impôt sur la plus-value (calcul ci-dessous)</t>
  </si>
  <si>
    <t xml:space="preserve">Somme nette perçue après impôt</t>
  </si>
  <si>
    <t xml:space="preserve">Pour mémoire : apport personnel initial</t>
  </si>
  <si>
    <t xml:space="preserve">Pour mémoire : cash-flow cumulé depuis la mise en location</t>
  </si>
  <si>
    <t xml:space="preserve">Arrêté à la date de mise à jour des données (Synthèse, C4).</t>
  </si>
  <si>
    <t xml:space="preserve">Pour mémoire : dépôt de garantie à restituer au locataire</t>
  </si>
  <si>
    <t xml:space="preserve">Calcul de la plus-value</t>
  </si>
  <si>
    <t xml:space="preserve">Durée de détention (années pleines)</t>
  </si>
  <si>
    <t xml:space="preserve">Prix de cession (prix − frais de vente)</t>
  </si>
  <si>
    <t xml:space="preserve">Prix d'acquisition du logement (hors mobilier)</t>
  </si>
  <si>
    <t xml:space="preserve">+ Frais d'acquisition (réels ou forfait 7,5 %, le plus élevé)</t>
  </si>
  <si>
    <t xml:space="preserve">+ Forfait travaux 15 % (détention de plus de 5 ans)</t>
  </si>
  <si>
    <t xml:space="preserve">− Amortissements déduits à réintégrer</t>
  </si>
  <si>
    <t xml:space="preserve">Amortissements effectivement déduits (comptable pour les années déclarées, outil pour l'année en cours) ; ceux mis en report ne sont pas réintégrés. Ceux de l'année de la vente ne sont pas comptés.</t>
  </si>
  <si>
    <t xml:space="preserve">Prix d'acquisition corrigé</t>
  </si>
  <si>
    <t xml:space="preserve">Plus-value brute</t>
  </si>
  <si>
    <t xml:space="preserve">Abattement pour durée de détention (impôt sur le revenu)</t>
  </si>
  <si>
    <t xml:space="preserve">Abattement pour durée de détention (prélèvements sociaux)</t>
  </si>
  <si>
    <t xml:space="preserve">Impôt sur le revenu</t>
  </si>
  <si>
    <t xml:space="preserve">Prélèvements sociaux</t>
  </si>
  <si>
    <t xml:space="preserve">Surtaxe (plus-value imposable supérieure à 46 500 €)</t>
  </si>
  <si>
    <t xml:space="preserve">Impôt total sur la plus-value</t>
  </si>
  <si>
    <t xml:space="preserve">Estimation indicative, pas un conseil fiscal : depuis le 15/02/2025, les amortissements LMNP déduits sont réintégrés dans la plus-value. Le bien n'étant plus votre résidence principale, l'exonération de la résidence principale ne s'applique pas ; l'exonération pour remploi dans une nouvelle résidence principale est traitée dans l'onglet Vendre quand. Le notaire calcule l'impôt réel : faites-lui confirmer les frais retenus, le forfait de 15 % et les amortissements déduits (fournis par le comptable).</t>
  </si>
  <si>
    <t xml:space="preserve">Vendre quand ?</t>
  </si>
  <si>
    <t xml:space="preserve">Compare trois dates de vente : somme perçue, impôt sur la plus-value, effort de trésorerie d'ici là, gain total depuis l'achat et TRI. Les frais de vente et les taux d'imposition viennent de l'onglet Revente.</t>
  </si>
  <si>
    <t xml:space="preserve">Paramètres</t>
  </si>
  <si>
    <t xml:space="preserve">Le même bien que dans l'onglet Revente (et la Synthèse).</t>
  </si>
  <si>
    <t xml:space="preserve">Données réelles jusqu'au</t>
  </si>
  <si>
    <t xml:space="preserve">Date de mise à jour du Journal (Synthèse, C4). Au-delà : projection.</t>
  </si>
  <si>
    <t xml:space="preserve">Onglet Biens.</t>
  </si>
  <si>
    <t xml:space="preserve">Fin d'occupation comme résidence principale</t>
  </si>
  <si>
    <t xml:space="preserve">Date à laquelle vous avez quitté le logement. Laissez vide s'il n'a jamais été votre résidence principale.</t>
  </si>
  <si>
    <t xml:space="preserve">Loyer évité à l'achat (par mois, charges comprises)</t>
  </si>
  <si>
    <t xml:space="preserve">Ce que vous auriez payé pour louer un logement équivalent : compté comme un gain tant que vous y habitiez.</t>
  </si>
  <si>
    <t xml:space="preserve">Indexation annuelle du loyer évité</t>
  </si>
  <si>
    <t xml:space="preserve">IRL : +1,8 % par an en moyenne entre 2017 et 2023.</t>
  </si>
  <si>
    <t xml:space="preserve">Projection : loyer net versé par l'agence (par mois)</t>
  </si>
  <si>
    <t xml:space="preserve">Dernier virement complet de l'agence (loyer + provisions − honoraires).</t>
  </si>
  <si>
    <t xml:space="preserve">Projection : dépenses payées par vous (par an, hors prêt)</t>
  </si>
  <si>
    <t xml:space="preserve">Copropriété 4 026 € (niveau 2026) + taxe foncière 571 € + CFE 325 € + comptable 558 € + PNO 116 €.</t>
  </si>
  <si>
    <t xml:space="preserve">Projection : évolution annuelle des loyers et des charges</t>
  </si>
  <si>
    <t xml:space="preserve">Projection : amortissements déduits par an</t>
  </si>
  <si>
    <t xml:space="preserve">Pour les années après la date de mise à jour. Chiffre à demander au comptable (résultat avant amortissements de l'année).</t>
  </si>
  <si>
    <t xml:space="preserve">Frais liés à l'année de la vente</t>
  </si>
  <si>
    <t xml:space="preserve">Dernière liasse LMNP (comptable). Payés à la vente dans le calcul.</t>
  </si>
  <si>
    <t xml:space="preserve">Part du prix réinvestie dans votre résidence principale</t>
  </si>
  <si>
    <t xml:space="preserve">Pour l'exonération pour remploi (voir plus bas). Achat à deux : seule votre part compte.</t>
  </si>
  <si>
    <t xml:space="preserve">Autres dettes à rembourser à la vente</t>
  </si>
  <si>
    <t xml:space="preserve">Par exemple un prêt familial ayant servi à l'apport. Sert à calculer la somme disponible pour le prochain achat.</t>
  </si>
  <si>
    <t xml:space="preserve">Scénarios de vente</t>
  </si>
  <si>
    <t xml:space="preserve">Scénario 1</t>
  </si>
  <si>
    <t xml:space="preserve">Scénario 2</t>
  </si>
  <si>
    <t xml:space="preserve">Scénario 3</t>
  </si>
  <si>
    <t xml:space="preserve">Explication</t>
  </si>
  <si>
    <t xml:space="preserve">Date de vente</t>
  </si>
  <si>
    <t xml:space="preserve">Somme perçue</t>
  </si>
  <si>
    <t xml:space="preserve">− Capital restant dû</t>
  </si>
  <si>
    <t xml:space="preserve">− Impôt sur la plus-value</t>
  </si>
  <si>
    <t xml:space="preserve">Sans exonération pour remploi (ligne 46).</t>
  </si>
  <si>
    <t xml:space="preserve">Somme nette perçue</t>
  </si>
  <si>
    <t xml:space="preserve">− Autres dettes à rembourser</t>
  </si>
  <si>
    <t xml:space="preserve">Somme disponible pour le prochain achat</t>
  </si>
  <si>
    <t xml:space="preserve">Plus-value</t>
  </si>
  <si>
    <t xml:space="preserve">Prix d'achat + frais d'acquisition + forfait travaux 15 %</t>
  </si>
  <si>
    <t xml:space="preserve">Mêmes règles que l'onglet Revente : prix hors mobilier, frais réels ou forfait 7,5 %, forfait travaux si plus de 5 ans.</t>
  </si>
  <si>
    <t xml:space="preserve">− Amortissements déduits (années avant celle de la vente)</t>
  </si>
  <si>
    <t xml:space="preserve">Réintégrés dans la plus-value depuis le 15/02/2025. Détail par année plus bas.</t>
  </si>
  <si>
    <t xml:space="preserve">Impôt sur la plus-value</t>
  </si>
  <si>
    <t xml:space="preserve">Surtaxe non comptée (elle ne s'applique qu'au-delà de 46 500 € de plus-value imposable).</t>
  </si>
  <si>
    <t xml:space="preserve">Condition des 4 ans pour l'exonération pour remploi</t>
  </si>
  <si>
    <t xml:space="preserve">Première vente d'un logement qui n'est pas votre résidence principale, sans avoir été propriétaire de votre résidence principale dans les 4 ans (de date à date) avant la vente, prix réinvesti dans votre résidence principale sous 24 mois. À confirmer avec le notaire.</t>
  </si>
  <si>
    <t xml:space="preserve">Impôt évité si le prix est réinvesti</t>
  </si>
  <si>
    <t xml:space="preserve">Somme nette avec remploi</t>
  </si>
  <si>
    <t xml:space="preserve">D'ici la vente</t>
  </si>
  <si>
    <t xml:space="preserve">Mois entre la mise à jour et la vente</t>
  </si>
  <si>
    <t xml:space="preserve">Cash-flow à remettre de votre poche (total)</t>
  </si>
  <si>
    <t xml:space="preserve">Loyers projetés moins dépenses et échéances de prêt, plus les frais de l'année de la vente.</t>
  </si>
  <si>
    <t xml:space="preserve">Soit par mois</t>
  </si>
  <si>
    <t xml:space="preserve">Capital remboursé sur la période</t>
  </si>
  <si>
    <t xml:space="preserve">Bilan depuis l'achat</t>
  </si>
  <si>
    <t xml:space="preserve">Gain total depuis l'achat</t>
  </si>
  <si>
    <t xml:space="preserve">Tous les flux : apport, loyer évité pendant l'occupation, prêt, dépenses, loyers, vente nette (sans exonération).</t>
  </si>
  <si>
    <t xml:space="preserve">TRI (rendement annuel de votre apport)</t>
  </si>
  <si>
    <t xml:space="preserve">Gain en plus par rapport au scénario précédent</t>
  </si>
  <si>
    <t xml:space="preserve">Rendement annuel de l'attente</t>
  </si>
  <si>
    <t xml:space="preserve">Ce que rapporte le fait d'attendre, rapporté à la somme que vous auriez touchée en vendant plus tôt. À comparer au taux de votre futur prêt.</t>
  </si>
  <si>
    <t xml:space="preserve">Estimation indicative, pas un conseil fiscal. Le notaire calcule l'impôt réel : faites-lui confirmer les frais d'acquisition et le forfait de 15 %, les amortissements déduits (fournis par le comptable) et l'éligibilité à l'exonération pour remploi.</t>
  </si>
  <si>
    <t xml:space="preserve">Dépenses payées avant la mise en location (résidence principale, puis logement vide)</t>
  </si>
  <si>
    <t xml:space="preserve">Ce qui a été payé depuis la mise en location se saisit dans le Journal. Les échéances du prêt viennent de l'Échéancier : ne pas les saisir ici.</t>
  </si>
  <si>
    <t xml:space="preserve">Montant payé</t>
  </si>
  <si>
    <t xml:space="preserve">Nature et source</t>
  </si>
  <si>
    <t xml:space="preserve">Taxe foncière 2017 (prorata remboursé au vendeur)</t>
  </si>
  <si>
    <t xml:space="preserve">Réel : acte de vente</t>
  </si>
  <si>
    <t xml:space="preserve">Copropriété 2017 (10/11 au 31/12)</t>
  </si>
  <si>
    <t xml:space="preserve">Estimation : 1 953 € par an au prorata</t>
  </si>
  <si>
    <t xml:space="preserve">Copropriété 2018</t>
  </si>
  <si>
    <t xml:space="preserve">Estimation (décomptes annuels non retrouvés)</t>
  </si>
  <si>
    <t xml:space="preserve">Taxe foncière 2018</t>
  </si>
  <si>
    <t xml:space="preserve">Estimation</t>
  </si>
  <si>
    <t xml:space="preserve">Copropriété 2019</t>
  </si>
  <si>
    <t xml:space="preserve">Taxe foncière 2019</t>
  </si>
  <si>
    <t xml:space="preserve">Copropriété 2020</t>
  </si>
  <si>
    <t xml:space="preserve">Taxe foncière 2020</t>
  </si>
  <si>
    <t xml:space="preserve">Copropriété 2021</t>
  </si>
  <si>
    <t xml:space="preserve">Taxe foncière 2021</t>
  </si>
  <si>
    <t xml:space="preserve">Copropriété 2022</t>
  </si>
  <si>
    <t xml:space="preserve">Taxe foncière 2022</t>
  </si>
  <si>
    <t xml:space="preserve">Réel : avis 2022 (06_Impots-locaux)</t>
  </si>
  <si>
    <t xml:space="preserve">Copropriété : appel T1 2023</t>
  </si>
  <si>
    <t xml:space="preserve">Réel : appel du syndic (05_Copropriete/Appels)</t>
  </si>
  <si>
    <t xml:space="preserve">Copropriété : appel T2 2023</t>
  </si>
  <si>
    <t xml:space="preserve">Copropriété : travaux contrôle d'accès 3/3</t>
  </si>
  <si>
    <t xml:space="preserve">Copropriété : appel T3 2023</t>
  </si>
  <si>
    <t xml:space="preserve">Copropriété : travaux de façade</t>
  </si>
  <si>
    <t xml:space="preserve">Copropriété : appel T4 2023</t>
  </si>
  <si>
    <t xml:space="preserve">Taxe foncière 2023</t>
  </si>
  <si>
    <t xml:space="preserve">Réel : avis 2023 (06_Impots-locaux)</t>
  </si>
  <si>
    <t xml:space="preserve">Copropriété : DTG 1/2</t>
  </si>
  <si>
    <t xml:space="preserve">Copropriété : appel T1 2024</t>
  </si>
  <si>
    <t xml:space="preserve">Réel : relevé BANQUE (appel de 675,30 € + 121,66 € non identifiés)</t>
  </si>
  <si>
    <t xml:space="preserve">Copropriété : DTG 2/2</t>
  </si>
  <si>
    <t xml:space="preserve">Réel : relevé BANQUE</t>
  </si>
  <si>
    <t xml:space="preserve">Copropriété : appel T2 2024</t>
  </si>
  <si>
    <t xml:space="preserve">Total</t>
  </si>
  <si>
    <t xml:space="preserve">Amortissements déduits par année (calcul)</t>
  </si>
  <si>
    <t xml:space="preserve">Déduits</t>
  </si>
  <si>
    <t xml:space="preserve">Origine</t>
  </si>
  <si>
    <t xml:space="preserve">Flux mensuels (calcul du gain et du TRI)</t>
  </si>
  <si>
    <t xml:space="preserve">Montants positifs = argent reçu ou économisé, négatifs = argent versé. Un scénario reprend les flux jusqu'à sa date de vente, puis la somme nette de la vente.</t>
  </si>
  <si>
    <t xml:space="preserve">Mois</t>
  </si>
  <si>
    <t xml:space="preserve">Date du flux</t>
  </si>
  <si>
    <t xml:space="preserve">Loyer évité</t>
  </si>
  <si>
    <t xml:space="preserve">Échéances de prêt</t>
  </si>
  <si>
    <t xml:space="preserve">Dépenses avant location</t>
  </si>
  <si>
    <t xml:space="preserve">Mouvements réels (Journal)</t>
  </si>
  <si>
    <t xml:space="preserve">Projection hors prêt</t>
  </si>
  <si>
    <t xml:space="preserve">Total du mois</t>
  </si>
  <si>
    <t xml:space="preserve">Apport à l'achat</t>
  </si>
  <si>
    <t xml:space="preserve">Vente (scénario 1), moins les frais de l'année de la vente</t>
  </si>
  <si>
    <t xml:space="preserve">Vente (scénario 2), moins les frais de l'année de la vente</t>
  </si>
  <si>
    <t xml:space="preserve">Vente (scénario 3), moins les frais de l'année de la vente</t>
  </si>
  <si>
    <t xml:space="preserve">Échéances et rappels</t>
  </si>
  <si>
    <t xml:space="preserve">Calendrier récurrent de la gestion du bien. Mettez à jour la colonne « Prochaine date » après chaque échéance.</t>
  </si>
  <si>
    <t xml:space="preserve">Échéance</t>
  </si>
  <si>
    <t xml:space="preserve">Périodicité</t>
  </si>
  <si>
    <t xml:space="preserve">Prochaine date</t>
  </si>
  <si>
    <t xml:space="preserve">Montant estimé</t>
  </si>
  <si>
    <t xml:space="preserve">Action à faire</t>
  </si>
  <si>
    <t xml:space="preserve">Annuelle (15 octobre)</t>
  </si>
  <si>
    <t xml:space="preserve">Paiement 2026 validé : vérifier le débit sur le relevé</t>
  </si>
  <si>
    <t xml:space="preserve">Appel de charges de copropriété</t>
  </si>
  <si>
    <t xml:space="preserve">Trimestrielle (1er janv., avr., juil., oct.)</t>
  </si>
  <si>
    <t xml:space="preserve">Payer le syndic ; budget 2027 à 38 130 € + appel complémentaire travaux en 2027</t>
  </si>
  <si>
    <t xml:space="preserve">Annuelle (15 décembre)</t>
  </si>
  <si>
    <t xml:space="preserve">Vérifier l'avis 2026 dans l'espace professionnel impots.gouv.fr</t>
  </si>
  <si>
    <t xml:space="preserve">Régularisation des charges locataire</t>
  </si>
  <si>
    <t xml:space="preserve">Annuelle (après le décompte du syndic)</t>
  </si>
  <si>
    <t xml:space="preserve">Décompte 2025 reçu le 22/10/2026 : vérifier que l'agence réclame ≈ 111 € au locataire</t>
  </si>
  <si>
    <t xml:space="preserve">Révision du loyer (IRL)</t>
  </si>
  <si>
    <t xml:space="preserve">Annuelle (mai)</t>
  </si>
  <si>
    <t xml:space="preserve">Vérifier l'indexation appliquée par l'agence</t>
  </si>
  <si>
    <t xml:space="preserve">Assurance PNO (ASSUREUR)</t>
  </si>
  <si>
    <t xml:space="preserve">Annuelle (1er avril)</t>
  </si>
  <si>
    <t xml:space="preserve">Renouvellement tacite</t>
  </si>
  <si>
    <t xml:space="preserve">Liasse LMNP (2031 / 2033)</t>
  </si>
  <si>
    <t xml:space="preserve">Tous</t>
  </si>
  <si>
    <t xml:space="preserve">Transmettre au comptable le journal 2026 ; signaler le volet du Velux (395 €, 2024)</t>
  </si>
  <si>
    <t xml:space="preserve">Déclaration de revenus (2042-C-PRO)</t>
  </si>
  <si>
    <t xml:space="preserve">Annuelle (mai-juin)</t>
  </si>
  <si>
    <t xml:space="preserve">Reporter le résultat LMNP fourni par le comptable</t>
  </si>
  <si>
    <t xml:space="preserve">Assemblée générale de copropriété</t>
  </si>
  <si>
    <t xml:space="preserve">Annuelle (octobre)</t>
  </si>
  <si>
    <t xml:space="preserve">Voter ou envoyer un pouvoir ; mettre à jour les travaux votés</t>
  </si>
  <si>
    <t xml:space="preserve">Fin du bail / restitution du dépôt de garantie</t>
  </si>
  <si>
    <t xml:space="preserve">Au départ du locataire</t>
  </si>
  <si>
    <t xml:space="preserve">Restituer sous 1 mois (2 mois en cas de retenues)</t>
  </si>
  <si>
    <t xml:space="preserve">Interdiction de louer les logements classés E (DPE)</t>
  </si>
  <si>
    <t xml:space="preserve">Réglementaire</t>
  </si>
  <si>
    <t xml:space="preserve">DPE de 2017 en classe E : vérifier le DPE de 2024</t>
  </si>
  <si>
    <t xml:space="preserve">Vérifications automatiques de cohérence. Une ligne « À vérifier » signale une anomalie à corriger dans le Journal.</t>
  </si>
  <si>
    <t xml:space="preserve">Contrôle</t>
  </si>
  <si>
    <t xml:space="preserve">Valeur calculée</t>
  </si>
  <si>
    <t xml:space="preserve">Valeur attendue</t>
  </si>
  <si>
    <t xml:space="preserve">Écart</t>
  </si>
  <si>
    <t xml:space="preserve">Statut</t>
  </si>
  <si>
    <t xml:space="preserve">Solde du compte agence (Journal)</t>
  </si>
  <si>
    <t xml:space="preserve">Solde créditeur du grand livre de l'agence au 25/10/2026</t>
  </si>
  <si>
    <t xml:space="preserve">Lignes avec une catégorie inconnue</t>
  </si>
  <si>
    <t xml:space="preserve">Catégorie absente de l'onglet Catégories</t>
  </si>
  <si>
    <t xml:space="preserve">Lignes sans catégorie</t>
  </si>
  <si>
    <t xml:space="preserve">Toute ligne datée doit avoir une catégorie</t>
  </si>
  <si>
    <t xml:space="preserve">Lignes « À qualifier »</t>
  </si>
  <si>
    <t xml:space="preserve">Dépenses à faire valider par le comptable (Velux 395 € en 2024)</t>
  </si>
  <si>
    <t xml:space="preserve">Dotations aux amortissements 2024 (modèle)</t>
  </si>
  <si>
    <t xml:space="preserve">Comptes annuels 2024 : 5 751,05 €</t>
  </si>
  <si>
    <t xml:space="preserve">Dotations aux amortissements 2025 (modèle)</t>
  </si>
  <si>
    <t xml:space="preserve">Comptes annuels 2025 : 9 297,34 €</t>
  </si>
  <si>
    <t xml:space="preserve">Intérêts et assurance emprunteur 2025</t>
  </si>
  <si>
    <t xml:space="preserve">Comptes annuels 2025 : 1 919,71 €</t>
  </si>
  <si>
    <t xml:space="preserve">Recettes 2024</t>
  </si>
  <si>
    <t xml:space="preserve">Le comptable n'a pas retenu la TEOM refacturée (50,76 €)</t>
  </si>
  <si>
    <t xml:space="preserve">Recettes 2025</t>
  </si>
  <si>
    <t xml:space="preserve">Écart identifié : provision 2024 reprise lors de la régularisation (623,70 €) et remise de loyer (107,46 €) comptées en plus par le comptable</t>
  </si>
  <si>
    <t xml:space="preserve">Charges hors amortissements 2024</t>
  </si>
  <si>
    <t xml:space="preserve">Le comptable n'a retenu aucune charge de copropriété en 2024 (1 177 € payés) ; il a compté 669 € d'honoraires comptables (payés en 2025 dans le journal) ; intérêts : échéances de juin à décembre (1 176 €) contre 1 356 € retenus</t>
  </si>
  <si>
    <t xml:space="preserve">Charges hors amortissements 2025</t>
  </si>
  <si>
    <t xml:space="preserve">Copropriété : 2 532,89 € retenus contre 2 426,77 € payés</t>
  </si>
  <si>
    <t xml:space="preserve">Vendre quand : scénario 1 identique à l'onglet Revente</t>
  </si>
  <si>
    <t xml:space="preserve">Somme nette perçue : les deux onglets doivent donner le même résultat quand le scénario 1 a la même date et le même prix que l'onglet Revente.</t>
  </si>
  <si>
    <t xml:space="preserve">Listes</t>
  </si>
  <si>
    <t xml:space="preserve">Valeurs proposées dans les menus déroulants. Vous pouvez en ajouter en bas de chaque colonne.</t>
  </si>
  <si>
    <t xml:space="preserve">Comptes</t>
  </si>
  <si>
    <t xml:space="preserve">Régimes fiscaux</t>
  </si>
  <si>
    <t xml:space="preserve">Types de location</t>
  </si>
  <si>
    <t xml:space="preserve">Traitements fiscaux</t>
  </si>
  <si>
    <t xml:space="preserve">LMNP micro-BIC</t>
  </si>
  <si>
    <t xml:space="preserve">Nue</t>
  </si>
  <si>
    <t xml:space="preserve">LMP réel</t>
  </si>
  <si>
    <t xml:space="preserve">Saisonnière</t>
  </si>
  <si>
    <t xml:space="preserve">Location nue réel</t>
  </si>
  <si>
    <t xml:space="preserve">Micro-foncier</t>
  </si>
  <si>
    <t xml:space="preserve">SCI à l'IS</t>
  </si>
</sst>
</file>

<file path=xl/styles.xml><?xml version="1.0" encoding="utf-8"?>
<styleSheet xmlns="http://schemas.openxmlformats.org/spreadsheetml/2006/main">
  <numFmts count="11">
    <numFmt numFmtId="164" formatCode="General"/>
    <numFmt numFmtId="165" formatCode="dd/mm/yyyy"/>
    <numFmt numFmtId="166" formatCode="0"/>
    <numFmt numFmtId="167" formatCode="#,##0.00&quot; €&quot;;\-#,##0.00&quot; €&quot;;\-"/>
    <numFmt numFmtId="168" formatCode="0.0"/>
    <numFmt numFmtId="169" formatCode="#,##0&quot; €&quot;;\-#,##0&quot; €&quot;;\-"/>
    <numFmt numFmtId="170" formatCode="0.0%;\-0.0%;\-"/>
    <numFmt numFmtId="171" formatCode="0.00"/>
    <numFmt numFmtId="172" formatCode="0.00%"/>
    <numFmt numFmtId="173" formatCode="0.00##"/>
    <numFmt numFmtId="174" formatCode="mm/yyyy"/>
  </numFmts>
  <fonts count="22">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9"/>
      <color rgb="FF595959"/>
      <name val="Arial"/>
      <family val="0"/>
      <charset val="1"/>
    </font>
    <font>
      <b val="true"/>
      <sz val="12"/>
      <color rgb="FF1F3A5F"/>
      <name val="Arial"/>
      <family val="0"/>
      <charset val="1"/>
    </font>
    <font>
      <b val="true"/>
      <sz val="10"/>
      <name val="Arial"/>
      <family val="0"/>
      <charset val="1"/>
    </font>
    <font>
      <sz val="10"/>
      <name val="Arial"/>
      <family val="0"/>
      <charset val="1"/>
    </font>
    <font>
      <b val="true"/>
      <sz val="10"/>
      <color rgb="FF0000FF"/>
      <name val="Arial"/>
      <family val="0"/>
      <charset val="1"/>
    </font>
    <font>
      <b val="true"/>
      <sz val="10"/>
      <color rgb="FF000000"/>
      <name val="Arial"/>
      <family val="0"/>
      <charset val="1"/>
    </font>
    <font>
      <sz val="10"/>
      <color rgb="FF0000FF"/>
      <name val="Arial"/>
      <family val="0"/>
      <charset val="1"/>
    </font>
    <font>
      <b val="true"/>
      <sz val="11"/>
      <color rgb="FF1F3A5F"/>
      <name val="Arial"/>
      <family val="0"/>
      <charset val="1"/>
    </font>
    <font>
      <i val="true"/>
      <sz val="10"/>
      <color rgb="FF000000"/>
      <name val="Arial"/>
      <family val="0"/>
      <charset val="1"/>
    </font>
    <font>
      <b val="true"/>
      <sz val="10"/>
      <color rgb="FFFFFFFF"/>
      <name val="Arial"/>
      <family val="0"/>
      <charset val="1"/>
    </font>
    <font>
      <sz val="10"/>
      <color rgb="FF000000"/>
      <name val="Arial"/>
      <family val="0"/>
      <charset val="1"/>
    </font>
    <font>
      <i val="true"/>
      <sz val="8"/>
      <color rgb="FF595959"/>
      <name val="Arial"/>
      <family val="0"/>
      <charset val="1"/>
    </font>
    <font>
      <sz val="9"/>
      <color rgb="FF000000"/>
      <name val="Arial"/>
      <family val="0"/>
      <charset val="1"/>
    </font>
    <font>
      <sz val="9"/>
      <name val="Arial"/>
      <family val="0"/>
      <charset val="1"/>
    </font>
    <font>
      <sz val="9"/>
      <color rgb="FF0000FF"/>
      <name val="Arial"/>
      <family val="0"/>
      <charset val="1"/>
    </font>
    <font>
      <i val="true"/>
      <sz val="9"/>
      <name val="Arial"/>
      <family val="0"/>
      <charset val="1"/>
    </font>
    <font>
      <b val="true"/>
      <sz val="10"/>
      <color rgb="FF1F3A5F"/>
      <name val="Arial"/>
      <family val="0"/>
      <charset val="1"/>
    </font>
  </fonts>
  <fills count="5">
    <fill>
      <patternFill patternType="none"/>
    </fill>
    <fill>
      <patternFill patternType="gray125"/>
    </fill>
    <fill>
      <patternFill patternType="solid">
        <fgColor rgb="FFFFF2CC"/>
        <bgColor rgb="FFF2F2F2"/>
      </patternFill>
    </fill>
    <fill>
      <patternFill patternType="solid">
        <fgColor rgb="FFF2F2F2"/>
        <bgColor rgb="FFFFFFFF"/>
      </patternFill>
    </fill>
    <fill>
      <patternFill patternType="solid">
        <fgColor rgb="FF1F3A5F"/>
        <bgColor rgb="FF333333"/>
      </patternFill>
    </fill>
  </fills>
  <borders count="3">
    <border diagonalUp="false" diagonalDown="false">
      <left/>
      <right/>
      <top/>
      <bottom/>
      <diagonal/>
    </border>
    <border diagonalUp="false" diagonalDown="false">
      <left/>
      <right/>
      <top/>
      <bottom style="medium">
        <color rgb="FF1F3A5F"/>
      </bottom>
      <diagonal/>
    </border>
    <border diagonalUp="false" diagonalDown="false">
      <left/>
      <right/>
      <top style="thin">
        <color rgb="FFD9D9D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center" textRotation="0" wrapText="tru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6" fontId="14" fillId="4" borderId="0" xfId="0" applyFont="true" applyBorder="false" applyAlignment="true" applyProtection="false">
      <alignment horizontal="right"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7" fillId="0" borderId="2"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general" vertical="bottom" textRotation="0" wrapText="false" indent="0" shrinkToFit="false"/>
      <protection locked="true" hidden="false"/>
    </xf>
    <xf numFmtId="166" fontId="18" fillId="3"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general" vertical="bottom" textRotation="0" wrapText="false" indent="0" shrinkToFit="false"/>
      <protection locked="true" hidden="false"/>
    </xf>
    <xf numFmtId="167" fontId="18" fillId="3"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9" fontId="11" fillId="2" borderId="0" xfId="0" applyFont="true" applyBorder="false" applyAlignment="true" applyProtection="false">
      <alignment horizontal="general" vertical="bottom" textRotation="0" wrapText="false" indent="0" shrinkToFit="false"/>
      <protection locked="true" hidden="false"/>
    </xf>
    <xf numFmtId="169" fontId="8" fillId="2" borderId="0" xfId="0" applyFont="true" applyBorder="false" applyAlignment="true" applyProtection="false">
      <alignment horizontal="general" vertical="bottom" textRotation="0" wrapText="false" indent="0" shrinkToFit="false"/>
      <protection locked="true" hidden="false"/>
    </xf>
    <xf numFmtId="171" fontId="11"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72" fontId="11" fillId="2" borderId="0" xfId="0" applyFont="true" applyBorder="false" applyAlignment="true" applyProtection="false">
      <alignment horizontal="general" vertical="bottom" textRotation="0" wrapText="false" indent="0" shrinkToFit="false"/>
      <protection locked="true" hidden="false"/>
    </xf>
    <xf numFmtId="166" fontId="11" fillId="2" borderId="0" xfId="0" applyFont="true" applyBorder="false" applyAlignment="true" applyProtection="false">
      <alignment horizontal="general" vertical="bottom" textRotation="0" wrapText="false" indent="0" shrinkToFit="false"/>
      <protection locked="true" hidden="false"/>
    </xf>
    <xf numFmtId="166" fontId="14" fillId="4" borderId="0" xfId="0" applyFont="true" applyBorder="false" applyAlignment="true" applyProtection="false">
      <alignment horizontal="general" vertical="center" textRotation="0" wrapText="true" indent="0" shrinkToFit="false"/>
      <protection locked="true" hidden="false"/>
    </xf>
    <xf numFmtId="173" fontId="11" fillId="2"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0" fontId="11" fillId="2" borderId="0" xfId="0" applyFont="true" applyBorder="false" applyAlignment="true" applyProtection="false">
      <alignment horizontal="general" vertical="bottom" textRotation="0" wrapText="false" indent="0" shrinkToFit="false"/>
      <protection locked="true" hidden="false"/>
    </xf>
    <xf numFmtId="169" fontId="7" fillId="0" borderId="2" xfId="0" applyFont="true" applyBorder="tru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5" fontId="8" fillId="3" borderId="0" xfId="0" applyFont="true" applyBorder="false" applyAlignment="true" applyProtection="false">
      <alignment horizontal="general" vertical="bottom" textRotation="0" wrapText="false" indent="0" shrinkToFit="false"/>
      <protection locked="true" hidden="false"/>
    </xf>
    <xf numFmtId="169" fontId="8" fillId="3" borderId="0" xfId="0" applyFont="true" applyBorder="fals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left" vertical="bottom" textRotation="0" wrapText="false" indent="0" shrinkToFit="false"/>
      <protection locked="true" hidden="false"/>
    </xf>
    <xf numFmtId="164" fontId="14" fillId="4" borderId="0" xfId="0" applyFont="true" applyBorder="false" applyAlignment="true" applyProtection="false">
      <alignment horizontal="right"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70" fontId="7" fillId="0" borderId="2" xfId="0" applyFont="true" applyBorder="tru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true" indent="0" shrinkToFit="false"/>
      <protection locked="true" hidden="false"/>
    </xf>
    <xf numFmtId="165" fontId="18" fillId="3" borderId="0" xfId="0" applyFont="true" applyBorder="false" applyAlignment="true" applyProtection="false">
      <alignment horizontal="general" vertical="bottom" textRotation="0" wrapText="false" indent="0" shrinkToFit="false"/>
      <protection locked="true" hidden="false"/>
    </xf>
    <xf numFmtId="174" fontId="18" fillId="0" borderId="0" xfId="0" applyFont="true" applyBorder="false" applyAlignment="true" applyProtection="false">
      <alignment horizontal="general" vertical="bottom" textRotation="0" wrapText="false" indent="0" shrinkToFit="false"/>
      <protection locked="true" hidden="false"/>
    </xf>
    <xf numFmtId="167" fontId="1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FFE699"/>
          <bgColor rgb="FF000000"/>
        </patternFill>
      </fill>
    </dxf>
    <dxf>
      <fill>
        <patternFill patternType="solid">
          <fgColor rgb="FF0000FF"/>
          <bgColor rgb="FF000000"/>
        </patternFill>
      </fill>
    </dxf>
    <dxf>
      <fill>
        <patternFill>
          <bgColor rgb="FFF8CBAD"/>
        </patternFill>
      </fill>
    </dxf>
    <dxf>
      <fill>
        <patternFill>
          <bgColor rgb="FFFFE699"/>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2E75B6"/>
      <rgbColor rgb="FF33CCCC"/>
      <rgbColor rgb="FF99CC00"/>
      <rgbColor rgb="FFFFCC00"/>
      <rgbColor rgb="FFFF9900"/>
      <rgbColor rgb="FFFF6600"/>
      <rgbColor rgb="FF595959"/>
      <rgbColor rgb="FFA6A6A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B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19.5" hidden="false" customHeight="true" outlineLevel="0" collapsed="false">
      <c r="A1" s="2" t="s">
        <v>0</v>
      </c>
    </row>
    <row r="2" customFormat="false" ht="15" hidden="false" customHeight="true" outlineLevel="0" collapsed="false">
      <c r="A2" s="3" t="s">
        <v>1</v>
      </c>
    </row>
    <row r="5" customFormat="false" ht="15" hidden="false" customHeight="true" outlineLevel="0" collapsed="false">
      <c r="A5" s="4" t="s">
        <v>2</v>
      </c>
    </row>
    <row r="6" customFormat="false" ht="15" hidden="false" customHeight="true" outlineLevel="0" collapsed="false">
      <c r="A6" s="5" t="s">
        <v>3</v>
      </c>
      <c r="B6" s="6" t="s">
        <v>4</v>
      </c>
    </row>
    <row r="7" customFormat="false" ht="23.25" hidden="false" customHeight="true" outlineLevel="0" collapsed="false">
      <c r="A7" s="5" t="s">
        <v>5</v>
      </c>
      <c r="B7" s="6" t="s">
        <v>6</v>
      </c>
    </row>
    <row r="8" customFormat="false" ht="15" hidden="false" customHeight="true" outlineLevel="0" collapsed="false">
      <c r="A8" s="5" t="s">
        <v>7</v>
      </c>
      <c r="B8" s="6" t="s">
        <v>8</v>
      </c>
    </row>
    <row r="9" customFormat="false" ht="15" hidden="false" customHeight="true" outlineLevel="0" collapsed="false">
      <c r="A9" s="5" t="s">
        <v>9</v>
      </c>
      <c r="B9" s="6" t="s">
        <v>10</v>
      </c>
    </row>
    <row r="10" customFormat="false" ht="15" hidden="false" customHeight="true" outlineLevel="0" collapsed="false">
      <c r="A10" s="5" t="s">
        <v>11</v>
      </c>
      <c r="B10" s="6" t="s">
        <v>12</v>
      </c>
    </row>
    <row r="11" customFormat="false" ht="23.25" hidden="false" customHeight="true" outlineLevel="0" collapsed="false">
      <c r="A11" s="5" t="s">
        <v>13</v>
      </c>
      <c r="B11" s="6" t="s">
        <v>14</v>
      </c>
    </row>
    <row r="12" customFormat="false" ht="15" hidden="false" customHeight="true" outlineLevel="0" collapsed="false">
      <c r="A12" s="5" t="s">
        <v>15</v>
      </c>
      <c r="B12" s="6" t="s">
        <v>16</v>
      </c>
    </row>
    <row r="14" customFormat="false" ht="15" hidden="false" customHeight="true" outlineLevel="0" collapsed="false">
      <c r="A14" s="4" t="s">
        <v>17</v>
      </c>
    </row>
    <row r="15" customFormat="false" ht="15" hidden="false" customHeight="true" outlineLevel="0" collapsed="false">
      <c r="A15" s="7" t="s">
        <v>18</v>
      </c>
      <c r="B15" s="6" t="s">
        <v>19</v>
      </c>
    </row>
    <row r="16" customFormat="false" ht="15" hidden="false" customHeight="true" outlineLevel="0" collapsed="false">
      <c r="A16" s="8" t="s">
        <v>20</v>
      </c>
      <c r="B16" s="6" t="s">
        <v>21</v>
      </c>
    </row>
    <row r="17" customFormat="false" ht="15" hidden="false" customHeight="true" outlineLevel="0" collapsed="false">
      <c r="A17" s="5" t="s">
        <v>22</v>
      </c>
      <c r="B17" s="6" t="s">
        <v>23</v>
      </c>
    </row>
    <row r="19" customFormat="false" ht="15" hidden="false" customHeight="true" outlineLevel="0" collapsed="false">
      <c r="A19" s="4" t="s">
        <v>24</v>
      </c>
    </row>
    <row r="20" customFormat="false" ht="15" hidden="false" customHeight="true" outlineLevel="0" collapsed="false">
      <c r="A20" s="5" t="s">
        <v>25</v>
      </c>
      <c r="B20" s="6" t="s">
        <v>26</v>
      </c>
    </row>
    <row r="21" customFormat="false" ht="23.25" hidden="false" customHeight="true" outlineLevel="0" collapsed="false">
      <c r="A21" s="5" t="s">
        <v>27</v>
      </c>
      <c r="B21" s="6" t="s">
        <v>28</v>
      </c>
    </row>
    <row r="22" customFormat="false" ht="15" hidden="false" customHeight="true" outlineLevel="0" collapsed="false">
      <c r="A22" s="5" t="s">
        <v>29</v>
      </c>
      <c r="B22" s="6" t="s">
        <v>30</v>
      </c>
    </row>
    <row r="23" customFormat="false" ht="23.25" hidden="false" customHeight="true" outlineLevel="0" collapsed="false">
      <c r="A23" s="5" t="s">
        <v>31</v>
      </c>
      <c r="B23" s="6" t="s">
        <v>32</v>
      </c>
    </row>
    <row r="24" customFormat="false" ht="15" hidden="false" customHeight="true" outlineLevel="0" collapsed="false">
      <c r="A24" s="5" t="s">
        <v>33</v>
      </c>
      <c r="B24" s="6" t="s">
        <v>34</v>
      </c>
    </row>
    <row r="25" customFormat="false" ht="15" hidden="false" customHeight="true" outlineLevel="0" collapsed="false">
      <c r="A25" s="5" t="s">
        <v>35</v>
      </c>
      <c r="B25" s="6" t="s">
        <v>36</v>
      </c>
    </row>
    <row r="26" customFormat="false" ht="15" hidden="false" customHeight="true" outlineLevel="0" collapsed="false">
      <c r="A26" s="5" t="s">
        <v>37</v>
      </c>
      <c r="B26" s="6" t="s">
        <v>38</v>
      </c>
    </row>
    <row r="27" customFormat="false" ht="15" hidden="false" customHeight="true" outlineLevel="0" collapsed="false">
      <c r="A27" s="5" t="s">
        <v>39</v>
      </c>
      <c r="B27" s="6" t="s">
        <v>40</v>
      </c>
    </row>
    <row r="28" customFormat="false" ht="23.25" hidden="false" customHeight="true" outlineLevel="0" collapsed="false">
      <c r="A28" s="5" t="s">
        <v>41</v>
      </c>
      <c r="B28" s="6" t="s">
        <v>42</v>
      </c>
    </row>
    <row r="30" customFormat="false" ht="15" hidden="false" customHeight="true" outlineLevel="0" collapsed="false">
      <c r="A30" s="4" t="s">
        <v>43</v>
      </c>
    </row>
    <row r="31" customFormat="false" ht="23.25" hidden="false" customHeight="true" outlineLevel="0" collapsed="false">
      <c r="A31" s="5" t="s">
        <v>44</v>
      </c>
      <c r="B31" s="6" t="s">
        <v>45</v>
      </c>
    </row>
    <row r="32" customFormat="false" ht="15" hidden="false" customHeight="true" outlineLevel="0" collapsed="false">
      <c r="A32" s="5" t="s">
        <v>46</v>
      </c>
      <c r="B32" s="6" t="s">
        <v>47</v>
      </c>
    </row>
    <row r="34" customFormat="false" ht="15" hidden="false" customHeight="true" outlineLevel="0" collapsed="false">
      <c r="A34" s="4" t="s">
        <v>48</v>
      </c>
    </row>
    <row r="35" customFormat="false" ht="23.25" hidden="false" customHeight="true" outlineLevel="0" collapsed="false">
      <c r="A35" s="9" t="s">
        <v>49</v>
      </c>
      <c r="B35" s="6" t="s">
        <v>50</v>
      </c>
    </row>
    <row r="36" customFormat="false" ht="23.25" hidden="false" customHeight="true" outlineLevel="0" collapsed="false">
      <c r="A36" s="9" t="s">
        <v>51</v>
      </c>
      <c r="B36" s="6" t="s">
        <v>52</v>
      </c>
    </row>
    <row r="37" customFormat="false" ht="15" hidden="false" customHeight="true" outlineLevel="0" collapsed="false">
      <c r="A37" s="9" t="s">
        <v>53</v>
      </c>
      <c r="B37" s="6"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12"/>
    <col collapsed="false" customWidth="true" hidden="false" outlineLevel="0" max="8" min="4" style="1" width="13"/>
    <col collapsed="false" customWidth="true" hidden="false" outlineLevel="0" max="9" min="9" style="1" width="70"/>
  </cols>
  <sheetData>
    <row r="1" customFormat="false" ht="19.5" hidden="false" customHeight="true" outlineLevel="0" collapsed="false">
      <c r="A1" s="2" t="s">
        <v>55</v>
      </c>
    </row>
    <row r="2" customFormat="false" ht="15" hidden="false" customHeight="true" outlineLevel="0" collapsed="false">
      <c r="A2" s="3" t="s">
        <v>56</v>
      </c>
    </row>
    <row r="3" customFormat="false" ht="15" hidden="false" customHeight="true" outlineLevel="0" collapsed="false">
      <c r="B3" s="10" t="s">
        <v>57</v>
      </c>
      <c r="C3" s="11" t="s">
        <v>58</v>
      </c>
      <c r="E3" s="12" t="str">
        <f aca="false">IFERROR(INDEX(Biens!$B$5:$B$30,MATCH(Synthèse!$C$3,Biens!$A$5:$A$30,0)),0)</f>
        <v>Appartement exemple</v>
      </c>
    </row>
    <row r="4" customFormat="false" ht="15" hidden="false" customHeight="true" outlineLevel="0" collapsed="false">
      <c r="B4" s="10" t="s">
        <v>59</v>
      </c>
      <c r="C4" s="13" t="n">
        <v>46320</v>
      </c>
      <c r="E4" s="14" t="str">
        <f aca="false">"Régime : "&amp;IFERROR(INDEX(Biens!$G$5:$G$30,MATCH(Synthèse!$C$3,Biens!$A$5:$A$30,0)),0)</f>
        <v>Régime : LMNP réel</v>
      </c>
      <c r="G4" s="14" t="s">
        <v>60</v>
      </c>
      <c r="H4" s="15" t="n">
        <f aca="false">IFERROR(INDEX(Biens!$O$5:$O$30,MATCH(Synthèse!$C$3,Biens!$A$5:$A$30,0)),0)</f>
        <v>45430</v>
      </c>
    </row>
    <row r="7" customFormat="false" ht="30" hidden="false" customHeight="true" outlineLevel="0" collapsed="false">
      <c r="B7" s="16" t="s">
        <v>61</v>
      </c>
      <c r="C7" s="17"/>
      <c r="D7" s="18" t="n">
        <v>2024</v>
      </c>
      <c r="E7" s="18" t="n">
        <v>2025</v>
      </c>
      <c r="F7" s="18" t="n">
        <v>2026</v>
      </c>
      <c r="G7" s="18" t="n">
        <v>2027</v>
      </c>
      <c r="H7" s="18" t="n">
        <v>2028</v>
      </c>
    </row>
    <row r="9" customFormat="false" ht="15" hidden="false" customHeight="true" outlineLevel="0" collapsed="false">
      <c r="B9" s="19" t="s">
        <v>62</v>
      </c>
    </row>
    <row r="10" customFormat="false" ht="15" hidden="false" customHeight="true" outlineLevel="0" collapsed="false">
      <c r="B10" s="20" t="s">
        <v>63</v>
      </c>
      <c r="D10" s="21" t="n">
        <f aca="false">IF(D$7&gt;YEAR($C$4),"",SUMIFS(Journal!$K$5:$K$1004,Journal!$C$5:$C$1004,$C$3,Journal!$B$5:$B$1004,D$7,Journal!$E$5:$E$1004,"Loyer hors charges"))</f>
        <v>7692.3</v>
      </c>
      <c r="E10" s="21" t="n">
        <f aca="false">IF(E$7&gt;YEAR($C$4),"",SUMIFS(Journal!$K$5:$K$1004,Journal!$C$5:$C$1004,$C$3,Journal!$B$5:$B$1004,E$7,Journal!$E$5:$E$1004,"Loyer hors charges"))</f>
        <v>12387.89</v>
      </c>
      <c r="F10" s="21" t="n">
        <f aca="false">IF(F$7&gt;YEAR($C$4),"",SUMIFS(Journal!$K$5:$K$1004,Journal!$C$5:$C$1004,$C$3,Journal!$B$5:$B$1004,F$7,Journal!$E$5:$E$1004,"Loyer hors charges"))</f>
        <v>10511.92</v>
      </c>
      <c r="G10" s="21" t="str">
        <f aca="false">IF(G$7&gt;YEAR($C$4),"",SUMIFS(Journal!$K$5:$K$1004,Journal!$C$5:$C$1004,$C$3,Journal!$B$5:$B$1004,G$7,Journal!$E$5:$E$1004,"Loyer hors charges"))</f>
        <v/>
      </c>
      <c r="H10" s="21" t="str">
        <f aca="false">IF(H$7&gt;YEAR($C$4),"",SUMIFS(Journal!$K$5:$K$1004,Journal!$C$5:$C$1004,$C$3,Journal!$B$5:$B$1004,H$7,Journal!$E$5:$E$1004,"Loyer hors charges"))</f>
        <v/>
      </c>
    </row>
    <row r="11" customFormat="false" ht="15" hidden="false" customHeight="true" outlineLevel="0" collapsed="false">
      <c r="B11" s="20" t="s">
        <v>64</v>
      </c>
      <c r="D11" s="21" t="n">
        <f aca="false">IF(D$7&gt;YEAR($C$4),"",SUMIFS(Journal!$K$5:$K$1004,Journal!$C$5:$C$1004,$C$3,Journal!$B$5:$B$1004,D$7,Journal!$J$5:$J$1004,"Charges refacturées"))</f>
        <v>674.46</v>
      </c>
      <c r="E11" s="21" t="n">
        <f aca="false">IF(E$7&gt;YEAR($C$4),"",SUMIFS(Journal!$K$5:$K$1004,Journal!$C$5:$C$1004,$C$3,Journal!$B$5:$B$1004,E$7,Journal!$J$5:$J$1004,"Charges refacturées"))</f>
        <v>1315.26</v>
      </c>
      <c r="F11" s="21" t="n">
        <f aca="false">IF(F$7&gt;YEAR($C$4),"",SUMIFS(Journal!$K$5:$K$1004,Journal!$C$5:$C$1004,$C$3,Journal!$B$5:$B$1004,F$7,Journal!$J$5:$J$1004,"Charges refacturées"))</f>
        <v>920.7</v>
      </c>
      <c r="G11" s="21" t="str">
        <f aca="false">IF(G$7&gt;YEAR($C$4),"",SUMIFS(Journal!$K$5:$K$1004,Journal!$C$5:$C$1004,$C$3,Journal!$B$5:$B$1004,G$7,Journal!$J$5:$J$1004,"Charges refacturées"))</f>
        <v/>
      </c>
      <c r="H11" s="21" t="str">
        <f aca="false">IF(H$7&gt;YEAR($C$4),"",SUMIFS(Journal!$K$5:$K$1004,Journal!$C$5:$C$1004,$C$3,Journal!$B$5:$B$1004,H$7,Journal!$J$5:$J$1004,"Charges refacturées"))</f>
        <v/>
      </c>
    </row>
    <row r="12" customFormat="false" ht="15" hidden="false" customHeight="true" outlineLevel="0" collapsed="false">
      <c r="B12" s="20" t="s">
        <v>65</v>
      </c>
      <c r="D12" s="21" t="n">
        <f aca="false">IF(D$7&gt;YEAR($C$4),"",SUMIFS(Journal!$K$5:$K$1004,Journal!$C$5:$C$1004,$C$3,Journal!$B$5:$B$1004,D$7,Journal!$J$5:$J$1004,"Autres recettes"))</f>
        <v>0</v>
      </c>
      <c r="E12" s="21" t="n">
        <f aca="false">IF(E$7&gt;YEAR($C$4),"",SUMIFS(Journal!$K$5:$K$1004,Journal!$C$5:$C$1004,$C$3,Journal!$B$5:$B$1004,E$7,Journal!$J$5:$J$1004,"Autres recettes"))</f>
        <v>0</v>
      </c>
      <c r="F12" s="21" t="n">
        <f aca="false">IF(F$7&gt;YEAR($C$4),"",SUMIFS(Journal!$K$5:$K$1004,Journal!$C$5:$C$1004,$C$3,Journal!$B$5:$B$1004,F$7,Journal!$J$5:$J$1004,"Autres recettes"))</f>
        <v>0</v>
      </c>
      <c r="G12" s="21" t="str">
        <f aca="false">IF(G$7&gt;YEAR($C$4),"",SUMIFS(Journal!$K$5:$K$1004,Journal!$C$5:$C$1004,$C$3,Journal!$B$5:$B$1004,G$7,Journal!$J$5:$J$1004,"Autres recettes"))</f>
        <v/>
      </c>
      <c r="H12" s="21" t="str">
        <f aca="false">IF(H$7&gt;YEAR($C$4),"",SUMIFS(Journal!$K$5:$K$1004,Journal!$C$5:$C$1004,$C$3,Journal!$B$5:$B$1004,H$7,Journal!$J$5:$J$1004,"Autres recettes"))</f>
        <v/>
      </c>
    </row>
    <row r="13" customFormat="false" ht="15" hidden="false" customHeight="true" outlineLevel="0" collapsed="false">
      <c r="B13" s="10" t="s">
        <v>66</v>
      </c>
      <c r="D13" s="22" t="n">
        <f aca="false">IF(D$7&gt;YEAR($C$4),"",SUMIFS(Journal!$K$5:$K$1004,Journal!$C$5:$C$1004,$C$3,Journal!$B$5:$B$1004,D$7,Journal!$I$5:$I$1004,"Imposable"))</f>
        <v>8366.76</v>
      </c>
      <c r="E13" s="22" t="n">
        <f aca="false">IF(E$7&gt;YEAR($C$4),"",SUMIFS(Journal!$K$5:$K$1004,Journal!$C$5:$C$1004,$C$3,Journal!$B$5:$B$1004,E$7,Journal!$I$5:$I$1004,"Imposable"))</f>
        <v>13703.15</v>
      </c>
      <c r="F13" s="22" t="n">
        <f aca="false">IF(F$7&gt;YEAR($C$4),"",SUMIFS(Journal!$K$5:$K$1004,Journal!$C$5:$C$1004,$C$3,Journal!$B$5:$B$1004,F$7,Journal!$I$5:$I$1004,"Imposable"))</f>
        <v>11432.62</v>
      </c>
      <c r="G13" s="22" t="str">
        <f aca="false">IF(G$7&gt;YEAR($C$4),"",SUMIFS(Journal!$K$5:$K$1004,Journal!$C$5:$C$1004,$C$3,Journal!$B$5:$B$1004,G$7,Journal!$I$5:$I$1004,"Imposable"))</f>
        <v/>
      </c>
      <c r="H13" s="22" t="str">
        <f aca="false">IF(H$7&gt;YEAR($C$4),"",SUMIFS(Journal!$K$5:$K$1004,Journal!$C$5:$C$1004,$C$3,Journal!$B$5:$B$1004,H$7,Journal!$I$5:$I$1004,"Imposable"))</f>
        <v/>
      </c>
    </row>
    <row r="15" customFormat="false" ht="15" hidden="false" customHeight="true" outlineLevel="0" collapsed="false">
      <c r="B15" s="20" t="s">
        <v>67</v>
      </c>
      <c r="D15" s="21" t="n">
        <f aca="false">IF(D$7&gt;YEAR($C$4),"",-SUMIFS(Journal!$K$5:$K$1004,Journal!$C$5:$C$1004,$C$3,Journal!$B$5:$B$1004,D$7,Journal!$J$5:$J$1004,"Frais de gestion",Journal!$I$5:$I$1004,"Déductible"))</f>
        <v>1260.15</v>
      </c>
      <c r="E15" s="21" t="n">
        <f aca="false">IF(E$7&gt;YEAR($C$4),"",-SUMIFS(Journal!$K$5:$K$1004,Journal!$C$5:$C$1004,$C$3,Journal!$B$5:$B$1004,E$7,Journal!$J$5:$J$1004,"Frais de gestion",Journal!$I$5:$I$1004,"Déductible"))</f>
        <v>1611.54</v>
      </c>
      <c r="F15" s="21" t="n">
        <f aca="false">IF(F$7&gt;YEAR($C$4),"",-SUMIFS(Journal!$K$5:$K$1004,Journal!$C$5:$C$1004,$C$3,Journal!$B$5:$B$1004,F$7,Journal!$J$5:$J$1004,"Frais de gestion",Journal!$I$5:$I$1004,"Déductible"))</f>
        <v>1411.05</v>
      </c>
      <c r="G15" s="21" t="str">
        <f aca="false">IF(G$7&gt;YEAR($C$4),"",-SUMIFS(Journal!$K$5:$K$1004,Journal!$C$5:$C$1004,$C$3,Journal!$B$5:$B$1004,G$7,Journal!$J$5:$J$1004,"Frais de gestion",Journal!$I$5:$I$1004,"Déductible"))</f>
        <v/>
      </c>
      <c r="H15" s="21" t="str">
        <f aca="false">IF(H$7&gt;YEAR($C$4),"",-SUMIFS(Journal!$K$5:$K$1004,Journal!$C$5:$C$1004,$C$3,Journal!$B$5:$B$1004,H$7,Journal!$J$5:$J$1004,"Frais de gestion",Journal!$I$5:$I$1004,"Déductible"))</f>
        <v/>
      </c>
    </row>
    <row r="16" customFormat="false" ht="15" hidden="false" customHeight="true" outlineLevel="0" collapsed="false">
      <c r="B16" s="20" t="s">
        <v>68</v>
      </c>
      <c r="D16" s="21" t="n">
        <f aca="false">IF(D$7&gt;YEAR($C$4),"",-SUMIFS(Journal!$K$5:$K$1004,Journal!$C$5:$C$1004,$C$3,Journal!$B$5:$B$1004,D$7,Journal!$J$5:$J$1004,"Copropriété",Journal!$I$5:$I$1004,"Déductible"))</f>
        <v>1177.59</v>
      </c>
      <c r="E16" s="21" t="n">
        <f aca="false">IF(E$7&gt;YEAR($C$4),"",-SUMIFS(Journal!$K$5:$K$1004,Journal!$C$5:$C$1004,$C$3,Journal!$B$5:$B$1004,E$7,Journal!$J$5:$J$1004,"Copropriété",Journal!$I$5:$I$1004,"Déductible"))</f>
        <v>2426.77</v>
      </c>
      <c r="F16" s="21" t="n">
        <f aca="false">IF(F$7&gt;YEAR($C$4),"",-SUMIFS(Journal!$K$5:$K$1004,Journal!$C$5:$C$1004,$C$3,Journal!$B$5:$B$1004,F$7,Journal!$J$5:$J$1004,"Copropriété",Journal!$I$5:$I$1004,"Déductible"))</f>
        <v>3791.6</v>
      </c>
      <c r="G16" s="21" t="str">
        <f aca="false">IF(G$7&gt;YEAR($C$4),"",-SUMIFS(Journal!$K$5:$K$1004,Journal!$C$5:$C$1004,$C$3,Journal!$B$5:$B$1004,G$7,Journal!$J$5:$J$1004,"Copropriété",Journal!$I$5:$I$1004,"Déductible"))</f>
        <v/>
      </c>
      <c r="H16" s="21" t="str">
        <f aca="false">IF(H$7&gt;YEAR($C$4),"",-SUMIFS(Journal!$K$5:$K$1004,Journal!$C$5:$C$1004,$C$3,Journal!$B$5:$B$1004,H$7,Journal!$J$5:$J$1004,"Copropriété",Journal!$I$5:$I$1004,"Déductible"))</f>
        <v/>
      </c>
    </row>
    <row r="17" customFormat="false" ht="15" hidden="false" customHeight="true" outlineLevel="0" collapsed="false">
      <c r="B17" s="20" t="s">
        <v>69</v>
      </c>
      <c r="D17" s="21" t="n">
        <f aca="false">IF(D$7&gt;YEAR($C$4),"",-SUMIFS(Journal!$K$5:$K$1004,Journal!$C$5:$C$1004,$C$3,Journal!$B$5:$B$1004,D$7,Journal!$J$5:$J$1004,"Assurances",Journal!$I$5:$I$1004,"Déductible"))</f>
        <v>105.8</v>
      </c>
      <c r="E17" s="21" t="n">
        <f aca="false">IF(E$7&gt;YEAR($C$4),"",-SUMIFS(Journal!$K$5:$K$1004,Journal!$C$5:$C$1004,$C$3,Journal!$B$5:$B$1004,E$7,Journal!$J$5:$J$1004,"Assurances",Journal!$I$5:$I$1004,"Déductible"))</f>
        <v>114.18</v>
      </c>
      <c r="F17" s="21" t="n">
        <f aca="false">IF(F$7&gt;YEAR($C$4),"",-SUMIFS(Journal!$K$5:$K$1004,Journal!$C$5:$C$1004,$C$3,Journal!$B$5:$B$1004,F$7,Journal!$J$5:$J$1004,"Assurances",Journal!$I$5:$I$1004,"Déductible"))</f>
        <v>-0</v>
      </c>
      <c r="G17" s="21" t="str">
        <f aca="false">IF(G$7&gt;YEAR($C$4),"",-SUMIFS(Journal!$K$5:$K$1004,Journal!$C$5:$C$1004,$C$3,Journal!$B$5:$B$1004,G$7,Journal!$J$5:$J$1004,"Assurances",Journal!$I$5:$I$1004,"Déductible"))</f>
        <v/>
      </c>
      <c r="H17" s="21" t="str">
        <f aca="false">IF(H$7&gt;YEAR($C$4),"",-SUMIFS(Journal!$K$5:$K$1004,Journal!$C$5:$C$1004,$C$3,Journal!$B$5:$B$1004,H$7,Journal!$J$5:$J$1004,"Assurances",Journal!$I$5:$I$1004,"Déductible"))</f>
        <v/>
      </c>
    </row>
    <row r="18" customFormat="false" ht="15" hidden="false" customHeight="true" outlineLevel="0" collapsed="false">
      <c r="B18" s="20" t="s">
        <v>70</v>
      </c>
      <c r="D18" s="21" t="n">
        <f aca="false">IF(D$7&gt;YEAR($C$4),"",-SUMIFS(Journal!$K$5:$K$1004,Journal!$C$5:$C$1004,$C$3,Journal!$B$5:$B$1004,D$7,Journal!$J$5:$J$1004,"Impôts et taxes",Journal!$I$5:$I$1004,"Déductible"))</f>
        <v>553.35</v>
      </c>
      <c r="E18" s="21" t="n">
        <f aca="false">IF(E$7&gt;YEAR($C$4),"",-SUMIFS(Journal!$K$5:$K$1004,Journal!$C$5:$C$1004,$C$3,Journal!$B$5:$B$1004,E$7,Journal!$J$5:$J$1004,"Impôts et taxes",Journal!$I$5:$I$1004,"Déductible"))</f>
        <v>561.72</v>
      </c>
      <c r="F18" s="21" t="n">
        <f aca="false">IF(F$7&gt;YEAR($C$4),"",-SUMIFS(Journal!$K$5:$K$1004,Journal!$C$5:$C$1004,$C$3,Journal!$B$5:$B$1004,F$7,Journal!$J$5:$J$1004,"Impôts et taxes",Journal!$I$5:$I$1004,"Déductible"))</f>
        <v>885.36</v>
      </c>
      <c r="G18" s="21" t="str">
        <f aca="false">IF(G$7&gt;YEAR($C$4),"",-SUMIFS(Journal!$K$5:$K$1004,Journal!$C$5:$C$1004,$C$3,Journal!$B$5:$B$1004,G$7,Journal!$J$5:$J$1004,"Impôts et taxes",Journal!$I$5:$I$1004,"Déductible"))</f>
        <v/>
      </c>
      <c r="H18" s="21" t="str">
        <f aca="false">IF(H$7&gt;YEAR($C$4),"",-SUMIFS(Journal!$K$5:$K$1004,Journal!$C$5:$C$1004,$C$3,Journal!$B$5:$B$1004,H$7,Journal!$J$5:$J$1004,"Impôts et taxes",Journal!$I$5:$I$1004,"Déductible"))</f>
        <v/>
      </c>
    </row>
    <row r="19" customFormat="false" ht="15" hidden="false" customHeight="true" outlineLevel="0" collapsed="false">
      <c r="B19" s="20" t="s">
        <v>71</v>
      </c>
      <c r="D19" s="21" t="n">
        <f aca="false">IF(D$7&gt;YEAR($C$4),"",-SUMIFS(Journal!$K$5:$K$1004,Journal!$C$5:$C$1004,$C$3,Journal!$B$5:$B$1004,D$7,Journal!$J$5:$J$1004,"Entretien et petit équipement",Journal!$I$5:$I$1004,"Déductible"))</f>
        <v>453.84</v>
      </c>
      <c r="E19" s="21" t="n">
        <f aca="false">IF(E$7&gt;YEAR($C$4),"",-SUMIFS(Journal!$K$5:$K$1004,Journal!$C$5:$C$1004,$C$3,Journal!$B$5:$B$1004,E$7,Journal!$J$5:$J$1004,"Entretien et petit équipement",Journal!$I$5:$I$1004,"Déductible"))</f>
        <v>386.42</v>
      </c>
      <c r="F19" s="21" t="n">
        <f aca="false">IF(F$7&gt;YEAR($C$4),"",-SUMIFS(Journal!$K$5:$K$1004,Journal!$C$5:$C$1004,$C$3,Journal!$B$5:$B$1004,F$7,Journal!$J$5:$J$1004,"Entretien et petit équipement",Journal!$I$5:$I$1004,"Déductible"))</f>
        <v>1141.67</v>
      </c>
      <c r="G19" s="21" t="str">
        <f aca="false">IF(G$7&gt;YEAR($C$4),"",-SUMIFS(Journal!$K$5:$K$1004,Journal!$C$5:$C$1004,$C$3,Journal!$B$5:$B$1004,G$7,Journal!$J$5:$J$1004,"Entretien et petit équipement",Journal!$I$5:$I$1004,"Déductible"))</f>
        <v/>
      </c>
      <c r="H19" s="21" t="str">
        <f aca="false">IF(H$7&gt;YEAR($C$4),"",-SUMIFS(Journal!$K$5:$K$1004,Journal!$C$5:$C$1004,$C$3,Journal!$B$5:$B$1004,H$7,Journal!$J$5:$J$1004,"Entretien et petit équipement",Journal!$I$5:$I$1004,"Déductible"))</f>
        <v/>
      </c>
    </row>
    <row r="20" customFormat="false" ht="15" hidden="false" customHeight="true" outlineLevel="0" collapsed="false">
      <c r="B20" s="20" t="s">
        <v>72</v>
      </c>
      <c r="D20" s="21" t="n">
        <f aca="false">IF(D$7&gt;YEAR($C$4),"",-SUMIFS(Journal!$K$5:$K$1004,Journal!$C$5:$C$1004,$C$3,Journal!$B$5:$B$1004,D$7,Journal!$J$5:$J$1004,"Autres charges",Journal!$I$5:$I$1004,"Déductible"))</f>
        <v>-0</v>
      </c>
      <c r="E20" s="21" t="n">
        <f aca="false">IF(E$7&gt;YEAR($C$4),"",-SUMIFS(Journal!$K$5:$K$1004,Journal!$C$5:$C$1004,$C$3,Journal!$B$5:$B$1004,E$7,Journal!$J$5:$J$1004,"Autres charges",Journal!$I$5:$I$1004,"Déductible"))</f>
        <v>-0</v>
      </c>
      <c r="F20" s="21" t="n">
        <f aca="false">IF(F$7&gt;YEAR($C$4),"",-SUMIFS(Journal!$K$5:$K$1004,Journal!$C$5:$C$1004,$C$3,Journal!$B$5:$B$1004,F$7,Journal!$J$5:$J$1004,"Autres charges",Journal!$I$5:$I$1004,"Déductible"))</f>
        <v>-0</v>
      </c>
      <c r="G20" s="21" t="str">
        <f aca="false">IF(G$7&gt;YEAR($C$4),"",-SUMIFS(Journal!$K$5:$K$1004,Journal!$C$5:$C$1004,$C$3,Journal!$B$5:$B$1004,G$7,Journal!$J$5:$J$1004,"Autres charges",Journal!$I$5:$I$1004,"Déductible"))</f>
        <v/>
      </c>
      <c r="H20" s="21" t="str">
        <f aca="false">IF(H$7&gt;YEAR($C$4),"",-SUMIFS(Journal!$K$5:$K$1004,Journal!$C$5:$C$1004,$C$3,Journal!$B$5:$B$1004,H$7,Journal!$J$5:$J$1004,"Autres charges",Journal!$I$5:$I$1004,"Déductible"))</f>
        <v/>
      </c>
    </row>
    <row r="21" customFormat="false" ht="15" hidden="false" customHeight="true" outlineLevel="0" collapsed="false">
      <c r="B21" s="20" t="s">
        <v>73</v>
      </c>
      <c r="D21" s="21" t="n">
        <f aca="false">IF(D$7&gt;YEAR($C$4),"",SUMIFS(Échéancier!$G$5:$G$300,Échéancier!$J$5:$J$300,$C$3,Échéancier!$D$5:$D$300,D$7,Échéancier!$K$5:$K$300,1,Échéancier!$C$5:$C$300,"&lt;="&amp;$C$4))</f>
        <v>1035.57</v>
      </c>
      <c r="E21" s="21" t="n">
        <f aca="false">IF(E$7&gt;YEAR($C$4),"",SUMIFS(Échéancier!$G$5:$G$300,Échéancier!$J$5:$J$300,$C$3,Échéancier!$D$5:$D$300,E$7,Échéancier!$K$5:$K$300,1,Échéancier!$C$5:$C$300,"&lt;="&amp;$C$4))</f>
        <v>1678.76</v>
      </c>
      <c r="F21" s="21" t="n">
        <f aca="false">IF(F$7&gt;YEAR($C$4),"",SUMIFS(Échéancier!$G$5:$G$300,Échéancier!$J$5:$J$300,$C$3,Échéancier!$D$5:$D$300,F$7,Échéancier!$K$5:$K$300,1,Échéancier!$C$5:$C$300,"&lt;="&amp;$C$4))</f>
        <v>1304.71</v>
      </c>
      <c r="G21" s="21" t="str">
        <f aca="false">IF(G$7&gt;YEAR($C$4),"",SUMIFS(Échéancier!$G$5:$G$300,Échéancier!$J$5:$J$300,$C$3,Échéancier!$D$5:$D$300,G$7,Échéancier!$K$5:$K$300,1,Échéancier!$C$5:$C$300,"&lt;="&amp;$C$4))</f>
        <v/>
      </c>
      <c r="H21" s="21" t="str">
        <f aca="false">IF(H$7&gt;YEAR($C$4),"",SUMIFS(Échéancier!$G$5:$G$300,Échéancier!$J$5:$J$300,$C$3,Échéancier!$D$5:$D$300,H$7,Échéancier!$K$5:$K$300,1,Échéancier!$C$5:$C$300,"&lt;="&amp;$C$4))</f>
        <v/>
      </c>
    </row>
    <row r="22" customFormat="false" ht="15" hidden="false" customHeight="true" outlineLevel="0" collapsed="false">
      <c r="B22" s="20" t="s">
        <v>74</v>
      </c>
      <c r="D22" s="21" t="n">
        <f aca="false">IF(D$7&gt;YEAR($C$4),"",SUMIFS(Échéancier!$H$5:$H$300,Échéancier!$J$5:$J$300,$C$3,Échéancier!$D$5:$D$300,D$7,Échéancier!$K$5:$K$300,1,Échéancier!$C$5:$C$300,"&lt;="&amp;$C$4))</f>
        <v>140.56</v>
      </c>
      <c r="E22" s="21" t="n">
        <f aca="false">IF(E$7&gt;YEAR($C$4),"",SUMIFS(Échéancier!$H$5:$H$300,Échéancier!$J$5:$J$300,$C$3,Échéancier!$D$5:$D$300,E$7,Échéancier!$K$5:$K$300,1,Échéancier!$C$5:$C$300,"&lt;="&amp;$C$4))</f>
        <v>240.96</v>
      </c>
      <c r="F22" s="21" t="n">
        <f aca="false">IF(F$7&gt;YEAR($C$4),"",SUMIFS(Échéancier!$H$5:$H$300,Échéancier!$J$5:$J$300,$C$3,Échéancier!$D$5:$D$300,F$7,Échéancier!$K$5:$K$300,1,Échéancier!$C$5:$C$300,"&lt;="&amp;$C$4))</f>
        <v>200.8</v>
      </c>
      <c r="G22" s="21" t="str">
        <f aca="false">IF(G$7&gt;YEAR($C$4),"",SUMIFS(Échéancier!$H$5:$H$300,Échéancier!$J$5:$J$300,$C$3,Échéancier!$D$5:$D$300,G$7,Échéancier!$K$5:$K$300,1,Échéancier!$C$5:$C$300,"&lt;="&amp;$C$4))</f>
        <v/>
      </c>
      <c r="H22" s="21" t="str">
        <f aca="false">IF(H$7&gt;YEAR($C$4),"",SUMIFS(Échéancier!$H$5:$H$300,Échéancier!$J$5:$J$300,$C$3,Échéancier!$D$5:$D$300,H$7,Échéancier!$K$5:$K$300,1,Échéancier!$C$5:$C$300,"&lt;="&amp;$C$4))</f>
        <v/>
      </c>
    </row>
    <row r="23" customFormat="false" ht="15" hidden="false" customHeight="true" outlineLevel="0" collapsed="false">
      <c r="B23" s="10" t="s">
        <v>75</v>
      </c>
      <c r="D23" s="22" t="n">
        <f aca="false">IF(D$7&gt;YEAR($C$4),"",SUM(D15:D22))</f>
        <v>4726.86</v>
      </c>
      <c r="E23" s="22" t="n">
        <f aca="false">IF(E$7&gt;YEAR($C$4),"",SUM(E15:E22))</f>
        <v>7020.35</v>
      </c>
      <c r="F23" s="22" t="n">
        <f aca="false">IF(F$7&gt;YEAR($C$4),"",SUM(F15:F22))</f>
        <v>8735.19</v>
      </c>
      <c r="G23" s="22" t="str">
        <f aca="false">IF(G$7&gt;YEAR($C$4),"",SUM(G15:G22))</f>
        <v/>
      </c>
      <c r="H23" s="22" t="str">
        <f aca="false">IF(H$7&gt;YEAR($C$4),"",SUM(H15:H22))</f>
        <v/>
      </c>
    </row>
    <row r="24" customFormat="false" ht="15" hidden="false" customHeight="true" outlineLevel="0" collapsed="false">
      <c r="B24" s="10" t="s">
        <v>76</v>
      </c>
      <c r="D24" s="22" t="n">
        <f aca="false">IF(D$7&gt;YEAR($C$4),"",D13-D23)</f>
        <v>3639.9</v>
      </c>
      <c r="E24" s="22" t="n">
        <f aca="false">IF(E$7&gt;YEAR($C$4),"",E13-E23)</f>
        <v>6682.8</v>
      </c>
      <c r="F24" s="22" t="n">
        <f aca="false">IF(F$7&gt;YEAR($C$4),"",F13-F23)</f>
        <v>2697.43</v>
      </c>
      <c r="G24" s="22" t="str">
        <f aca="false">IF(G$7&gt;YEAR($C$4),"",G13-G23)</f>
        <v/>
      </c>
      <c r="H24" s="22" t="str">
        <f aca="false">IF(H$7&gt;YEAR($C$4),"",H13-H23)</f>
        <v/>
      </c>
    </row>
    <row r="25" customFormat="false" ht="15" hidden="false" customHeight="true" outlineLevel="0" collapsed="false">
      <c r="B25" s="20" t="s">
        <v>77</v>
      </c>
      <c r="D25" s="21" t="n">
        <f aca="false">IF(D$7&gt;YEAR($C$4),"",SUMPRODUCT((Amortissements!$A$5:$A$40=$C$3)*(Amortissements!$H$4:$L$4=D$7)*Amortissements!$H$5:$L$40))</f>
        <v>5751.04886136987</v>
      </c>
      <c r="E25" s="21" t="n">
        <f aca="false">IF(E$7&gt;YEAR($C$4),"",SUMPRODUCT((Amortissements!$A$5:$A$40=$C$3)*(Amortissements!$H$4:$L$4=E$7)*Amortissements!$H$5:$L$40))</f>
        <v>9297.33666575343</v>
      </c>
      <c r="F25" s="21" t="n">
        <f aca="false">IF(F$7&gt;YEAR($C$4),"",SUMPRODUCT((Amortissements!$A$5:$A$40=$C$3)*(Amortissements!$H$4:$L$4=F$7)*Amortissements!$H$5:$L$40))</f>
        <v>9388.38680000001</v>
      </c>
      <c r="G25" s="21" t="str">
        <f aca="false">IF(G$7&gt;YEAR($C$4),"",SUMPRODUCT((Amortissements!$A$5:$A$40=$C$3)*(Amortissements!$H$4:$L$4=G$7)*Amortissements!$H$5:$L$40))</f>
        <v/>
      </c>
      <c r="H25" s="21" t="str">
        <f aca="false">IF(H$7&gt;YEAR($C$4),"",SUMPRODUCT((Amortissements!$A$5:$A$40=$C$3)*(Amortissements!$H$4:$L$4=H$7)*Amortissements!$H$5:$L$40))</f>
        <v/>
      </c>
    </row>
    <row r="26" customFormat="false" ht="15" hidden="false" customHeight="true" outlineLevel="0" collapsed="false">
      <c r="B26" s="20" t="s">
        <v>78</v>
      </c>
      <c r="D26" s="21" t="n">
        <f aca="false">IF(D$7&gt;YEAR($C$4),"",0)</f>
        <v>0</v>
      </c>
      <c r="E26" s="21" t="n">
        <f aca="false">IF(E$7&gt;YEAR($C$4),"",IF(ISNUMBER(D32),D32,D28))</f>
        <v>1834.69</v>
      </c>
      <c r="F26" s="21" t="n">
        <f aca="false">IF(F$7&gt;YEAR($C$4),"",IF(ISNUMBER(E32),E32,E28))</f>
        <v>3824.3</v>
      </c>
      <c r="G26" s="21" t="str">
        <f aca="false">IF(G$7&gt;YEAR($C$4),"",IF(ISNUMBER(F32),F32,F28))</f>
        <v/>
      </c>
      <c r="H26" s="21" t="str">
        <f aca="false">IF(H$7&gt;YEAR($C$4),"",IF(ISNUMBER(G32),G32,G28))</f>
        <v/>
      </c>
    </row>
    <row r="27" customFormat="false" ht="15" hidden="false" customHeight="true" outlineLevel="0" collapsed="false">
      <c r="B27" s="20" t="s">
        <v>79</v>
      </c>
      <c r="D27" s="21" t="n">
        <f aca="false">IF(D$7&gt;YEAR($C$4),"",MIN(D25+D26,MAX(0,D24)))</f>
        <v>3639.9</v>
      </c>
      <c r="E27" s="21" t="n">
        <f aca="false">IF(E$7&gt;YEAR($C$4),"",MIN(E25+E26,MAX(0,E24)))</f>
        <v>6682.8</v>
      </c>
      <c r="F27" s="21" t="n">
        <f aca="false">IF(F$7&gt;YEAR($C$4),"",MIN(F25+F26,MAX(0,F24)))</f>
        <v>2697.43</v>
      </c>
      <c r="G27" s="21" t="str">
        <f aca="false">IF(G$7&gt;YEAR($C$4),"",MIN(G25+G26,MAX(0,G24)))</f>
        <v/>
      </c>
      <c r="H27" s="21" t="str">
        <f aca="false">IF(H$7&gt;YEAR($C$4),"",MIN(H25+H26,MAX(0,H24)))</f>
        <v/>
      </c>
      <c r="I27" s="23" t="s">
        <v>80</v>
      </c>
    </row>
    <row r="28" customFormat="false" ht="15" hidden="false" customHeight="true" outlineLevel="0" collapsed="false">
      <c r="B28" s="20" t="s">
        <v>81</v>
      </c>
      <c r="D28" s="21" t="n">
        <f aca="false">IF(D$7&gt;YEAR($C$4),"",D26+D25-D27)</f>
        <v>2111.14886136987</v>
      </c>
      <c r="E28" s="21" t="n">
        <f aca="false">IF(E$7&gt;YEAR($C$4),"",E26+E25-E27)</f>
        <v>4449.22666575343</v>
      </c>
      <c r="F28" s="21" t="n">
        <f aca="false">IF(F$7&gt;YEAR($C$4),"",F26+F25-F27)</f>
        <v>10515.2568</v>
      </c>
      <c r="G28" s="21" t="str">
        <f aca="false">IF(G$7&gt;YEAR($C$4),"",G26+G25-G27)</f>
        <v/>
      </c>
      <c r="H28" s="21" t="str">
        <f aca="false">IF(H$7&gt;YEAR($C$4),"",H26+H25-H27)</f>
        <v/>
      </c>
      <c r="I28" s="23" t="s">
        <v>82</v>
      </c>
    </row>
    <row r="29" customFormat="false" ht="15" hidden="false" customHeight="true" outlineLevel="0" collapsed="false">
      <c r="B29" s="10" t="s">
        <v>83</v>
      </c>
      <c r="D29" s="22" t="n">
        <f aca="false">IF(D$7&gt;YEAR($C$4),"",D24-D27)</f>
        <v>0</v>
      </c>
      <c r="E29" s="22" t="n">
        <f aca="false">IF(E$7&gt;YEAR($C$4),"",E24-E27)</f>
        <v>0</v>
      </c>
      <c r="F29" s="22" t="n">
        <f aca="false">IF(F$7&gt;YEAR($C$4),"",F24-F27)</f>
        <v>0</v>
      </c>
      <c r="G29" s="22" t="str">
        <f aca="false">IF(G$7&gt;YEAR($C$4),"",G24-G27)</f>
        <v/>
      </c>
      <c r="H29" s="22" t="str">
        <f aca="false">IF(H$7&gt;YEAR($C$4),"",H24-H27)</f>
        <v/>
      </c>
      <c r="I29" s="23" t="s">
        <v>84</v>
      </c>
    </row>
    <row r="30" customFormat="false" ht="15" hidden="false" customHeight="true" outlineLevel="0" collapsed="false">
      <c r="B30" s="20" t="s">
        <v>85</v>
      </c>
      <c r="D30" s="21" t="n">
        <f aca="false">IF(D$7&gt;YEAR($C$4),"",-SUMIFS(Journal!$K$5:$K$1004,Journal!$C$5:$C$1004,$C$3,Journal!$B$5:$B$1004,D$7,Journal!$I$5:$I$1004,"À valider"))</f>
        <v>395.25</v>
      </c>
      <c r="E30" s="21" t="n">
        <f aca="false">IF(E$7&gt;YEAR($C$4),"",-SUMIFS(Journal!$K$5:$K$1004,Journal!$C$5:$C$1004,$C$3,Journal!$B$5:$B$1004,E$7,Journal!$I$5:$I$1004,"À valider"))</f>
        <v>-0</v>
      </c>
      <c r="F30" s="21" t="n">
        <f aca="false">IF(F$7&gt;YEAR($C$4),"",-SUMIFS(Journal!$K$5:$K$1004,Journal!$C$5:$C$1004,$C$3,Journal!$B$5:$B$1004,F$7,Journal!$I$5:$I$1004,"À valider"))</f>
        <v>-0</v>
      </c>
      <c r="G30" s="21" t="str">
        <f aca="false">IF(G$7&gt;YEAR($C$4),"",-SUMIFS(Journal!$K$5:$K$1004,Journal!$C$5:$C$1004,$C$3,Journal!$B$5:$B$1004,G$7,Journal!$I$5:$I$1004,"À valider"))</f>
        <v/>
      </c>
      <c r="H30" s="21" t="str">
        <f aca="false">IF(H$7&gt;YEAR($C$4),"",-SUMIFS(Journal!$K$5:$K$1004,Journal!$C$5:$C$1004,$C$3,Journal!$B$5:$B$1004,H$7,Journal!$I$5:$I$1004,"À valider"))</f>
        <v/>
      </c>
      <c r="I30" s="23" t="s">
        <v>86</v>
      </c>
    </row>
    <row r="31" customFormat="false" ht="15" hidden="false" customHeight="true" outlineLevel="0" collapsed="false">
      <c r="B31" s="20" t="s">
        <v>87</v>
      </c>
      <c r="D31" s="21" t="n">
        <f aca="false">IF(D$7&gt;YEAR($C$4),"",-SUMIFS(Journal!$K$5:$K$1004,Journal!$C$5:$C$1004,$C$3,Journal!$B$5:$B$1004,D$7,Journal!$I$5:$I$1004,"À amortir"))</f>
        <v>1076.01</v>
      </c>
      <c r="E31" s="21" t="n">
        <f aca="false">IF(E$7&gt;YEAR($C$4),"",-SUMIFS(Journal!$K$5:$K$1004,Journal!$C$5:$C$1004,$C$3,Journal!$B$5:$B$1004,E$7,Journal!$I$5:$I$1004,"À amortir"))</f>
        <v>1590.11</v>
      </c>
      <c r="F31" s="21" t="n">
        <f aca="false">IF(F$7&gt;YEAR($C$4),"",-SUMIFS(Journal!$K$5:$K$1004,Journal!$C$5:$C$1004,$C$3,Journal!$B$5:$B$1004,F$7,Journal!$I$5:$I$1004,"À amortir"))</f>
        <v>-0</v>
      </c>
      <c r="G31" s="21" t="str">
        <f aca="false">IF(G$7&gt;YEAR($C$4),"",-SUMIFS(Journal!$K$5:$K$1004,Journal!$C$5:$C$1004,$C$3,Journal!$B$5:$B$1004,G$7,Journal!$I$5:$I$1004,"À amortir"))</f>
        <v/>
      </c>
      <c r="H31" s="21" t="str">
        <f aca="false">IF(H$7&gt;YEAR($C$4),"",-SUMIFS(Journal!$K$5:$K$1004,Journal!$C$5:$C$1004,$C$3,Journal!$B$5:$B$1004,H$7,Journal!$I$5:$I$1004,"À amortir"))</f>
        <v/>
      </c>
      <c r="I31" s="23" t="s">
        <v>88</v>
      </c>
    </row>
    <row r="32" customFormat="false" ht="15" hidden="false" customHeight="true" outlineLevel="0" collapsed="false">
      <c r="B32" s="10" t="s">
        <v>89</v>
      </c>
      <c r="D32" s="24" t="n">
        <v>1834.69</v>
      </c>
      <c r="E32" s="24" t="n">
        <v>3824.3</v>
      </c>
      <c r="F32" s="24"/>
      <c r="G32" s="24"/>
      <c r="H32" s="24"/>
      <c r="I32" s="23" t="s">
        <v>90</v>
      </c>
    </row>
    <row r="33" customFormat="false" ht="15" hidden="false" customHeight="true" outlineLevel="0" collapsed="false">
      <c r="B33" s="19" t="s">
        <v>91</v>
      </c>
    </row>
    <row r="34" customFormat="false" ht="15" hidden="false" customHeight="true" outlineLevel="0" collapsed="false">
      <c r="B34" s="20" t="s">
        <v>92</v>
      </c>
      <c r="D34" s="21" t="n">
        <f aca="false">IF(D$7&gt;YEAR($C$4),"",SUMIFS(Journal!$K$5:$K$1004,Journal!$C$5:$C$1004,$C$3,Journal!$B$5:$B$1004,D$7,Journal!$H$5:$H$1004,"Recette"))</f>
        <v>8366.76</v>
      </c>
      <c r="E34" s="21" t="n">
        <f aca="false">IF(E$7&gt;YEAR($C$4),"",SUMIFS(Journal!$K$5:$K$1004,Journal!$C$5:$C$1004,$C$3,Journal!$B$5:$B$1004,E$7,Journal!$H$5:$H$1004,"Recette"))</f>
        <v>13703.15</v>
      </c>
      <c r="F34" s="21" t="n">
        <f aca="false">IF(F$7&gt;YEAR($C$4),"",SUMIFS(Journal!$K$5:$K$1004,Journal!$C$5:$C$1004,$C$3,Journal!$B$5:$B$1004,F$7,Journal!$H$5:$H$1004,"Recette"))</f>
        <v>11432.62</v>
      </c>
      <c r="G34" s="21" t="str">
        <f aca="false">IF(G$7&gt;YEAR($C$4),"",SUMIFS(Journal!$K$5:$K$1004,Journal!$C$5:$C$1004,$C$3,Journal!$B$5:$B$1004,G$7,Journal!$H$5:$H$1004,"Recette"))</f>
        <v/>
      </c>
      <c r="H34" s="21" t="str">
        <f aca="false">IF(H$7&gt;YEAR($C$4),"",SUMIFS(Journal!$K$5:$K$1004,Journal!$C$5:$C$1004,$C$3,Journal!$B$5:$B$1004,H$7,Journal!$H$5:$H$1004,"Recette"))</f>
        <v/>
      </c>
    </row>
    <row r="35" customFormat="false" ht="15" hidden="false" customHeight="true" outlineLevel="0" collapsed="false">
      <c r="B35" s="20" t="s">
        <v>93</v>
      </c>
      <c r="D35" s="21" t="n">
        <f aca="false">IF(D$7&gt;YEAR($C$4),"",-SUMIFS(Journal!$K$5:$K$1004,Journal!$C$5:$C$1004,$C$3,Journal!$B$5:$B$1004,D$7,Journal!$H$5:$H$1004,"Dépense"))</f>
        <v>5021.99</v>
      </c>
      <c r="E35" s="21" t="n">
        <f aca="false">IF(E$7&gt;YEAR($C$4),"",-SUMIFS(Journal!$K$5:$K$1004,Journal!$C$5:$C$1004,$C$3,Journal!$B$5:$B$1004,E$7,Journal!$H$5:$H$1004,"Dépense"))</f>
        <v>6690.74</v>
      </c>
      <c r="F35" s="21" t="n">
        <f aca="false">IF(F$7&gt;YEAR($C$4),"",-SUMIFS(Journal!$K$5:$K$1004,Journal!$C$5:$C$1004,$C$3,Journal!$B$5:$B$1004,F$7,Journal!$H$5:$H$1004,"Dépense"))</f>
        <v>7229.68</v>
      </c>
      <c r="G35" s="21" t="str">
        <f aca="false">IF(G$7&gt;YEAR($C$4),"",-SUMIFS(Journal!$K$5:$K$1004,Journal!$C$5:$C$1004,$C$3,Journal!$B$5:$B$1004,G$7,Journal!$H$5:$H$1004,"Dépense"))</f>
        <v/>
      </c>
      <c r="H35" s="21" t="str">
        <f aca="false">IF(H$7&gt;YEAR($C$4),"",-SUMIFS(Journal!$K$5:$K$1004,Journal!$C$5:$C$1004,$C$3,Journal!$B$5:$B$1004,H$7,Journal!$H$5:$H$1004,"Dépense"))</f>
        <v/>
      </c>
    </row>
    <row r="36" customFormat="false" ht="15" hidden="false" customHeight="true" outlineLevel="0" collapsed="false">
      <c r="B36" s="20" t="s">
        <v>94</v>
      </c>
      <c r="D36" s="21" t="n">
        <f aca="false">IF(D$7&gt;YEAR($C$4),"",SUMIFS(Échéancier!$I$5:$I$300,Échéancier!$J$5:$J$300,$C$3,Échéancier!$D$5:$D$300,D$7,Échéancier!$K$5:$K$300,1,Échéancier!$C$5:$C$300,"&lt;="&amp;$C$4))</f>
        <v>5889.26</v>
      </c>
      <c r="E36" s="21" t="n">
        <f aca="false">IF(E$7&gt;YEAR($C$4),"",SUMIFS(Échéancier!$I$5:$I$300,Échéancier!$J$5:$J$300,$C$3,Échéancier!$D$5:$D$300,E$7,Échéancier!$K$5:$K$300,1,Échéancier!$C$5:$C$300,"&lt;="&amp;$C$4))</f>
        <v>10095.91</v>
      </c>
      <c r="F36" s="21" t="n">
        <f aca="false">IF(F$7&gt;YEAR($C$4),"",SUMIFS(Échéancier!$I$5:$I$300,Échéancier!$J$5:$J$300,$C$3,Échéancier!$D$5:$D$300,F$7,Échéancier!$K$5:$K$300,1,Échéancier!$C$5:$C$300,"&lt;="&amp;$C$4))</f>
        <v>8413.25</v>
      </c>
      <c r="G36" s="21" t="str">
        <f aca="false">IF(G$7&gt;YEAR($C$4),"",SUMIFS(Échéancier!$I$5:$I$300,Échéancier!$J$5:$J$300,$C$3,Échéancier!$D$5:$D$300,G$7,Échéancier!$K$5:$K$300,1,Échéancier!$C$5:$C$300,"&lt;="&amp;$C$4))</f>
        <v/>
      </c>
      <c r="H36" s="21" t="str">
        <f aca="false">IF(H$7&gt;YEAR($C$4),"",SUMIFS(Échéancier!$I$5:$I$300,Échéancier!$J$5:$J$300,$C$3,Échéancier!$D$5:$D$300,H$7,Échéancier!$K$5:$K$300,1,Échéancier!$C$5:$C$300,"&lt;="&amp;$C$4))</f>
        <v/>
      </c>
    </row>
    <row r="37" customFormat="false" ht="15" hidden="false" customHeight="true" outlineLevel="0" collapsed="false">
      <c r="B37" s="20" t="s">
        <v>95</v>
      </c>
      <c r="D37" s="21" t="n">
        <f aca="false">IF(D$7&gt;YEAR($C$4),"",SUMIFS(Échéancier!$F$5:$F$300,Échéancier!$J$5:$J$300,$C$3,Échéancier!$D$5:$D$300,D$7,Échéancier!$K$5:$K$300,1,Échéancier!$C$5:$C$300,"&lt;="&amp;$C$4))</f>
        <v>4713.13</v>
      </c>
      <c r="E37" s="21" t="n">
        <f aca="false">IF(E$7&gt;YEAR($C$4),"",SUMIFS(Échéancier!$F$5:$F$300,Échéancier!$J$5:$J$300,$C$3,Échéancier!$D$5:$D$300,E$7,Échéancier!$K$5:$K$300,1,Échéancier!$C$5:$C$300,"&lt;="&amp;$C$4))</f>
        <v>8176.19</v>
      </c>
      <c r="F37" s="21" t="n">
        <f aca="false">IF(F$7&gt;YEAR($C$4),"",SUMIFS(Échéancier!$F$5:$F$300,Échéancier!$J$5:$J$300,$C$3,Échéancier!$D$5:$D$300,F$7,Échéancier!$K$5:$K$300,1,Échéancier!$C$5:$C$300,"&lt;="&amp;$C$4))</f>
        <v>6907.74</v>
      </c>
      <c r="G37" s="21" t="str">
        <f aca="false">IF(G$7&gt;YEAR($C$4),"",SUMIFS(Échéancier!$F$5:$F$300,Échéancier!$J$5:$J$300,$C$3,Échéancier!$D$5:$D$300,G$7,Échéancier!$K$5:$K$300,1,Échéancier!$C$5:$C$300,"&lt;="&amp;$C$4))</f>
        <v/>
      </c>
      <c r="H37" s="21" t="str">
        <f aca="false">IF(H$7&gt;YEAR($C$4),"",SUMIFS(Échéancier!$F$5:$F$300,Échéancier!$J$5:$J$300,$C$3,Échéancier!$D$5:$D$300,H$7,Échéancier!$K$5:$K$300,1,Échéancier!$C$5:$C$300,"&lt;="&amp;$C$4))</f>
        <v/>
      </c>
    </row>
    <row r="38" customFormat="false" ht="15" hidden="false" customHeight="true" outlineLevel="0" collapsed="false">
      <c r="B38" s="10" t="s">
        <v>96</v>
      </c>
      <c r="D38" s="22" t="n">
        <f aca="false">IF(D$7&gt;YEAR($C$4),"",D34-D35-D36)</f>
        <v>-2544.49</v>
      </c>
      <c r="E38" s="22" t="n">
        <f aca="false">IF(E$7&gt;YEAR($C$4),"",E34-E35-E36)</f>
        <v>-3083.5</v>
      </c>
      <c r="F38" s="22" t="n">
        <f aca="false">IF(F$7&gt;YEAR($C$4),"",F34-F35-F36)</f>
        <v>-4210.31</v>
      </c>
      <c r="G38" s="22" t="str">
        <f aca="false">IF(G$7&gt;YEAR($C$4),"",G34-G35-G36)</f>
        <v/>
      </c>
      <c r="H38" s="22" t="str">
        <f aca="false">IF(H$7&gt;YEAR($C$4),"",H34-H35-H36)</f>
        <v/>
      </c>
    </row>
    <row r="39" customFormat="false" ht="15" hidden="false" customHeight="true" outlineLevel="0" collapsed="false">
      <c r="B39" s="20" t="s">
        <v>97</v>
      </c>
      <c r="D39" s="25" t="n">
        <f aca="false">IF(D$7&gt;YEAR($C$4),"",MAX(0,MIN(DATE(D$7,12,31),EOMONTH($C$4,0))-MAX(DATE(D$7,1,1),IFERROR(INDEX(Biens!$O$5:$O$30,MATCH(Synthèse!$C$3,Biens!$A$5:$A$30,0)),0))+1)/(365/12))</f>
        <v>7.4958904109589</v>
      </c>
      <c r="E39" s="25" t="n">
        <f aca="false">IF(E$7&gt;YEAR($C$4),"",MAX(0,MIN(DATE(E$7,12,31),EOMONTH($C$4,0))-MAX(DATE(E$7,1,1),IFERROR(INDEX(Biens!$O$5:$O$30,MATCH(Synthèse!$C$3,Biens!$A$5:$A$30,0)),0))+1)/(365/12))</f>
        <v>12</v>
      </c>
      <c r="F39" s="25" t="n">
        <f aca="false">IF(F$7&gt;YEAR($C$4),"",MAX(0,MIN(DATE(F$7,12,31),EOMONTH($C$4,0))-MAX(DATE(F$7,1,1),IFERROR(INDEX(Biens!$O$5:$O$30,MATCH(Synthèse!$C$3,Biens!$A$5:$A$30,0)),0))+1)/(365/12))</f>
        <v>9.99452054794521</v>
      </c>
      <c r="G39" s="25" t="str">
        <f aca="false">IF(G$7&gt;YEAR($C$4),"",MAX(0,MIN(DATE(G$7,12,31),EOMONTH($C$4,0))-MAX(DATE(G$7,1,1),IFERROR(INDEX(Biens!$O$5:$O$30,MATCH(Synthèse!$C$3,Biens!$A$5:$A$30,0)),0))+1)/(365/12))</f>
        <v/>
      </c>
      <c r="H39" s="25" t="str">
        <f aca="false">IF(H$7&gt;YEAR($C$4),"",MAX(0,MIN(DATE(H$7,12,31),EOMONTH($C$4,0))-MAX(DATE(H$7,1,1),IFERROR(INDEX(Biens!$O$5:$O$30,MATCH(Synthèse!$C$3,Biens!$A$5:$A$30,0)),0))+1)/(365/12))</f>
        <v/>
      </c>
      <c r="I39" s="23" t="s">
        <v>98</v>
      </c>
    </row>
    <row r="40" customFormat="false" ht="15" hidden="false" customHeight="true" outlineLevel="0" collapsed="false">
      <c r="B40" s="20" t="s">
        <v>99</v>
      </c>
      <c r="D40" s="21" t="n">
        <f aca="false">IF(D$7&gt;YEAR($C$4),"",IF(D39&gt;0,D38/D39,0))</f>
        <v>-339.451334064328</v>
      </c>
      <c r="E40" s="21" t="n">
        <f aca="false">IF(E$7&gt;YEAR($C$4),"",IF(E39&gt;0,E38/E39,0))</f>
        <v>-256.958333333333</v>
      </c>
      <c r="F40" s="21" t="n">
        <f aca="false">IF(F$7&gt;YEAR($C$4),"",IF(F39&gt;0,F38/F39,0))</f>
        <v>-421.261828399123</v>
      </c>
      <c r="G40" s="21" t="str">
        <f aca="false">IF(G$7&gt;YEAR($C$4),"",IF(G39&gt;0,G38/G39,0))</f>
        <v/>
      </c>
      <c r="H40" s="21" t="str">
        <f aca="false">IF(H$7&gt;YEAR($C$4),"",IF(H39&gt;0,H38/H39,0))</f>
        <v/>
      </c>
    </row>
    <row r="41" customFormat="false" ht="15" hidden="false" customHeight="true" outlineLevel="0" collapsed="false">
      <c r="B41" s="20" t="s">
        <v>100</v>
      </c>
      <c r="D41" s="21" t="n">
        <f aca="false">IF(D$7&gt;YEAR($C$4),"",D38+D37)</f>
        <v>2168.64</v>
      </c>
      <c r="E41" s="21" t="n">
        <f aca="false">IF(E$7&gt;YEAR($C$4),"",E38+E37)</f>
        <v>5092.69</v>
      </c>
      <c r="F41" s="21" t="n">
        <f aca="false">IF(F$7&gt;YEAR($C$4),"",F38+F37)</f>
        <v>2697.43</v>
      </c>
      <c r="G41" s="21" t="str">
        <f aca="false">IF(G$7&gt;YEAR($C$4),"",G38+G37)</f>
        <v/>
      </c>
      <c r="H41" s="21" t="str">
        <f aca="false">IF(H$7&gt;YEAR($C$4),"",H38+H37)</f>
        <v/>
      </c>
    </row>
    <row r="43" customFormat="false" ht="15" hidden="false" customHeight="true" outlineLevel="0" collapsed="false">
      <c r="B43" s="19" t="s">
        <v>101</v>
      </c>
    </row>
    <row r="44" customFormat="false" ht="15" hidden="false" customHeight="true" outlineLevel="0" collapsed="false">
      <c r="B44" s="20" t="s">
        <v>102</v>
      </c>
      <c r="D44" s="26" t="n">
        <f aca="false">IF(D$7&gt;YEAR($C$4),"",IFERROR(INDEX(Biens!$M$5:$M$30,MATCH(Synthèse!$C$3,Biens!$A$5:$A$30,0)),0))</f>
        <v>268158.99</v>
      </c>
      <c r="E44" s="26" t="n">
        <f aca="false">IF(E$7&gt;YEAR($C$4),"",IFERROR(INDEX(Biens!$M$5:$M$30,MATCH(Synthèse!$C$3,Biens!$A$5:$A$30,0)),0))</f>
        <v>268158.99</v>
      </c>
      <c r="F44" s="26" t="n">
        <f aca="false">IF(F$7&gt;YEAR($C$4),"",IFERROR(INDEX(Biens!$M$5:$M$30,MATCH(Synthèse!$C$3,Biens!$A$5:$A$30,0)),0))</f>
        <v>268158.99</v>
      </c>
      <c r="G44" s="26" t="str">
        <f aca="false">IF(G$7&gt;YEAR($C$4),"",IFERROR(INDEX(Biens!$M$5:$M$30,MATCH(Synthèse!$C$3,Biens!$A$5:$A$30,0)),0))</f>
        <v/>
      </c>
      <c r="H44" s="26" t="str">
        <f aca="false">IF(H$7&gt;YEAR($C$4),"",IFERROR(INDEX(Biens!$M$5:$M$30,MATCH(Synthèse!$C$3,Biens!$A$5:$A$30,0)),0))</f>
        <v/>
      </c>
    </row>
    <row r="45" customFormat="false" ht="15" hidden="false" customHeight="true" outlineLevel="0" collapsed="false">
      <c r="B45" s="20" t="s">
        <v>103</v>
      </c>
      <c r="D45" s="21" t="n">
        <f aca="false">IF(D$7&gt;YEAR($C$4),"",IF(D39&gt;0,D10/D39*12,0))</f>
        <v>12314.4276315789</v>
      </c>
      <c r="E45" s="21" t="n">
        <f aca="false">IF(E$7&gt;YEAR($C$4),"",IF(E39&gt;0,E10/E39*12,0))</f>
        <v>12387.89</v>
      </c>
      <c r="F45" s="21" t="n">
        <f aca="false">IF(F$7&gt;YEAR($C$4),"",IF(F39&gt;0,F10/F39*12,0))</f>
        <v>12621.2197368421</v>
      </c>
      <c r="G45" s="21" t="str">
        <f aca="false">IF(G$7&gt;YEAR($C$4),"",IF(G39&gt;0,G10/G39*12,0))</f>
        <v/>
      </c>
      <c r="H45" s="21" t="str">
        <f aca="false">IF(H$7&gt;YEAR($C$4),"",IF(H39&gt;0,H10/H39*12,0))</f>
        <v/>
      </c>
    </row>
    <row r="46" customFormat="false" ht="15" hidden="false" customHeight="true" outlineLevel="0" collapsed="false">
      <c r="B46" s="20" t="s">
        <v>104</v>
      </c>
      <c r="D46" s="27" t="n">
        <f aca="false">IF(D$7&gt;YEAR($C$4),"",IF(D44&gt;0,D45/D44,0))</f>
        <v>0.0459221137116415</v>
      </c>
      <c r="E46" s="27" t="n">
        <f aca="false">IF(E$7&gt;YEAR($C$4),"",IF(E44&gt;0,E45/E44,0))</f>
        <v>0.0461960645063587</v>
      </c>
      <c r="F46" s="27" t="n">
        <f aca="false">IF(F$7&gt;YEAR($C$4),"",IF(F44&gt;0,F45/F44,0))</f>
        <v>0.0470661816590304</v>
      </c>
      <c r="G46" s="27" t="str">
        <f aca="false">IF(G$7&gt;YEAR($C$4),"",IF(G44&gt;0,G45/G44,0))</f>
        <v/>
      </c>
      <c r="H46" s="27" t="str">
        <f aca="false">IF(H$7&gt;YEAR($C$4),"",IF(H44&gt;0,H45/H44,0))</f>
        <v/>
      </c>
    </row>
    <row r="47" customFormat="false" ht="15" hidden="false" customHeight="true" outlineLevel="0" collapsed="false">
      <c r="B47" s="20" t="s">
        <v>105</v>
      </c>
      <c r="D47" s="27" t="n">
        <f aca="false">IF(D$7&gt;YEAR($C$4),"",IF(AND(D39&gt;0,D44&gt;0),(D13-(D23-D21-D22))/D39*12/D44,0))</f>
        <v>0.0287511247999528</v>
      </c>
      <c r="E47" s="27" t="n">
        <f aca="false">IF(E$7&gt;YEAR($C$4),"",IF(AND(E39&gt;0,E44&gt;0),(E13-(E23-E21-E22))/E39*12/E44,0))</f>
        <v>0.0320799239287111</v>
      </c>
      <c r="F47" s="27" t="n">
        <f aca="false">IF(F$7&gt;YEAR($C$4),"",IF(AND(F39&gt;0,F44&gt;0),(F13-(F23-F21-F22))/F39*12/F44,0))</f>
        <v>0.0188182879571006</v>
      </c>
      <c r="G47" s="27" t="str">
        <f aca="false">IF(G$7&gt;YEAR($C$4),"",IF(AND(G39&gt;0,G44&gt;0),(G13-(G23-G21-G22))/G39*12/G44,0))</f>
        <v/>
      </c>
      <c r="H47" s="27" t="str">
        <f aca="false">IF(H$7&gt;YEAR($C$4),"",IF(AND(H39&gt;0,H44&gt;0),(H13-(H23-H21-H22))/H39*12/H44,0))</f>
        <v/>
      </c>
      <c r="I47" s="23" t="s">
        <v>106</v>
      </c>
    </row>
    <row r="48" customFormat="false" ht="15" hidden="false" customHeight="true" outlineLevel="0" collapsed="false">
      <c r="B48" s="20" t="s">
        <v>107</v>
      </c>
      <c r="D48" s="26" t="n">
        <f aca="false">IF(D$7&gt;YEAR($C$4),"",SUMIFS(Prêts!$E$5:$E$14,Prêts!$B$5:$B$14,$C$3)-SUMIFS(Échéancier!$F$5:$F$300,Échéancier!$J$5:$J$300,$C$3,Échéancier!$C$5:$C$300,"&lt;="&amp;DATE(D$7,12,31)))</f>
        <v>115654.93</v>
      </c>
      <c r="E48" s="26" t="n">
        <f aca="false">IF(E$7&gt;YEAR($C$4),"",SUMIFS(Prêts!$E$5:$E$14,Prêts!$B$5:$B$14,$C$3)-SUMIFS(Échéancier!$F$5:$F$300,Échéancier!$J$5:$J$300,$C$3,Échéancier!$C$5:$C$300,"&lt;="&amp;DATE(E$7,12,31)))</f>
        <v>107478.74</v>
      </c>
      <c r="F48" s="26" t="n">
        <f aca="false">IF(F$7&gt;YEAR($C$4),"",SUMIFS(Prêts!$E$5:$E$14,Prêts!$B$5:$B$14,$C$3)-SUMIFS(Échéancier!$F$5:$F$300,Échéancier!$J$5:$J$300,$C$3,Échéancier!$C$5:$C$300,"&lt;="&amp;DATE(F$7,12,31)))</f>
        <v>99179.07</v>
      </c>
      <c r="G48" s="26" t="str">
        <f aca="false">IF(G$7&gt;YEAR($C$4),"",SUMIFS(Prêts!$E$5:$E$14,Prêts!$B$5:$B$14,$C$3)-SUMIFS(Échéancier!$F$5:$F$300,Échéancier!$J$5:$J$300,$C$3,Échéancier!$C$5:$C$300,"&lt;="&amp;DATE(G$7,12,31)))</f>
        <v/>
      </c>
      <c r="H48" s="26" t="str">
        <f aca="false">IF(H$7&gt;YEAR($C$4),"",SUMIFS(Prêts!$E$5:$E$14,Prêts!$B$5:$B$14,$C$3)-SUMIFS(Échéancier!$F$5:$F$300,Échéancier!$J$5:$J$300,$C$3,Échéancier!$C$5:$C$300,"&lt;="&amp;DATE(H$7,12,31)))</f>
        <v/>
      </c>
    </row>
    <row r="49" customFormat="false" ht="15" hidden="false" customHeight="true" outlineLevel="0" collapsed="false">
      <c r="B49" s="20" t="s">
        <v>108</v>
      </c>
      <c r="D49" s="26" t="n">
        <f aca="false">IF(D$7&gt;YEAR($C$4),"",IFERROR(INDEX(Biens!$P$5:$P$30,MATCH(Synthèse!$C$3,Biens!$A$5:$A$30,0)),0)-D48)</f>
        <v>167995.07</v>
      </c>
      <c r="E49" s="26" t="n">
        <f aca="false">IF(E$7&gt;YEAR($C$4),"",IFERROR(INDEX(Biens!$P$5:$P$30,MATCH(Synthèse!$C$3,Biens!$A$5:$A$30,0)),0)-E48)</f>
        <v>176171.26</v>
      </c>
      <c r="F49" s="26" t="n">
        <f aca="false">IF(F$7&gt;YEAR($C$4),"",IFERROR(INDEX(Biens!$P$5:$P$30,MATCH(Synthèse!$C$3,Biens!$A$5:$A$30,0)),0)-F48)</f>
        <v>184470.93</v>
      </c>
      <c r="G49" s="26" t="str">
        <f aca="false">IF(G$7&gt;YEAR($C$4),"",IFERROR(INDEX(Biens!$P$5:$P$30,MATCH(Synthèse!$C$3,Biens!$A$5:$A$30,0)),0)-G48)</f>
        <v/>
      </c>
      <c r="H49" s="26" t="str">
        <f aca="false">IF(H$7&gt;YEAR($C$4),"",IFERROR(INDEX(Biens!$P$5:$P$30,MATCH(Synthèse!$C$3,Biens!$A$5:$A$30,0)),0)-H48)</f>
        <v/>
      </c>
    </row>
    <row r="51" customFormat="false" ht="15" hidden="false" customHeight="true" outlineLevel="0" collapsed="false">
      <c r="B51" s="23" t="s">
        <v>109</v>
      </c>
    </row>
  </sheetData>
  <dataValidations count="1">
    <dataValidation allowBlank="false" errorStyle="stop" operator="between" showDropDown="false" showErrorMessage="false" showInputMessage="false" sqref="C3" type="list">
      <formula1>lst_biens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O10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7"/>
    <col collapsed="false" customWidth="true" hidden="false" outlineLevel="0" max="3" min="3" style="1" width="11"/>
    <col collapsed="false" customWidth="true" hidden="false" outlineLevel="0" max="4" min="4" style="1" width="14"/>
    <col collapsed="false" customWidth="true" hidden="false" outlineLevel="0" max="5" min="5" style="1" width="30"/>
    <col collapsed="false" customWidth="true" hidden="false" outlineLevel="0" max="6" min="6" style="1" width="58"/>
    <col collapsed="false" customWidth="true" hidden="false" outlineLevel="0" max="7" min="7" style="1" width="12"/>
    <col collapsed="false" customWidth="true" hidden="false" outlineLevel="0" max="8" min="8" style="1" width="10"/>
    <col collapsed="false" customWidth="true" hidden="false" outlineLevel="0" max="9" min="9" style="1" width="12"/>
    <col collapsed="false" customWidth="true" hidden="false" outlineLevel="0" max="10" min="10" style="1" width="22"/>
    <col collapsed="false" customWidth="true" hidden="false" outlineLevel="0" max="12" min="11" style="1" width="12"/>
    <col collapsed="false" customWidth="true" hidden="false" outlineLevel="0" max="13" min="13" style="1" width="48"/>
    <col collapsed="false" customWidth="true" hidden="false" outlineLevel="0" max="14" min="14" style="1" width="16"/>
    <col collapsed="false" customWidth="true" hidden="false" outlineLevel="0" max="15" min="15" style="1" width="60"/>
  </cols>
  <sheetData>
    <row r="1" customFormat="false" ht="19.5" hidden="false" customHeight="true" outlineLevel="0" collapsed="false">
      <c r="A1" s="2" t="s">
        <v>110</v>
      </c>
    </row>
    <row r="2" customFormat="false" ht="15" hidden="false" customHeight="true" outlineLevel="0" collapsed="false">
      <c r="A2" s="3" t="s">
        <v>111</v>
      </c>
    </row>
    <row r="4" customFormat="false" ht="30" hidden="false" customHeight="true" outlineLevel="0" collapsed="false">
      <c r="A4" s="16" t="s">
        <v>112</v>
      </c>
      <c r="B4" s="16" t="s">
        <v>113</v>
      </c>
      <c r="C4" s="16" t="s">
        <v>57</v>
      </c>
      <c r="D4" s="16" t="s">
        <v>114</v>
      </c>
      <c r="E4" s="16" t="s">
        <v>115</v>
      </c>
      <c r="F4" s="16" t="s">
        <v>116</v>
      </c>
      <c r="G4" s="16" t="s">
        <v>117</v>
      </c>
      <c r="H4" s="16" t="s">
        <v>118</v>
      </c>
      <c r="I4" s="16" t="s">
        <v>119</v>
      </c>
      <c r="J4" s="16" t="s">
        <v>120</v>
      </c>
      <c r="K4" s="16" t="s">
        <v>121</v>
      </c>
      <c r="L4" s="16" t="s">
        <v>122</v>
      </c>
      <c r="M4" s="16" t="s">
        <v>123</v>
      </c>
      <c r="N4" s="16" t="s">
        <v>124</v>
      </c>
      <c r="O4" s="16" t="s">
        <v>125</v>
      </c>
    </row>
    <row r="5" customFormat="false" ht="15" hidden="false" customHeight="true" outlineLevel="0" collapsed="false">
      <c r="A5" s="28" t="n">
        <v>45426</v>
      </c>
      <c r="B5" s="29" t="n">
        <f aca="false">IF(A5="","",YEAR(A5))</f>
        <v>2024</v>
      </c>
      <c r="C5" s="30" t="s">
        <v>58</v>
      </c>
      <c r="D5" s="30" t="s">
        <v>126</v>
      </c>
      <c r="E5" s="30" t="s">
        <v>127</v>
      </c>
      <c r="F5" s="30" t="s">
        <v>128</v>
      </c>
      <c r="G5" s="31" t="n">
        <v>140.04</v>
      </c>
      <c r="H5" s="32" t="str">
        <f aca="false">IF(E5="","",IFERROR(INDEX(Catégories!$B$5:$B$60,MATCH(E5,Catégories!$A$5:$A$60,0)),"?"))</f>
        <v>Dépense</v>
      </c>
      <c r="I5" s="32" t="str">
        <f aca="false">IF(E5="","",IFERROR(INDEX(Catégories!$C$5:$C$60,MATCH(E5,Catégories!$A$5:$A$60,0)),"?"))</f>
        <v>Déductible</v>
      </c>
      <c r="J5" s="32" t="str">
        <f aca="false">IF(E5="","",IFERROR(INDEX(Catégories!$D$5:$D$60,MATCH(E5,Catégories!$A$5:$A$60,0)),"?"))</f>
        <v>Frais de gestion</v>
      </c>
      <c r="K5" s="33" t="n">
        <f aca="false">IF(H5="Recette",G5,IF(H5="Dépense",-G5,0))</f>
        <v>-140.04</v>
      </c>
      <c r="L5" s="33" t="n">
        <f aca="false">IF(E5="",0,G5*IFERROR(INDEX(Catégories!$E$5:$E$60,MATCH(E5,Catégories!$A$5:$A$60,0)),0))</f>
        <v>-140.04</v>
      </c>
      <c r="M5" s="30" t="s">
        <v>129</v>
      </c>
      <c r="N5" s="30" t="s">
        <v>130</v>
      </c>
      <c r="O5" s="30"/>
    </row>
    <row r="6" customFormat="false" ht="15" hidden="false" customHeight="true" outlineLevel="0" collapsed="false">
      <c r="A6" s="28" t="n">
        <v>45426</v>
      </c>
      <c r="B6" s="29" t="n">
        <f aca="false">IF(A6="","",YEAR(A6))</f>
        <v>2024</v>
      </c>
      <c r="C6" s="30" t="s">
        <v>58</v>
      </c>
      <c r="D6" s="30" t="s">
        <v>126</v>
      </c>
      <c r="E6" s="30" t="s">
        <v>127</v>
      </c>
      <c r="F6" s="30" t="s">
        <v>131</v>
      </c>
      <c r="G6" s="31" t="n">
        <v>28</v>
      </c>
      <c r="H6" s="32" t="str">
        <f aca="false">IF(E6="","",IFERROR(INDEX(Catégories!$B$5:$B$60,MATCH(E6,Catégories!$A$5:$A$60,0)),"?"))</f>
        <v>Dépense</v>
      </c>
      <c r="I6" s="32" t="str">
        <f aca="false">IF(E6="","",IFERROR(INDEX(Catégories!$C$5:$C$60,MATCH(E6,Catégories!$A$5:$A$60,0)),"?"))</f>
        <v>Déductible</v>
      </c>
      <c r="J6" s="32" t="str">
        <f aca="false">IF(E6="","",IFERROR(INDEX(Catégories!$D$5:$D$60,MATCH(E6,Catégories!$A$5:$A$60,0)),"?"))</f>
        <v>Frais de gestion</v>
      </c>
      <c r="K6" s="33" t="n">
        <f aca="false">IF(H6="Recette",G6,IF(H6="Dépense",-G6,0))</f>
        <v>-28</v>
      </c>
      <c r="L6" s="33" t="n">
        <f aca="false">IF(E6="",0,G6*IFERROR(INDEX(Catégories!$E$5:$E$60,MATCH(E6,Catégories!$A$5:$A$60,0)),0))</f>
        <v>-28</v>
      </c>
      <c r="M6" s="30" t="s">
        <v>129</v>
      </c>
      <c r="N6" s="30" t="s">
        <v>130</v>
      </c>
      <c r="O6" s="30"/>
    </row>
    <row r="7" customFormat="false" ht="15" hidden="false" customHeight="true" outlineLevel="0" collapsed="false">
      <c r="A7" s="28" t="n">
        <v>45426</v>
      </c>
      <c r="B7" s="29" t="n">
        <f aca="false">IF(A7="","",YEAR(A7))</f>
        <v>2024</v>
      </c>
      <c r="C7" s="30" t="s">
        <v>58</v>
      </c>
      <c r="D7" s="30" t="s">
        <v>126</v>
      </c>
      <c r="E7" s="30" t="s">
        <v>127</v>
      </c>
      <c r="F7" s="30" t="s">
        <v>132</v>
      </c>
      <c r="G7" s="31" t="n">
        <v>369.86</v>
      </c>
      <c r="H7" s="32" t="str">
        <f aca="false">IF(E7="","",IFERROR(INDEX(Catégories!$B$5:$B$60,MATCH(E7,Catégories!$A$5:$A$60,0)),"?"))</f>
        <v>Dépense</v>
      </c>
      <c r="I7" s="32" t="str">
        <f aca="false">IF(E7="","",IFERROR(INDEX(Catégories!$C$5:$C$60,MATCH(E7,Catégories!$A$5:$A$60,0)),"?"))</f>
        <v>Déductible</v>
      </c>
      <c r="J7" s="32" t="str">
        <f aca="false">IF(E7="","",IFERROR(INDEX(Catégories!$D$5:$D$60,MATCH(E7,Catégories!$A$5:$A$60,0)),"?"))</f>
        <v>Frais de gestion</v>
      </c>
      <c r="K7" s="33" t="n">
        <f aca="false">IF(H7="Recette",G7,IF(H7="Dépense",-G7,0))</f>
        <v>-369.86</v>
      </c>
      <c r="L7" s="33" t="n">
        <f aca="false">IF(E7="",0,G7*IFERROR(INDEX(Catégories!$E$5:$E$60,MATCH(E7,Catégories!$A$5:$A$60,0)),0))</f>
        <v>-369.86</v>
      </c>
      <c r="M7" s="30" t="s">
        <v>129</v>
      </c>
      <c r="N7" s="30" t="s">
        <v>130</v>
      </c>
      <c r="O7" s="30"/>
    </row>
    <row r="8" customFormat="false" ht="15" hidden="false" customHeight="true" outlineLevel="0" collapsed="false">
      <c r="A8" s="28" t="n">
        <v>45426</v>
      </c>
      <c r="B8" s="29" t="n">
        <f aca="false">IF(A8="","",YEAR(A8))</f>
        <v>2024</v>
      </c>
      <c r="C8" s="30" t="s">
        <v>58</v>
      </c>
      <c r="D8" s="30" t="s">
        <v>126</v>
      </c>
      <c r="E8" s="30" t="s">
        <v>127</v>
      </c>
      <c r="F8" s="30" t="s">
        <v>133</v>
      </c>
      <c r="G8" s="31" t="n">
        <v>73.97</v>
      </c>
      <c r="H8" s="32" t="str">
        <f aca="false">IF(E8="","",IFERROR(INDEX(Catégories!$B$5:$B$60,MATCH(E8,Catégories!$A$5:$A$60,0)),"?"))</f>
        <v>Dépense</v>
      </c>
      <c r="I8" s="32" t="str">
        <f aca="false">IF(E8="","",IFERROR(INDEX(Catégories!$C$5:$C$60,MATCH(E8,Catégories!$A$5:$A$60,0)),"?"))</f>
        <v>Déductible</v>
      </c>
      <c r="J8" s="32" t="str">
        <f aca="false">IF(E8="","",IFERROR(INDEX(Catégories!$D$5:$D$60,MATCH(E8,Catégories!$A$5:$A$60,0)),"?"))</f>
        <v>Frais de gestion</v>
      </c>
      <c r="K8" s="33" t="n">
        <f aca="false">IF(H8="Recette",G8,IF(H8="Dépense",-G8,0))</f>
        <v>-73.97</v>
      </c>
      <c r="L8" s="33" t="n">
        <f aca="false">IF(E8="",0,G8*IFERROR(INDEX(Catégories!$E$5:$E$60,MATCH(E8,Catégories!$A$5:$A$60,0)),0))</f>
        <v>-73.97</v>
      </c>
      <c r="M8" s="30" t="s">
        <v>129</v>
      </c>
      <c r="N8" s="30" t="s">
        <v>130</v>
      </c>
      <c r="O8" s="30"/>
    </row>
    <row r="9" customFormat="false" ht="15" hidden="false" customHeight="true" outlineLevel="0" collapsed="false">
      <c r="A9" s="28" t="n">
        <v>45427</v>
      </c>
      <c r="B9" s="29" t="n">
        <f aca="false">IF(A9="","",YEAR(A9))</f>
        <v>2024</v>
      </c>
      <c r="C9" s="30" t="s">
        <v>58</v>
      </c>
      <c r="D9" s="30" t="s">
        <v>126</v>
      </c>
      <c r="E9" s="30" t="s">
        <v>134</v>
      </c>
      <c r="F9" s="30" t="s">
        <v>135</v>
      </c>
      <c r="G9" s="31" t="n">
        <v>466.2</v>
      </c>
      <c r="H9" s="32" t="str">
        <f aca="false">IF(E9="","",IFERROR(INDEX(Catégories!$B$5:$B$60,MATCH(E9,Catégories!$A$5:$A$60,0)),"?"))</f>
        <v>Recette</v>
      </c>
      <c r="I9" s="32" t="str">
        <f aca="false">IF(E9="","",IFERROR(INDEX(Catégories!$C$5:$C$60,MATCH(E9,Catégories!$A$5:$A$60,0)),"?"))</f>
        <v>Imposable</v>
      </c>
      <c r="J9" s="32" t="str">
        <f aca="false">IF(E9="","",IFERROR(INDEX(Catégories!$D$5:$D$60,MATCH(E9,Catégories!$A$5:$A$60,0)),"?"))</f>
        <v>Loyers</v>
      </c>
      <c r="K9" s="33" t="n">
        <f aca="false">IF(H9="Recette",G9,IF(H9="Dépense",-G9,0))</f>
        <v>466.2</v>
      </c>
      <c r="L9" s="33" t="n">
        <f aca="false">IF(E9="",0,G9*IFERROR(INDEX(Catégories!$E$5:$E$60,MATCH(E9,Catégories!$A$5:$A$60,0)),0))</f>
        <v>466.2</v>
      </c>
      <c r="M9" s="30" t="s">
        <v>129</v>
      </c>
      <c r="N9" s="30" t="s">
        <v>130</v>
      </c>
      <c r="O9" s="30"/>
    </row>
    <row r="10" customFormat="false" ht="15" hidden="false" customHeight="true" outlineLevel="0" collapsed="false">
      <c r="A10" s="28" t="n">
        <v>45427</v>
      </c>
      <c r="B10" s="29" t="n">
        <f aca="false">IF(A10="","",YEAR(A10))</f>
        <v>2024</v>
      </c>
      <c r="C10" s="30" t="s">
        <v>58</v>
      </c>
      <c r="D10" s="30" t="s">
        <v>126</v>
      </c>
      <c r="E10" s="30" t="s">
        <v>136</v>
      </c>
      <c r="F10" s="30" t="s">
        <v>137</v>
      </c>
      <c r="G10" s="31" t="n">
        <v>27.97</v>
      </c>
      <c r="H10" s="32" t="str">
        <f aca="false">IF(E10="","",IFERROR(INDEX(Catégories!$B$5:$B$60,MATCH(E10,Catégories!$A$5:$A$60,0)),"?"))</f>
        <v>Dépense</v>
      </c>
      <c r="I10" s="32" t="str">
        <f aca="false">IF(E10="","",IFERROR(INDEX(Catégories!$C$5:$C$60,MATCH(E10,Catégories!$A$5:$A$60,0)),"?"))</f>
        <v>Déductible</v>
      </c>
      <c r="J10" s="32" t="str">
        <f aca="false">IF(E10="","",IFERROR(INDEX(Catégories!$D$5:$D$60,MATCH(E10,Catégories!$A$5:$A$60,0)),"?"))</f>
        <v>Frais de gestion</v>
      </c>
      <c r="K10" s="33" t="n">
        <f aca="false">IF(H10="Recette",G10,IF(H10="Dépense",-G10,0))</f>
        <v>-27.97</v>
      </c>
      <c r="L10" s="33" t="n">
        <f aca="false">IF(E10="",0,G10*IFERROR(INDEX(Catégories!$E$5:$E$60,MATCH(E10,Catégories!$A$5:$A$60,0)),0))</f>
        <v>-27.97</v>
      </c>
      <c r="M10" s="30" t="s">
        <v>129</v>
      </c>
      <c r="N10" s="30" t="s">
        <v>130</v>
      </c>
      <c r="O10" s="30"/>
    </row>
    <row r="11" customFormat="false" ht="15" hidden="false" customHeight="true" outlineLevel="0" collapsed="false">
      <c r="A11" s="28" t="n">
        <v>45427</v>
      </c>
      <c r="B11" s="29" t="n">
        <f aca="false">IF(A11="","",YEAR(A11))</f>
        <v>2024</v>
      </c>
      <c r="C11" s="30" t="s">
        <v>58</v>
      </c>
      <c r="D11" s="30" t="s">
        <v>126</v>
      </c>
      <c r="E11" s="30" t="s">
        <v>136</v>
      </c>
      <c r="F11" s="30" t="s">
        <v>138</v>
      </c>
      <c r="G11" s="31" t="n">
        <v>5.6</v>
      </c>
      <c r="H11" s="32" t="str">
        <f aca="false">IF(E11="","",IFERROR(INDEX(Catégories!$B$5:$B$60,MATCH(E11,Catégories!$A$5:$A$60,0)),"?"))</f>
        <v>Dépense</v>
      </c>
      <c r="I11" s="32" t="str">
        <f aca="false">IF(E11="","",IFERROR(INDEX(Catégories!$C$5:$C$60,MATCH(E11,Catégories!$A$5:$A$60,0)),"?"))</f>
        <v>Déductible</v>
      </c>
      <c r="J11" s="32" t="str">
        <f aca="false">IF(E11="","",IFERROR(INDEX(Catégories!$D$5:$D$60,MATCH(E11,Catégories!$A$5:$A$60,0)),"?"))</f>
        <v>Frais de gestion</v>
      </c>
      <c r="K11" s="33" t="n">
        <f aca="false">IF(H11="Recette",G11,IF(H11="Dépense",-G11,0))</f>
        <v>-5.6</v>
      </c>
      <c r="L11" s="33" t="n">
        <f aca="false">IF(E11="",0,G11*IFERROR(INDEX(Catégories!$E$5:$E$60,MATCH(E11,Catégories!$A$5:$A$60,0)),0))</f>
        <v>-5.6</v>
      </c>
      <c r="M11" s="30" t="s">
        <v>129</v>
      </c>
      <c r="N11" s="30" t="s">
        <v>130</v>
      </c>
      <c r="O11" s="30"/>
    </row>
    <row r="12" customFormat="false" ht="15" hidden="false" customHeight="true" outlineLevel="0" collapsed="false">
      <c r="A12" s="28" t="n">
        <v>45427</v>
      </c>
      <c r="B12" s="29" t="n">
        <f aca="false">IF(A12="","",YEAR(A12))</f>
        <v>2024</v>
      </c>
      <c r="C12" s="30" t="s">
        <v>58</v>
      </c>
      <c r="D12" s="30" t="s">
        <v>126</v>
      </c>
      <c r="E12" s="30" t="s">
        <v>139</v>
      </c>
      <c r="F12" s="30" t="s">
        <v>140</v>
      </c>
      <c r="G12" s="31" t="n">
        <v>37.8</v>
      </c>
      <c r="H12" s="32" t="str">
        <f aca="false">IF(E12="","",IFERROR(INDEX(Catégories!$B$5:$B$60,MATCH(E12,Catégories!$A$5:$A$60,0)),"?"))</f>
        <v>Recette</v>
      </c>
      <c r="I12" s="32" t="str">
        <f aca="false">IF(E12="","",IFERROR(INDEX(Catégories!$C$5:$C$60,MATCH(E12,Catégories!$A$5:$A$60,0)),"?"))</f>
        <v>Imposable</v>
      </c>
      <c r="J12" s="32" t="str">
        <f aca="false">IF(E12="","",IFERROR(INDEX(Catégories!$D$5:$D$60,MATCH(E12,Catégories!$A$5:$A$60,0)),"?"))</f>
        <v>Charges refacturées</v>
      </c>
      <c r="K12" s="33" t="n">
        <f aca="false">IF(H12="Recette",G12,IF(H12="Dépense",-G12,0))</f>
        <v>37.8</v>
      </c>
      <c r="L12" s="33" t="n">
        <f aca="false">IF(E12="",0,G12*IFERROR(INDEX(Catégories!$E$5:$E$60,MATCH(E12,Catégories!$A$5:$A$60,0)),0))</f>
        <v>37.8</v>
      </c>
      <c r="M12" s="30" t="s">
        <v>129</v>
      </c>
      <c r="N12" s="30" t="s">
        <v>130</v>
      </c>
      <c r="O12" s="30"/>
    </row>
    <row r="13" customFormat="false" ht="15" hidden="false" customHeight="true" outlineLevel="0" collapsed="false">
      <c r="A13" s="28" t="n">
        <v>45427</v>
      </c>
      <c r="B13" s="29" t="n">
        <f aca="false">IF(A13="","",YEAR(A13))</f>
        <v>2024</v>
      </c>
      <c r="C13" s="30" t="s">
        <v>58</v>
      </c>
      <c r="D13" s="30" t="s">
        <v>126</v>
      </c>
      <c r="E13" s="30" t="s">
        <v>136</v>
      </c>
      <c r="F13" s="30" t="s">
        <v>141</v>
      </c>
      <c r="G13" s="31" t="n">
        <v>2.27</v>
      </c>
      <c r="H13" s="32" t="str">
        <f aca="false">IF(E13="","",IFERROR(INDEX(Catégories!$B$5:$B$60,MATCH(E13,Catégories!$A$5:$A$60,0)),"?"))</f>
        <v>Dépense</v>
      </c>
      <c r="I13" s="32" t="str">
        <f aca="false">IF(E13="","",IFERROR(INDEX(Catégories!$C$5:$C$60,MATCH(E13,Catégories!$A$5:$A$60,0)),"?"))</f>
        <v>Déductible</v>
      </c>
      <c r="J13" s="32" t="str">
        <f aca="false">IF(E13="","",IFERROR(INDEX(Catégories!$D$5:$D$60,MATCH(E13,Catégories!$A$5:$A$60,0)),"?"))</f>
        <v>Frais de gestion</v>
      </c>
      <c r="K13" s="33" t="n">
        <f aca="false">IF(H13="Recette",G13,IF(H13="Dépense",-G13,0))</f>
        <v>-2.27</v>
      </c>
      <c r="L13" s="33" t="n">
        <f aca="false">IF(E13="",0,G13*IFERROR(INDEX(Catégories!$E$5:$E$60,MATCH(E13,Catégories!$A$5:$A$60,0)),0))</f>
        <v>-2.27</v>
      </c>
      <c r="M13" s="30" t="s">
        <v>129</v>
      </c>
      <c r="N13" s="30" t="s">
        <v>130</v>
      </c>
      <c r="O13" s="30"/>
    </row>
    <row r="14" customFormat="false" ht="15" hidden="false" customHeight="true" outlineLevel="0" collapsed="false">
      <c r="A14" s="28" t="n">
        <v>45427</v>
      </c>
      <c r="B14" s="29" t="n">
        <f aca="false">IF(A14="","",YEAR(A14))</f>
        <v>2024</v>
      </c>
      <c r="C14" s="30" t="s">
        <v>58</v>
      </c>
      <c r="D14" s="30" t="s">
        <v>126</v>
      </c>
      <c r="E14" s="30" t="s">
        <v>136</v>
      </c>
      <c r="F14" s="30" t="s">
        <v>142</v>
      </c>
      <c r="G14" s="31" t="n">
        <v>0.46</v>
      </c>
      <c r="H14" s="32" t="str">
        <f aca="false">IF(E14="","",IFERROR(INDEX(Catégories!$B$5:$B$60,MATCH(E14,Catégories!$A$5:$A$60,0)),"?"))</f>
        <v>Dépense</v>
      </c>
      <c r="I14" s="32" t="str">
        <f aca="false">IF(E14="","",IFERROR(INDEX(Catégories!$C$5:$C$60,MATCH(E14,Catégories!$A$5:$A$60,0)),"?"))</f>
        <v>Déductible</v>
      </c>
      <c r="J14" s="32" t="str">
        <f aca="false">IF(E14="","",IFERROR(INDEX(Catégories!$D$5:$D$60,MATCH(E14,Catégories!$A$5:$A$60,0)),"?"))</f>
        <v>Frais de gestion</v>
      </c>
      <c r="K14" s="33" t="n">
        <f aca="false">IF(H14="Recette",G14,IF(H14="Dépense",-G14,0))</f>
        <v>-0.46</v>
      </c>
      <c r="L14" s="33" t="n">
        <f aca="false">IF(E14="",0,G14*IFERROR(INDEX(Catégories!$E$5:$E$60,MATCH(E14,Catégories!$A$5:$A$60,0)),0))</f>
        <v>-0.46</v>
      </c>
      <c r="M14" s="30" t="s">
        <v>129</v>
      </c>
      <c r="N14" s="30" t="s">
        <v>130</v>
      </c>
      <c r="O14" s="30"/>
    </row>
    <row r="15" customFormat="false" ht="15" hidden="false" customHeight="true" outlineLevel="0" collapsed="false">
      <c r="A15" s="28" t="n">
        <v>45427</v>
      </c>
      <c r="B15" s="29" t="n">
        <f aca="false">IF(A15="","",YEAR(A15))</f>
        <v>2024</v>
      </c>
      <c r="C15" s="30" t="s">
        <v>58</v>
      </c>
      <c r="D15" s="30" t="s">
        <v>126</v>
      </c>
      <c r="E15" s="30" t="s">
        <v>143</v>
      </c>
      <c r="F15" s="30" t="s">
        <v>144</v>
      </c>
      <c r="G15" s="31" t="n">
        <v>2064.6</v>
      </c>
      <c r="H15" s="32" t="str">
        <f aca="false">IF(E15="","",IFERROR(INDEX(Catégories!$B$5:$B$60,MATCH(E15,Catégories!$A$5:$A$60,0)),"?"))</f>
        <v>Neutre</v>
      </c>
      <c r="I15" s="32" t="str">
        <f aca="false">IF(E15="","",IFERROR(INDEX(Catégories!$C$5:$C$60,MATCH(E15,Catégories!$A$5:$A$60,0)),"?"))</f>
        <v>Non fiscal</v>
      </c>
      <c r="J15" s="32" t="str">
        <f aca="false">IF(E15="","",IFERROR(INDEX(Catégories!$D$5:$D$60,MATCH(E15,Catégories!$A$5:$A$60,0)),"?"))</f>
        <v>Dépôt de garantie</v>
      </c>
      <c r="K15" s="33" t="n">
        <f aca="false">IF(H15="Recette",G15,IF(H15="Dépense",-G15,0))</f>
        <v>0</v>
      </c>
      <c r="L15" s="33" t="n">
        <f aca="false">IF(E15="",0,G15*IFERROR(INDEX(Catégories!$E$5:$E$60,MATCH(E15,Catégories!$A$5:$A$60,0)),0))</f>
        <v>-2064.6</v>
      </c>
      <c r="M15" s="30" t="s">
        <v>129</v>
      </c>
      <c r="N15" s="30" t="s">
        <v>130</v>
      </c>
      <c r="O15" s="30" t="s">
        <v>145</v>
      </c>
    </row>
    <row r="16" customFormat="false" ht="15" hidden="false" customHeight="true" outlineLevel="0" collapsed="false">
      <c r="A16" s="28" t="n">
        <v>45427</v>
      </c>
      <c r="B16" s="29" t="n">
        <f aca="false">IF(A16="","",YEAR(A16))</f>
        <v>2024</v>
      </c>
      <c r="C16" s="30" t="s">
        <v>58</v>
      </c>
      <c r="D16" s="30" t="s">
        <v>126</v>
      </c>
      <c r="E16" s="30" t="s">
        <v>146</v>
      </c>
      <c r="F16" s="30" t="s">
        <v>147</v>
      </c>
      <c r="G16" s="31" t="n">
        <v>2064.6</v>
      </c>
      <c r="H16" s="32" t="str">
        <f aca="false">IF(E16="","",IFERROR(INDEX(Catégories!$B$5:$B$60,MATCH(E16,Catégories!$A$5:$A$60,0)),"?"))</f>
        <v>Neutre</v>
      </c>
      <c r="I16" s="32" t="str">
        <f aca="false">IF(E16="","",IFERROR(INDEX(Catégories!$C$5:$C$60,MATCH(E16,Catégories!$A$5:$A$60,0)),"?"))</f>
        <v>Non fiscal</v>
      </c>
      <c r="J16" s="32" t="str">
        <f aca="false">IF(E16="","",IFERROR(INDEX(Catégories!$D$5:$D$60,MATCH(E16,Catégories!$A$5:$A$60,0)),"?"))</f>
        <v>Dépôt de garantie</v>
      </c>
      <c r="K16" s="33" t="n">
        <f aca="false">IF(H16="Recette",G16,IF(H16="Dépense",-G16,0))</f>
        <v>0</v>
      </c>
      <c r="L16" s="33" t="n">
        <f aca="false">IF(E16="",0,G16*IFERROR(INDEX(Catégories!$E$5:$E$60,MATCH(E16,Catégories!$A$5:$A$60,0)),0))</f>
        <v>2064.6</v>
      </c>
      <c r="M16" s="30" t="s">
        <v>129</v>
      </c>
      <c r="N16" s="30" t="s">
        <v>130</v>
      </c>
      <c r="O16" s="30" t="s">
        <v>145</v>
      </c>
    </row>
    <row r="17" customFormat="false" ht="15" hidden="false" customHeight="true" outlineLevel="0" collapsed="false">
      <c r="A17" s="28" t="n">
        <v>45427</v>
      </c>
      <c r="B17" s="29" t="n">
        <f aca="false">IF(A17="","",YEAR(A17))</f>
        <v>2024</v>
      </c>
      <c r="C17" s="30" t="s">
        <v>58</v>
      </c>
      <c r="D17" s="30" t="s">
        <v>148</v>
      </c>
      <c r="E17" s="30" t="s">
        <v>146</v>
      </c>
      <c r="F17" s="30" t="s">
        <v>149</v>
      </c>
      <c r="G17" s="31" t="n">
        <v>2064.6</v>
      </c>
      <c r="H17" s="32" t="str">
        <f aca="false">IF(E17="","",IFERROR(INDEX(Catégories!$B$5:$B$60,MATCH(E17,Catégories!$A$5:$A$60,0)),"?"))</f>
        <v>Neutre</v>
      </c>
      <c r="I17" s="32" t="str">
        <f aca="false">IF(E17="","",IFERROR(INDEX(Catégories!$C$5:$C$60,MATCH(E17,Catégories!$A$5:$A$60,0)),"?"))</f>
        <v>Non fiscal</v>
      </c>
      <c r="J17" s="32" t="str">
        <f aca="false">IF(E17="","",IFERROR(INDEX(Catégories!$D$5:$D$60,MATCH(E17,Catégories!$A$5:$A$60,0)),"?"))</f>
        <v>Dépôt de garantie</v>
      </c>
      <c r="K17" s="33" t="n">
        <f aca="false">IF(H17="Recette",G17,IF(H17="Dépense",-G17,0))</f>
        <v>0</v>
      </c>
      <c r="L17" s="33" t="n">
        <f aca="false">IF(E17="",0,G17*IFERROR(INDEX(Catégories!$E$5:$E$60,MATCH(E17,Catégories!$A$5:$A$60,0)),0))</f>
        <v>2064.6</v>
      </c>
      <c r="M17" s="30" t="s">
        <v>150</v>
      </c>
      <c r="N17" s="30" t="s">
        <v>151</v>
      </c>
      <c r="O17" s="30" t="s">
        <v>152</v>
      </c>
    </row>
    <row r="18" customFormat="false" ht="15" hidden="false" customHeight="true" outlineLevel="0" collapsed="false">
      <c r="A18" s="28" t="n">
        <v>45427</v>
      </c>
      <c r="B18" s="29" t="n">
        <f aca="false">IF(A18="","",YEAR(A18))</f>
        <v>2024</v>
      </c>
      <c r="C18" s="30" t="s">
        <v>58</v>
      </c>
      <c r="D18" s="30" t="s">
        <v>148</v>
      </c>
      <c r="E18" s="30" t="s">
        <v>153</v>
      </c>
      <c r="F18" s="30" t="s">
        <v>154</v>
      </c>
      <c r="G18" s="31" t="n">
        <v>395.25</v>
      </c>
      <c r="H18" s="32" t="str">
        <f aca="false">IF(E18="","",IFERROR(INDEX(Catégories!$B$5:$B$60,MATCH(E18,Catégories!$A$5:$A$60,0)),"?"))</f>
        <v>Dépense</v>
      </c>
      <c r="I18" s="32" t="str">
        <f aca="false">IF(E18="","",IFERROR(INDEX(Catégories!$C$5:$C$60,MATCH(E18,Catégories!$A$5:$A$60,0)),"?"))</f>
        <v>À valider</v>
      </c>
      <c r="J18" s="32" t="str">
        <f aca="false">IF(E18="","",IFERROR(INDEX(Catégories!$D$5:$D$60,MATCH(E18,Catégories!$A$5:$A$60,0)),"?"))</f>
        <v>À qualifier</v>
      </c>
      <c r="K18" s="33" t="n">
        <f aca="false">IF(H18="Recette",G18,IF(H18="Dépense",-G18,0))</f>
        <v>-395.25</v>
      </c>
      <c r="L18" s="33" t="n">
        <f aca="false">IF(E18="",0,G18*IFERROR(INDEX(Catégories!$E$5:$E$60,MATCH(E18,Catégories!$A$5:$A$60,0)),0))</f>
        <v>-395.25</v>
      </c>
      <c r="M18" s="30" t="s">
        <v>150</v>
      </c>
      <c r="N18" s="30" t="s">
        <v>151</v>
      </c>
      <c r="O18" s="30" t="s">
        <v>155</v>
      </c>
    </row>
    <row r="19" customFormat="false" ht="15" hidden="false" customHeight="true" outlineLevel="0" collapsed="false">
      <c r="A19" s="28" t="n">
        <v>45446</v>
      </c>
      <c r="B19" s="29" t="n">
        <f aca="false">IF(A19="","",YEAR(A19))</f>
        <v>2024</v>
      </c>
      <c r="C19" s="30" t="s">
        <v>58</v>
      </c>
      <c r="D19" s="30" t="s">
        <v>126</v>
      </c>
      <c r="E19" s="30" t="s">
        <v>134</v>
      </c>
      <c r="F19" s="30" t="s">
        <v>156</v>
      </c>
      <c r="G19" s="31" t="n">
        <v>1032.3</v>
      </c>
      <c r="H19" s="32" t="str">
        <f aca="false">IF(E19="","",IFERROR(INDEX(Catégories!$B$5:$B$60,MATCH(E19,Catégories!$A$5:$A$60,0)),"?"))</f>
        <v>Recette</v>
      </c>
      <c r="I19" s="32" t="str">
        <f aca="false">IF(E19="","",IFERROR(INDEX(Catégories!$C$5:$C$60,MATCH(E19,Catégories!$A$5:$A$60,0)),"?"))</f>
        <v>Imposable</v>
      </c>
      <c r="J19" s="32" t="str">
        <f aca="false">IF(E19="","",IFERROR(INDEX(Catégories!$D$5:$D$60,MATCH(E19,Catégories!$A$5:$A$60,0)),"?"))</f>
        <v>Loyers</v>
      </c>
      <c r="K19" s="33" t="n">
        <f aca="false">IF(H19="Recette",G19,IF(H19="Dépense",-G19,0))</f>
        <v>1032.3</v>
      </c>
      <c r="L19" s="33" t="n">
        <f aca="false">IF(E19="",0,G19*IFERROR(INDEX(Catégories!$E$5:$E$60,MATCH(E19,Catégories!$A$5:$A$60,0)),0))</f>
        <v>1032.3</v>
      </c>
      <c r="M19" s="30" t="s">
        <v>129</v>
      </c>
      <c r="N19" s="30" t="s">
        <v>130</v>
      </c>
      <c r="O19" s="30"/>
    </row>
    <row r="20" customFormat="false" ht="15" hidden="false" customHeight="true" outlineLevel="0" collapsed="false">
      <c r="A20" s="28" t="n">
        <v>45446</v>
      </c>
      <c r="B20" s="29" t="n">
        <f aca="false">IF(A20="","",YEAR(A20))</f>
        <v>2024</v>
      </c>
      <c r="C20" s="30" t="s">
        <v>58</v>
      </c>
      <c r="D20" s="30" t="s">
        <v>126</v>
      </c>
      <c r="E20" s="30" t="s">
        <v>136</v>
      </c>
      <c r="F20" s="30" t="s">
        <v>137</v>
      </c>
      <c r="G20" s="31" t="n">
        <v>61.94</v>
      </c>
      <c r="H20" s="32" t="str">
        <f aca="false">IF(E20="","",IFERROR(INDEX(Catégories!$B$5:$B$60,MATCH(E20,Catégories!$A$5:$A$60,0)),"?"))</f>
        <v>Dépense</v>
      </c>
      <c r="I20" s="32" t="str">
        <f aca="false">IF(E20="","",IFERROR(INDEX(Catégories!$C$5:$C$60,MATCH(E20,Catégories!$A$5:$A$60,0)),"?"))</f>
        <v>Déductible</v>
      </c>
      <c r="J20" s="32" t="str">
        <f aca="false">IF(E20="","",IFERROR(INDEX(Catégories!$D$5:$D$60,MATCH(E20,Catégories!$A$5:$A$60,0)),"?"))</f>
        <v>Frais de gestion</v>
      </c>
      <c r="K20" s="33" t="n">
        <f aca="false">IF(H20="Recette",G20,IF(H20="Dépense",-G20,0))</f>
        <v>-61.94</v>
      </c>
      <c r="L20" s="33" t="n">
        <f aca="false">IF(E20="",0,G20*IFERROR(INDEX(Catégories!$E$5:$E$60,MATCH(E20,Catégories!$A$5:$A$60,0)),0))</f>
        <v>-61.94</v>
      </c>
      <c r="M20" s="30" t="s">
        <v>129</v>
      </c>
      <c r="N20" s="30" t="s">
        <v>130</v>
      </c>
      <c r="O20" s="30"/>
    </row>
    <row r="21" customFormat="false" ht="15" hidden="false" customHeight="true" outlineLevel="0" collapsed="false">
      <c r="A21" s="28" t="n">
        <v>45446</v>
      </c>
      <c r="B21" s="29" t="n">
        <f aca="false">IF(A21="","",YEAR(A21))</f>
        <v>2024</v>
      </c>
      <c r="C21" s="30" t="s">
        <v>58</v>
      </c>
      <c r="D21" s="30" t="s">
        <v>126</v>
      </c>
      <c r="E21" s="30" t="s">
        <v>136</v>
      </c>
      <c r="F21" s="30" t="s">
        <v>138</v>
      </c>
      <c r="G21" s="31" t="n">
        <v>12.39</v>
      </c>
      <c r="H21" s="32" t="str">
        <f aca="false">IF(E21="","",IFERROR(INDEX(Catégories!$B$5:$B$60,MATCH(E21,Catégories!$A$5:$A$60,0)),"?"))</f>
        <v>Dépense</v>
      </c>
      <c r="I21" s="32" t="str">
        <f aca="false">IF(E21="","",IFERROR(INDEX(Catégories!$C$5:$C$60,MATCH(E21,Catégories!$A$5:$A$60,0)),"?"))</f>
        <v>Déductible</v>
      </c>
      <c r="J21" s="32" t="str">
        <f aca="false">IF(E21="","",IFERROR(INDEX(Catégories!$D$5:$D$60,MATCH(E21,Catégories!$A$5:$A$60,0)),"?"))</f>
        <v>Frais de gestion</v>
      </c>
      <c r="K21" s="33" t="n">
        <f aca="false">IF(H21="Recette",G21,IF(H21="Dépense",-G21,0))</f>
        <v>-12.39</v>
      </c>
      <c r="L21" s="33" t="n">
        <f aca="false">IF(E21="",0,G21*IFERROR(INDEX(Catégories!$E$5:$E$60,MATCH(E21,Catégories!$A$5:$A$60,0)),0))</f>
        <v>-12.39</v>
      </c>
      <c r="M21" s="30" t="s">
        <v>129</v>
      </c>
      <c r="N21" s="30" t="s">
        <v>130</v>
      </c>
      <c r="O21" s="30"/>
    </row>
    <row r="22" customFormat="false" ht="15" hidden="false" customHeight="true" outlineLevel="0" collapsed="false">
      <c r="A22" s="28" t="n">
        <v>45446</v>
      </c>
      <c r="B22" s="29" t="n">
        <f aca="false">IF(A22="","",YEAR(A22))</f>
        <v>2024</v>
      </c>
      <c r="C22" s="30" t="s">
        <v>58</v>
      </c>
      <c r="D22" s="30" t="s">
        <v>126</v>
      </c>
      <c r="E22" s="30" t="s">
        <v>139</v>
      </c>
      <c r="F22" s="30" t="s">
        <v>157</v>
      </c>
      <c r="G22" s="31" t="n">
        <v>83.7</v>
      </c>
      <c r="H22" s="32" t="str">
        <f aca="false">IF(E22="","",IFERROR(INDEX(Catégories!$B$5:$B$60,MATCH(E22,Catégories!$A$5:$A$60,0)),"?"))</f>
        <v>Recette</v>
      </c>
      <c r="I22" s="32" t="str">
        <f aca="false">IF(E22="","",IFERROR(INDEX(Catégories!$C$5:$C$60,MATCH(E22,Catégories!$A$5:$A$60,0)),"?"))</f>
        <v>Imposable</v>
      </c>
      <c r="J22" s="32" t="str">
        <f aca="false">IF(E22="","",IFERROR(INDEX(Catégories!$D$5:$D$60,MATCH(E22,Catégories!$A$5:$A$60,0)),"?"))</f>
        <v>Charges refacturées</v>
      </c>
      <c r="K22" s="33" t="n">
        <f aca="false">IF(H22="Recette",G22,IF(H22="Dépense",-G22,0))</f>
        <v>83.7</v>
      </c>
      <c r="L22" s="33" t="n">
        <f aca="false">IF(E22="",0,G22*IFERROR(INDEX(Catégories!$E$5:$E$60,MATCH(E22,Catégories!$A$5:$A$60,0)),0))</f>
        <v>83.7</v>
      </c>
      <c r="M22" s="30" t="s">
        <v>129</v>
      </c>
      <c r="N22" s="30" t="s">
        <v>130</v>
      </c>
      <c r="O22" s="30"/>
    </row>
    <row r="23" customFormat="false" ht="15" hidden="false" customHeight="true" outlineLevel="0" collapsed="false">
      <c r="A23" s="28" t="n">
        <v>45446</v>
      </c>
      <c r="B23" s="29" t="n">
        <f aca="false">IF(A23="","",YEAR(A23))</f>
        <v>2024</v>
      </c>
      <c r="C23" s="30" t="s">
        <v>58</v>
      </c>
      <c r="D23" s="30" t="s">
        <v>126</v>
      </c>
      <c r="E23" s="30" t="s">
        <v>136</v>
      </c>
      <c r="F23" s="30" t="s">
        <v>141</v>
      </c>
      <c r="G23" s="31" t="n">
        <v>5.02</v>
      </c>
      <c r="H23" s="32" t="str">
        <f aca="false">IF(E23="","",IFERROR(INDEX(Catégories!$B$5:$B$60,MATCH(E23,Catégories!$A$5:$A$60,0)),"?"))</f>
        <v>Dépense</v>
      </c>
      <c r="I23" s="32" t="str">
        <f aca="false">IF(E23="","",IFERROR(INDEX(Catégories!$C$5:$C$60,MATCH(E23,Catégories!$A$5:$A$60,0)),"?"))</f>
        <v>Déductible</v>
      </c>
      <c r="J23" s="32" t="str">
        <f aca="false">IF(E23="","",IFERROR(INDEX(Catégories!$D$5:$D$60,MATCH(E23,Catégories!$A$5:$A$60,0)),"?"))</f>
        <v>Frais de gestion</v>
      </c>
      <c r="K23" s="33" t="n">
        <f aca="false">IF(H23="Recette",G23,IF(H23="Dépense",-G23,0))</f>
        <v>-5.02</v>
      </c>
      <c r="L23" s="33" t="n">
        <f aca="false">IF(E23="",0,G23*IFERROR(INDEX(Catégories!$E$5:$E$60,MATCH(E23,Catégories!$A$5:$A$60,0)),0))</f>
        <v>-5.02</v>
      </c>
      <c r="M23" s="30" t="s">
        <v>129</v>
      </c>
      <c r="N23" s="30" t="s">
        <v>130</v>
      </c>
      <c r="O23" s="30"/>
    </row>
    <row r="24" customFormat="false" ht="15" hidden="false" customHeight="true" outlineLevel="0" collapsed="false">
      <c r="A24" s="28" t="n">
        <v>45446</v>
      </c>
      <c r="B24" s="29" t="n">
        <f aca="false">IF(A24="","",YEAR(A24))</f>
        <v>2024</v>
      </c>
      <c r="C24" s="30" t="s">
        <v>58</v>
      </c>
      <c r="D24" s="30" t="s">
        <v>126</v>
      </c>
      <c r="E24" s="30" t="s">
        <v>136</v>
      </c>
      <c r="F24" s="30" t="s">
        <v>142</v>
      </c>
      <c r="G24" s="31" t="n">
        <v>1</v>
      </c>
      <c r="H24" s="32" t="str">
        <f aca="false">IF(E24="","",IFERROR(INDEX(Catégories!$B$5:$B$60,MATCH(E24,Catégories!$A$5:$A$60,0)),"?"))</f>
        <v>Dépense</v>
      </c>
      <c r="I24" s="32" t="str">
        <f aca="false">IF(E24="","",IFERROR(INDEX(Catégories!$C$5:$C$60,MATCH(E24,Catégories!$A$5:$A$60,0)),"?"))</f>
        <v>Déductible</v>
      </c>
      <c r="J24" s="32" t="str">
        <f aca="false">IF(E24="","",IFERROR(INDEX(Catégories!$D$5:$D$60,MATCH(E24,Catégories!$A$5:$A$60,0)),"?"))</f>
        <v>Frais de gestion</v>
      </c>
      <c r="K24" s="33" t="n">
        <f aca="false">IF(H24="Recette",G24,IF(H24="Dépense",-G24,0))</f>
        <v>-1</v>
      </c>
      <c r="L24" s="33" t="n">
        <f aca="false">IF(E24="",0,G24*IFERROR(INDEX(Catégories!$E$5:$E$60,MATCH(E24,Catégories!$A$5:$A$60,0)),0))</f>
        <v>-1</v>
      </c>
      <c r="M24" s="30" t="s">
        <v>129</v>
      </c>
      <c r="N24" s="30" t="s">
        <v>130</v>
      </c>
      <c r="O24" s="30"/>
    </row>
    <row r="25" customFormat="false" ht="15" hidden="false" customHeight="true" outlineLevel="0" collapsed="false">
      <c r="A25" s="28" t="n">
        <v>45446</v>
      </c>
      <c r="B25" s="29" t="n">
        <f aca="false">IF(A25="","",YEAR(A25))</f>
        <v>2024</v>
      </c>
      <c r="C25" s="30" t="s">
        <v>58</v>
      </c>
      <c r="D25" s="30" t="s">
        <v>126</v>
      </c>
      <c r="E25" s="30" t="s">
        <v>158</v>
      </c>
      <c r="F25" s="30" t="s">
        <v>159</v>
      </c>
      <c r="G25" s="31" t="n">
        <v>6.4</v>
      </c>
      <c r="H25" s="32" t="str">
        <f aca="false">IF(E25="","",IFERROR(INDEX(Catégories!$B$5:$B$60,MATCH(E25,Catégories!$A$5:$A$60,0)),"?"))</f>
        <v>Dépense</v>
      </c>
      <c r="I25" s="32" t="str">
        <f aca="false">IF(E25="","",IFERROR(INDEX(Catégories!$C$5:$C$60,MATCH(E25,Catégories!$A$5:$A$60,0)),"?"))</f>
        <v>Déductible</v>
      </c>
      <c r="J25" s="32" t="str">
        <f aca="false">IF(E25="","",IFERROR(INDEX(Catégories!$D$5:$D$60,MATCH(E25,Catégories!$A$5:$A$60,0)),"?"))</f>
        <v>Frais de gestion</v>
      </c>
      <c r="K25" s="33" t="n">
        <f aca="false">IF(H25="Recette",G25,IF(H25="Dépense",-G25,0))</f>
        <v>-6.4</v>
      </c>
      <c r="L25" s="33" t="n">
        <f aca="false">IF(E25="",0,G25*IFERROR(INDEX(Catégories!$E$5:$E$60,MATCH(E25,Catégories!$A$5:$A$60,0)),0))</f>
        <v>-6.4</v>
      </c>
      <c r="M25" s="30" t="s">
        <v>129</v>
      </c>
      <c r="N25" s="30" t="s">
        <v>130</v>
      </c>
      <c r="O25" s="30"/>
    </row>
    <row r="26" customFormat="false" ht="15" hidden="false" customHeight="true" outlineLevel="0" collapsed="false">
      <c r="A26" s="28" t="n">
        <v>45446</v>
      </c>
      <c r="B26" s="29" t="n">
        <f aca="false">IF(A26="","",YEAR(A26))</f>
        <v>2024</v>
      </c>
      <c r="C26" s="30" t="s">
        <v>58</v>
      </c>
      <c r="D26" s="30" t="s">
        <v>126</v>
      </c>
      <c r="E26" s="30" t="s">
        <v>158</v>
      </c>
      <c r="F26" s="30" t="s">
        <v>160</v>
      </c>
      <c r="G26" s="31" t="n">
        <v>1.27</v>
      </c>
      <c r="H26" s="32" t="str">
        <f aca="false">IF(E26="","",IFERROR(INDEX(Catégories!$B$5:$B$60,MATCH(E26,Catégories!$A$5:$A$60,0)),"?"))</f>
        <v>Dépense</v>
      </c>
      <c r="I26" s="32" t="str">
        <f aca="false">IF(E26="","",IFERROR(INDEX(Catégories!$C$5:$C$60,MATCH(E26,Catégories!$A$5:$A$60,0)),"?"))</f>
        <v>Déductible</v>
      </c>
      <c r="J26" s="32" t="str">
        <f aca="false">IF(E26="","",IFERROR(INDEX(Catégories!$D$5:$D$60,MATCH(E26,Catégories!$A$5:$A$60,0)),"?"))</f>
        <v>Frais de gestion</v>
      </c>
      <c r="K26" s="33" t="n">
        <f aca="false">IF(H26="Recette",G26,IF(H26="Dépense",-G26,0))</f>
        <v>-1.27</v>
      </c>
      <c r="L26" s="33" t="n">
        <f aca="false">IF(E26="",0,G26*IFERROR(INDEX(Catégories!$E$5:$E$60,MATCH(E26,Catégories!$A$5:$A$60,0)),0))</f>
        <v>-1.27</v>
      </c>
      <c r="M26" s="30" t="s">
        <v>129</v>
      </c>
      <c r="N26" s="30" t="s">
        <v>130</v>
      </c>
      <c r="O26" s="30"/>
    </row>
    <row r="27" customFormat="false" ht="15" hidden="false" customHeight="true" outlineLevel="0" collapsed="false">
      <c r="A27" s="28" t="n">
        <v>45446</v>
      </c>
      <c r="B27" s="29" t="n">
        <f aca="false">IF(A27="","",YEAR(A27))</f>
        <v>2024</v>
      </c>
      <c r="C27" s="30" t="s">
        <v>58</v>
      </c>
      <c r="D27" s="30" t="s">
        <v>126</v>
      </c>
      <c r="E27" s="30" t="s">
        <v>161</v>
      </c>
      <c r="F27" s="30" t="s">
        <v>162</v>
      </c>
      <c r="G27" s="31" t="n">
        <v>255.75</v>
      </c>
      <c r="H27" s="32" t="str">
        <f aca="false">IF(E27="","",IFERROR(INDEX(Catégories!$B$5:$B$60,MATCH(E27,Catégories!$A$5:$A$60,0)),"?"))</f>
        <v>Dépense</v>
      </c>
      <c r="I27" s="32" t="str">
        <f aca="false">IF(E27="","",IFERROR(INDEX(Catégories!$C$5:$C$60,MATCH(E27,Catégories!$A$5:$A$60,0)),"?"))</f>
        <v>Déductible</v>
      </c>
      <c r="J27" s="32" t="str">
        <f aca="false">IF(E27="","",IFERROR(INDEX(Catégories!$D$5:$D$60,MATCH(E27,Catégories!$A$5:$A$60,0)),"?"))</f>
        <v>Entretien et petit équipement</v>
      </c>
      <c r="K27" s="33" t="n">
        <f aca="false">IF(H27="Recette",G27,IF(H27="Dépense",-G27,0))</f>
        <v>-255.75</v>
      </c>
      <c r="L27" s="33" t="n">
        <f aca="false">IF(E27="",0,G27*IFERROR(INDEX(Catégories!$E$5:$E$60,MATCH(E27,Catégories!$A$5:$A$60,0)),0))</f>
        <v>-255.75</v>
      </c>
      <c r="M27" s="30" t="s">
        <v>129</v>
      </c>
      <c r="N27" s="30" t="s">
        <v>130</v>
      </c>
      <c r="O27" s="30"/>
    </row>
    <row r="28" customFormat="false" ht="15" hidden="false" customHeight="true" outlineLevel="0" collapsed="false">
      <c r="A28" s="28" t="n">
        <v>45448</v>
      </c>
      <c r="B28" s="29" t="n">
        <f aca="false">IF(A28="","",YEAR(A28))</f>
        <v>2024</v>
      </c>
      <c r="C28" s="30" t="s">
        <v>58</v>
      </c>
      <c r="D28" s="30" t="s">
        <v>126</v>
      </c>
      <c r="E28" s="30" t="s">
        <v>161</v>
      </c>
      <c r="F28" s="30" t="s">
        <v>163</v>
      </c>
      <c r="G28" s="31" t="n">
        <v>109.74</v>
      </c>
      <c r="H28" s="32" t="str">
        <f aca="false">IF(E28="","",IFERROR(INDEX(Catégories!$B$5:$B$60,MATCH(E28,Catégories!$A$5:$A$60,0)),"?"))</f>
        <v>Dépense</v>
      </c>
      <c r="I28" s="32" t="str">
        <f aca="false">IF(E28="","",IFERROR(INDEX(Catégories!$C$5:$C$60,MATCH(E28,Catégories!$A$5:$A$60,0)),"?"))</f>
        <v>Déductible</v>
      </c>
      <c r="J28" s="32" t="str">
        <f aca="false">IF(E28="","",IFERROR(INDEX(Catégories!$D$5:$D$60,MATCH(E28,Catégories!$A$5:$A$60,0)),"?"))</f>
        <v>Entretien et petit équipement</v>
      </c>
      <c r="K28" s="33" t="n">
        <f aca="false">IF(H28="Recette",G28,IF(H28="Dépense",-G28,0))</f>
        <v>-109.74</v>
      </c>
      <c r="L28" s="33" t="n">
        <f aca="false">IF(E28="",0,G28*IFERROR(INDEX(Catégories!$E$5:$E$60,MATCH(E28,Catégories!$A$5:$A$60,0)),0))</f>
        <v>-109.74</v>
      </c>
      <c r="M28" s="30" t="s">
        <v>129</v>
      </c>
      <c r="N28" s="30" t="s">
        <v>130</v>
      </c>
      <c r="O28" s="30"/>
    </row>
    <row r="29" customFormat="false" ht="15" hidden="false" customHeight="true" outlineLevel="0" collapsed="false">
      <c r="A29" s="28" t="n">
        <v>45448</v>
      </c>
      <c r="B29" s="29" t="n">
        <f aca="false">IF(A29="","",YEAR(A29))</f>
        <v>2024</v>
      </c>
      <c r="C29" s="30" t="s">
        <v>58</v>
      </c>
      <c r="D29" s="30" t="s">
        <v>126</v>
      </c>
      <c r="E29" s="30" t="s">
        <v>158</v>
      </c>
      <c r="F29" s="30" t="s">
        <v>164</v>
      </c>
      <c r="G29" s="31" t="n">
        <v>2.74</v>
      </c>
      <c r="H29" s="32" t="str">
        <f aca="false">IF(E29="","",IFERROR(INDEX(Catégories!$B$5:$B$60,MATCH(E29,Catégories!$A$5:$A$60,0)),"?"))</f>
        <v>Dépense</v>
      </c>
      <c r="I29" s="32" t="str">
        <f aca="false">IF(E29="","",IFERROR(INDEX(Catégories!$C$5:$C$60,MATCH(E29,Catégories!$A$5:$A$60,0)),"?"))</f>
        <v>Déductible</v>
      </c>
      <c r="J29" s="32" t="str">
        <f aca="false">IF(E29="","",IFERROR(INDEX(Catégories!$D$5:$D$60,MATCH(E29,Catégories!$A$5:$A$60,0)),"?"))</f>
        <v>Frais de gestion</v>
      </c>
      <c r="K29" s="33" t="n">
        <f aca="false">IF(H29="Recette",G29,IF(H29="Dépense",-G29,0))</f>
        <v>-2.74</v>
      </c>
      <c r="L29" s="33" t="n">
        <f aca="false">IF(E29="",0,G29*IFERROR(INDEX(Catégories!$E$5:$E$60,MATCH(E29,Catégories!$A$5:$A$60,0)),0))</f>
        <v>-2.74</v>
      </c>
      <c r="M29" s="30" t="s">
        <v>129</v>
      </c>
      <c r="N29" s="30" t="s">
        <v>130</v>
      </c>
      <c r="O29" s="30"/>
    </row>
    <row r="30" customFormat="false" ht="15" hidden="false" customHeight="true" outlineLevel="0" collapsed="false">
      <c r="A30" s="28" t="n">
        <v>45448</v>
      </c>
      <c r="B30" s="29" t="n">
        <f aca="false">IF(A30="","",YEAR(A30))</f>
        <v>2024</v>
      </c>
      <c r="C30" s="30" t="s">
        <v>58</v>
      </c>
      <c r="D30" s="30" t="s">
        <v>126</v>
      </c>
      <c r="E30" s="30" t="s">
        <v>158</v>
      </c>
      <c r="F30" s="30" t="s">
        <v>165</v>
      </c>
      <c r="G30" s="31" t="n">
        <v>0.55</v>
      </c>
      <c r="H30" s="32" t="str">
        <f aca="false">IF(E30="","",IFERROR(INDEX(Catégories!$B$5:$B$60,MATCH(E30,Catégories!$A$5:$A$60,0)),"?"))</f>
        <v>Dépense</v>
      </c>
      <c r="I30" s="32" t="str">
        <f aca="false">IF(E30="","",IFERROR(INDEX(Catégories!$C$5:$C$60,MATCH(E30,Catégories!$A$5:$A$60,0)),"?"))</f>
        <v>Déductible</v>
      </c>
      <c r="J30" s="32" t="str">
        <f aca="false">IF(E30="","",IFERROR(INDEX(Catégories!$D$5:$D$60,MATCH(E30,Catégories!$A$5:$A$60,0)),"?"))</f>
        <v>Frais de gestion</v>
      </c>
      <c r="K30" s="33" t="n">
        <f aca="false">IF(H30="Recette",G30,IF(H30="Dépense",-G30,0))</f>
        <v>-0.55</v>
      </c>
      <c r="L30" s="33" t="n">
        <f aca="false">IF(E30="",0,G30*IFERROR(INDEX(Catégories!$E$5:$E$60,MATCH(E30,Catégories!$A$5:$A$60,0)),0))</f>
        <v>-0.55</v>
      </c>
      <c r="M30" s="30" t="s">
        <v>129</v>
      </c>
      <c r="N30" s="30" t="s">
        <v>130</v>
      </c>
      <c r="O30" s="30"/>
    </row>
    <row r="31" customFormat="false" ht="15" hidden="false" customHeight="true" outlineLevel="0" collapsed="false">
      <c r="A31" s="28" t="n">
        <v>45449</v>
      </c>
      <c r="B31" s="29" t="n">
        <f aca="false">IF(A31="","",YEAR(A31))</f>
        <v>2024</v>
      </c>
      <c r="C31" s="30" t="s">
        <v>58</v>
      </c>
      <c r="D31" s="30" t="s">
        <v>126</v>
      </c>
      <c r="E31" s="30" t="s">
        <v>158</v>
      </c>
      <c r="F31" s="30" t="s">
        <v>166</v>
      </c>
      <c r="G31" s="31" t="n">
        <v>29.11</v>
      </c>
      <c r="H31" s="32" t="str">
        <f aca="false">IF(E31="","",IFERROR(INDEX(Catégories!$B$5:$B$60,MATCH(E31,Catégories!$A$5:$A$60,0)),"?"))</f>
        <v>Dépense</v>
      </c>
      <c r="I31" s="32" t="str">
        <f aca="false">IF(E31="","",IFERROR(INDEX(Catégories!$C$5:$C$60,MATCH(E31,Catégories!$A$5:$A$60,0)),"?"))</f>
        <v>Déductible</v>
      </c>
      <c r="J31" s="32" t="str">
        <f aca="false">IF(E31="","",IFERROR(INDEX(Catégories!$D$5:$D$60,MATCH(E31,Catégories!$A$5:$A$60,0)),"?"))</f>
        <v>Frais de gestion</v>
      </c>
      <c r="K31" s="33" t="n">
        <f aca="false">IF(H31="Recette",G31,IF(H31="Dépense",-G31,0))</f>
        <v>-29.11</v>
      </c>
      <c r="L31" s="33" t="n">
        <f aca="false">IF(E31="",0,G31*IFERROR(INDEX(Catégories!$E$5:$E$60,MATCH(E31,Catégories!$A$5:$A$60,0)),0))</f>
        <v>-29.11</v>
      </c>
      <c r="M31" s="30" t="s">
        <v>129</v>
      </c>
      <c r="N31" s="30" t="s">
        <v>130</v>
      </c>
      <c r="O31" s="30"/>
    </row>
    <row r="32" customFormat="false" ht="15" hidden="false" customHeight="true" outlineLevel="0" collapsed="false">
      <c r="A32" s="28" t="n">
        <v>45449</v>
      </c>
      <c r="B32" s="29" t="n">
        <f aca="false">IF(A32="","",YEAR(A32))</f>
        <v>2024</v>
      </c>
      <c r="C32" s="30" t="s">
        <v>58</v>
      </c>
      <c r="D32" s="30" t="s">
        <v>126</v>
      </c>
      <c r="E32" s="30" t="s">
        <v>158</v>
      </c>
      <c r="F32" s="30" t="s">
        <v>167</v>
      </c>
      <c r="G32" s="31" t="n">
        <v>5.82</v>
      </c>
      <c r="H32" s="32" t="str">
        <f aca="false">IF(E32="","",IFERROR(INDEX(Catégories!$B$5:$B$60,MATCH(E32,Catégories!$A$5:$A$60,0)),"?"))</f>
        <v>Dépense</v>
      </c>
      <c r="I32" s="32" t="str">
        <f aca="false">IF(E32="","",IFERROR(INDEX(Catégories!$C$5:$C$60,MATCH(E32,Catégories!$A$5:$A$60,0)),"?"))</f>
        <v>Déductible</v>
      </c>
      <c r="J32" s="32" t="str">
        <f aca="false">IF(E32="","",IFERROR(INDEX(Catégories!$D$5:$D$60,MATCH(E32,Catégories!$A$5:$A$60,0)),"?"))</f>
        <v>Frais de gestion</v>
      </c>
      <c r="K32" s="33" t="n">
        <f aca="false">IF(H32="Recette",G32,IF(H32="Dépense",-G32,0))</f>
        <v>-5.82</v>
      </c>
      <c r="L32" s="33" t="n">
        <f aca="false">IF(E32="",0,G32*IFERROR(INDEX(Catégories!$E$5:$E$60,MATCH(E32,Catégories!$A$5:$A$60,0)),0))</f>
        <v>-5.82</v>
      </c>
      <c r="M32" s="30" t="s">
        <v>129</v>
      </c>
      <c r="N32" s="30" t="s">
        <v>130</v>
      </c>
      <c r="O32" s="30"/>
    </row>
    <row r="33" customFormat="false" ht="15" hidden="false" customHeight="true" outlineLevel="0" collapsed="false">
      <c r="A33" s="28" t="n">
        <v>45449</v>
      </c>
      <c r="B33" s="29" t="n">
        <f aca="false">IF(A33="","",YEAR(A33))</f>
        <v>2024</v>
      </c>
      <c r="C33" s="30" t="s">
        <v>58</v>
      </c>
      <c r="D33" s="30" t="s">
        <v>126</v>
      </c>
      <c r="E33" s="30" t="s">
        <v>168</v>
      </c>
      <c r="F33" s="30" t="s">
        <v>169</v>
      </c>
      <c r="G33" s="31" t="n">
        <v>480.09</v>
      </c>
      <c r="H33" s="32" t="str">
        <f aca="false">IF(E33="","",IFERROR(INDEX(Catégories!$B$5:$B$60,MATCH(E33,Catégories!$A$5:$A$60,0)),"?"))</f>
        <v>Transfert</v>
      </c>
      <c r="I33" s="32" t="str">
        <f aca="false">IF(E33="","",IFERROR(INDEX(Catégories!$C$5:$C$60,MATCH(E33,Catégories!$A$5:$A$60,0)),"?"))</f>
        <v>Non fiscal</v>
      </c>
      <c r="J33" s="32" t="str">
        <f aca="false">IF(E33="","",IFERROR(INDEX(Catégories!$D$5:$D$60,MATCH(E33,Catégories!$A$5:$A$60,0)),"?"))</f>
        <v>Mouvements internes</v>
      </c>
      <c r="K33" s="33" t="n">
        <f aca="false">IF(H33="Recette",G33,IF(H33="Dépense",-G33,0))</f>
        <v>0</v>
      </c>
      <c r="L33" s="33" t="n">
        <f aca="false">IF(E33="",0,G33*IFERROR(INDEX(Catégories!$E$5:$E$60,MATCH(E33,Catégories!$A$5:$A$60,0)),0))</f>
        <v>-480.09</v>
      </c>
      <c r="M33" s="30" t="s">
        <v>129</v>
      </c>
      <c r="N33" s="30" t="s">
        <v>130</v>
      </c>
      <c r="O33" s="30"/>
    </row>
    <row r="34" customFormat="false" ht="15" hidden="false" customHeight="true" outlineLevel="0" collapsed="false">
      <c r="A34" s="28" t="n">
        <v>45450</v>
      </c>
      <c r="B34" s="29" t="n">
        <f aca="false">IF(A34="","",YEAR(A34))</f>
        <v>2024</v>
      </c>
      <c r="C34" s="30" t="s">
        <v>58</v>
      </c>
      <c r="D34" s="30" t="s">
        <v>148</v>
      </c>
      <c r="E34" s="30" t="s">
        <v>170</v>
      </c>
      <c r="F34" s="30" t="s">
        <v>171</v>
      </c>
      <c r="G34" s="31" t="n">
        <v>1076.01</v>
      </c>
      <c r="H34" s="32" t="str">
        <f aca="false">IF(E34="","",IFERROR(INDEX(Catégories!$B$5:$B$60,MATCH(E34,Catégories!$A$5:$A$60,0)),"?"))</f>
        <v>Dépense</v>
      </c>
      <c r="I34" s="32" t="str">
        <f aca="false">IF(E34="","",IFERROR(INDEX(Catégories!$C$5:$C$60,MATCH(E34,Catégories!$A$5:$A$60,0)),"?"))</f>
        <v>À amortir</v>
      </c>
      <c r="J34" s="32" t="str">
        <f aca="false">IF(E34="","",IFERROR(INDEX(Catégories!$D$5:$D$60,MATCH(E34,Catégories!$A$5:$A$60,0)),"?"))</f>
        <v>Investissements</v>
      </c>
      <c r="K34" s="33" t="n">
        <f aca="false">IF(H34="Recette",G34,IF(H34="Dépense",-G34,0))</f>
        <v>-1076.01</v>
      </c>
      <c r="L34" s="33" t="n">
        <f aca="false">IF(E34="",0,G34*IFERROR(INDEX(Catégories!$E$5:$E$60,MATCH(E34,Catégories!$A$5:$A$60,0)),0))</f>
        <v>-1076.01</v>
      </c>
      <c r="M34" s="30" t="s">
        <v>150</v>
      </c>
      <c r="N34" s="30" t="s">
        <v>151</v>
      </c>
      <c r="O34" s="30" t="s">
        <v>172</v>
      </c>
    </row>
    <row r="35" customFormat="false" ht="15" hidden="false" customHeight="true" outlineLevel="0" collapsed="false">
      <c r="A35" s="28" t="n">
        <v>45450</v>
      </c>
      <c r="B35" s="29" t="n">
        <f aca="false">IF(A35="","",YEAR(A35))</f>
        <v>2024</v>
      </c>
      <c r="C35" s="30" t="s">
        <v>58</v>
      </c>
      <c r="D35" s="30" t="s">
        <v>148</v>
      </c>
      <c r="E35" s="30" t="s">
        <v>173</v>
      </c>
      <c r="F35" s="30" t="s">
        <v>174</v>
      </c>
      <c r="G35" s="31" t="n">
        <v>88.35</v>
      </c>
      <c r="H35" s="32" t="str">
        <f aca="false">IF(E35="","",IFERROR(INDEX(Catégories!$B$5:$B$60,MATCH(E35,Catégories!$A$5:$A$60,0)),"?"))</f>
        <v>Dépense</v>
      </c>
      <c r="I35" s="32" t="str">
        <f aca="false">IF(E35="","",IFERROR(INDEX(Catégories!$C$5:$C$60,MATCH(E35,Catégories!$A$5:$A$60,0)),"?"))</f>
        <v>Déductible</v>
      </c>
      <c r="J35" s="32" t="str">
        <f aca="false">IF(E35="","",IFERROR(INDEX(Catégories!$D$5:$D$60,MATCH(E35,Catégories!$A$5:$A$60,0)),"?"))</f>
        <v>Entretien et petit équipement</v>
      </c>
      <c r="K35" s="33" t="n">
        <f aca="false">IF(H35="Recette",G35,IF(H35="Dépense",-G35,0))</f>
        <v>-88.35</v>
      </c>
      <c r="L35" s="33" t="n">
        <f aca="false">IF(E35="",0,G35*IFERROR(INDEX(Catégories!$E$5:$E$60,MATCH(E35,Catégories!$A$5:$A$60,0)),0))</f>
        <v>-88.35</v>
      </c>
      <c r="M35" s="30" t="s">
        <v>150</v>
      </c>
      <c r="N35" s="30" t="s">
        <v>151</v>
      </c>
      <c r="O35" s="30" t="s">
        <v>175</v>
      </c>
    </row>
    <row r="36" customFormat="false" ht="15" hidden="false" customHeight="true" outlineLevel="0" collapsed="false">
      <c r="A36" s="28" t="n">
        <v>45475</v>
      </c>
      <c r="B36" s="29" t="n">
        <f aca="false">IF(A36="","",YEAR(A36))</f>
        <v>2024</v>
      </c>
      <c r="C36" s="30" t="s">
        <v>58</v>
      </c>
      <c r="D36" s="30" t="s">
        <v>126</v>
      </c>
      <c r="E36" s="30" t="s">
        <v>134</v>
      </c>
      <c r="F36" s="30" t="s">
        <v>176</v>
      </c>
      <c r="G36" s="31" t="n">
        <v>1032.3</v>
      </c>
      <c r="H36" s="32" t="str">
        <f aca="false">IF(E36="","",IFERROR(INDEX(Catégories!$B$5:$B$60,MATCH(E36,Catégories!$A$5:$A$60,0)),"?"))</f>
        <v>Recette</v>
      </c>
      <c r="I36" s="32" t="str">
        <f aca="false">IF(E36="","",IFERROR(INDEX(Catégories!$C$5:$C$60,MATCH(E36,Catégories!$A$5:$A$60,0)),"?"))</f>
        <v>Imposable</v>
      </c>
      <c r="J36" s="32" t="str">
        <f aca="false">IF(E36="","",IFERROR(INDEX(Catégories!$D$5:$D$60,MATCH(E36,Catégories!$A$5:$A$60,0)),"?"))</f>
        <v>Loyers</v>
      </c>
      <c r="K36" s="33" t="n">
        <f aca="false">IF(H36="Recette",G36,IF(H36="Dépense",-G36,0))</f>
        <v>1032.3</v>
      </c>
      <c r="L36" s="33" t="n">
        <f aca="false">IF(E36="",0,G36*IFERROR(INDEX(Catégories!$E$5:$E$60,MATCH(E36,Catégories!$A$5:$A$60,0)),0))</f>
        <v>1032.3</v>
      </c>
      <c r="M36" s="30" t="s">
        <v>129</v>
      </c>
      <c r="N36" s="30" t="s">
        <v>130</v>
      </c>
      <c r="O36" s="30"/>
    </row>
    <row r="37" customFormat="false" ht="15" hidden="false" customHeight="true" outlineLevel="0" collapsed="false">
      <c r="A37" s="28" t="n">
        <v>45475</v>
      </c>
      <c r="B37" s="29" t="n">
        <f aca="false">IF(A37="","",YEAR(A37))</f>
        <v>2024</v>
      </c>
      <c r="C37" s="30" t="s">
        <v>58</v>
      </c>
      <c r="D37" s="30" t="s">
        <v>126</v>
      </c>
      <c r="E37" s="30" t="s">
        <v>136</v>
      </c>
      <c r="F37" s="30" t="s">
        <v>137</v>
      </c>
      <c r="G37" s="31" t="n">
        <v>61.94</v>
      </c>
      <c r="H37" s="32" t="str">
        <f aca="false">IF(E37="","",IFERROR(INDEX(Catégories!$B$5:$B$60,MATCH(E37,Catégories!$A$5:$A$60,0)),"?"))</f>
        <v>Dépense</v>
      </c>
      <c r="I37" s="32" t="str">
        <f aca="false">IF(E37="","",IFERROR(INDEX(Catégories!$C$5:$C$60,MATCH(E37,Catégories!$A$5:$A$60,0)),"?"))</f>
        <v>Déductible</v>
      </c>
      <c r="J37" s="32" t="str">
        <f aca="false">IF(E37="","",IFERROR(INDEX(Catégories!$D$5:$D$60,MATCH(E37,Catégories!$A$5:$A$60,0)),"?"))</f>
        <v>Frais de gestion</v>
      </c>
      <c r="K37" s="33" t="n">
        <f aca="false">IF(H37="Recette",G37,IF(H37="Dépense",-G37,0))</f>
        <v>-61.94</v>
      </c>
      <c r="L37" s="33" t="n">
        <f aca="false">IF(E37="",0,G37*IFERROR(INDEX(Catégories!$E$5:$E$60,MATCH(E37,Catégories!$A$5:$A$60,0)),0))</f>
        <v>-61.94</v>
      </c>
      <c r="M37" s="30" t="s">
        <v>129</v>
      </c>
      <c r="N37" s="30" t="s">
        <v>130</v>
      </c>
      <c r="O37" s="30"/>
    </row>
    <row r="38" customFormat="false" ht="15" hidden="false" customHeight="true" outlineLevel="0" collapsed="false">
      <c r="A38" s="28" t="n">
        <v>45475</v>
      </c>
      <c r="B38" s="29" t="n">
        <f aca="false">IF(A38="","",YEAR(A38))</f>
        <v>2024</v>
      </c>
      <c r="C38" s="30" t="s">
        <v>58</v>
      </c>
      <c r="D38" s="30" t="s">
        <v>126</v>
      </c>
      <c r="E38" s="30" t="s">
        <v>136</v>
      </c>
      <c r="F38" s="30" t="s">
        <v>138</v>
      </c>
      <c r="G38" s="31" t="n">
        <v>12.39</v>
      </c>
      <c r="H38" s="32" t="str">
        <f aca="false">IF(E38="","",IFERROR(INDEX(Catégories!$B$5:$B$60,MATCH(E38,Catégories!$A$5:$A$60,0)),"?"))</f>
        <v>Dépense</v>
      </c>
      <c r="I38" s="32" t="str">
        <f aca="false">IF(E38="","",IFERROR(INDEX(Catégories!$C$5:$C$60,MATCH(E38,Catégories!$A$5:$A$60,0)),"?"))</f>
        <v>Déductible</v>
      </c>
      <c r="J38" s="32" t="str">
        <f aca="false">IF(E38="","",IFERROR(INDEX(Catégories!$D$5:$D$60,MATCH(E38,Catégories!$A$5:$A$60,0)),"?"))</f>
        <v>Frais de gestion</v>
      </c>
      <c r="K38" s="33" t="n">
        <f aca="false">IF(H38="Recette",G38,IF(H38="Dépense",-G38,0))</f>
        <v>-12.39</v>
      </c>
      <c r="L38" s="33" t="n">
        <f aca="false">IF(E38="",0,G38*IFERROR(INDEX(Catégories!$E$5:$E$60,MATCH(E38,Catégories!$A$5:$A$60,0)),0))</f>
        <v>-12.39</v>
      </c>
      <c r="M38" s="30" t="s">
        <v>129</v>
      </c>
      <c r="N38" s="30" t="s">
        <v>130</v>
      </c>
      <c r="O38" s="30"/>
    </row>
    <row r="39" customFormat="false" ht="15" hidden="false" customHeight="true" outlineLevel="0" collapsed="false">
      <c r="A39" s="28" t="n">
        <v>45475</v>
      </c>
      <c r="B39" s="29" t="n">
        <f aca="false">IF(A39="","",YEAR(A39))</f>
        <v>2024</v>
      </c>
      <c r="C39" s="30" t="s">
        <v>58</v>
      </c>
      <c r="D39" s="30" t="s">
        <v>126</v>
      </c>
      <c r="E39" s="30" t="s">
        <v>139</v>
      </c>
      <c r="F39" s="30" t="s">
        <v>177</v>
      </c>
      <c r="G39" s="31" t="n">
        <v>83.7</v>
      </c>
      <c r="H39" s="32" t="str">
        <f aca="false">IF(E39="","",IFERROR(INDEX(Catégories!$B$5:$B$60,MATCH(E39,Catégories!$A$5:$A$60,0)),"?"))</f>
        <v>Recette</v>
      </c>
      <c r="I39" s="32" t="str">
        <f aca="false">IF(E39="","",IFERROR(INDEX(Catégories!$C$5:$C$60,MATCH(E39,Catégories!$A$5:$A$60,0)),"?"))</f>
        <v>Imposable</v>
      </c>
      <c r="J39" s="32" t="str">
        <f aca="false">IF(E39="","",IFERROR(INDEX(Catégories!$D$5:$D$60,MATCH(E39,Catégories!$A$5:$A$60,0)),"?"))</f>
        <v>Charges refacturées</v>
      </c>
      <c r="K39" s="33" t="n">
        <f aca="false">IF(H39="Recette",G39,IF(H39="Dépense",-G39,0))</f>
        <v>83.7</v>
      </c>
      <c r="L39" s="33" t="n">
        <f aca="false">IF(E39="",0,G39*IFERROR(INDEX(Catégories!$E$5:$E$60,MATCH(E39,Catégories!$A$5:$A$60,0)),0))</f>
        <v>83.7</v>
      </c>
      <c r="M39" s="30" t="s">
        <v>129</v>
      </c>
      <c r="N39" s="30" t="s">
        <v>130</v>
      </c>
      <c r="O39" s="30"/>
    </row>
    <row r="40" customFormat="false" ht="15" hidden="false" customHeight="true" outlineLevel="0" collapsed="false">
      <c r="A40" s="28" t="n">
        <v>45475</v>
      </c>
      <c r="B40" s="29" t="n">
        <f aca="false">IF(A40="","",YEAR(A40))</f>
        <v>2024</v>
      </c>
      <c r="C40" s="30" t="s">
        <v>58</v>
      </c>
      <c r="D40" s="30" t="s">
        <v>126</v>
      </c>
      <c r="E40" s="30" t="s">
        <v>136</v>
      </c>
      <c r="F40" s="30" t="s">
        <v>141</v>
      </c>
      <c r="G40" s="31" t="n">
        <v>5.02</v>
      </c>
      <c r="H40" s="32" t="str">
        <f aca="false">IF(E40="","",IFERROR(INDEX(Catégories!$B$5:$B$60,MATCH(E40,Catégories!$A$5:$A$60,0)),"?"))</f>
        <v>Dépense</v>
      </c>
      <c r="I40" s="32" t="str">
        <f aca="false">IF(E40="","",IFERROR(INDEX(Catégories!$C$5:$C$60,MATCH(E40,Catégories!$A$5:$A$60,0)),"?"))</f>
        <v>Déductible</v>
      </c>
      <c r="J40" s="32" t="str">
        <f aca="false">IF(E40="","",IFERROR(INDEX(Catégories!$D$5:$D$60,MATCH(E40,Catégories!$A$5:$A$60,0)),"?"))</f>
        <v>Frais de gestion</v>
      </c>
      <c r="K40" s="33" t="n">
        <f aca="false">IF(H40="Recette",G40,IF(H40="Dépense",-G40,0))</f>
        <v>-5.02</v>
      </c>
      <c r="L40" s="33" t="n">
        <f aca="false">IF(E40="",0,G40*IFERROR(INDEX(Catégories!$E$5:$E$60,MATCH(E40,Catégories!$A$5:$A$60,0)),0))</f>
        <v>-5.02</v>
      </c>
      <c r="M40" s="30" t="s">
        <v>129</v>
      </c>
      <c r="N40" s="30" t="s">
        <v>130</v>
      </c>
      <c r="O40" s="30"/>
    </row>
    <row r="41" customFormat="false" ht="15" hidden="false" customHeight="true" outlineLevel="0" collapsed="false">
      <c r="A41" s="28" t="n">
        <v>45475</v>
      </c>
      <c r="B41" s="29" t="n">
        <f aca="false">IF(A41="","",YEAR(A41))</f>
        <v>2024</v>
      </c>
      <c r="C41" s="30" t="s">
        <v>58</v>
      </c>
      <c r="D41" s="30" t="s">
        <v>126</v>
      </c>
      <c r="E41" s="30" t="s">
        <v>136</v>
      </c>
      <c r="F41" s="30" t="s">
        <v>142</v>
      </c>
      <c r="G41" s="31" t="n">
        <v>1</v>
      </c>
      <c r="H41" s="32" t="str">
        <f aca="false">IF(E41="","",IFERROR(INDEX(Catégories!$B$5:$B$60,MATCH(E41,Catégories!$A$5:$A$60,0)),"?"))</f>
        <v>Dépense</v>
      </c>
      <c r="I41" s="32" t="str">
        <f aca="false">IF(E41="","",IFERROR(INDEX(Catégories!$C$5:$C$60,MATCH(E41,Catégories!$A$5:$A$60,0)),"?"))</f>
        <v>Déductible</v>
      </c>
      <c r="J41" s="32" t="str">
        <f aca="false">IF(E41="","",IFERROR(INDEX(Catégories!$D$5:$D$60,MATCH(E41,Catégories!$A$5:$A$60,0)),"?"))</f>
        <v>Frais de gestion</v>
      </c>
      <c r="K41" s="33" t="n">
        <f aca="false">IF(H41="Recette",G41,IF(H41="Dépense",-G41,0))</f>
        <v>-1</v>
      </c>
      <c r="L41" s="33" t="n">
        <f aca="false">IF(E41="",0,G41*IFERROR(INDEX(Catégories!$E$5:$E$60,MATCH(E41,Catégories!$A$5:$A$60,0)),0))</f>
        <v>-1</v>
      </c>
      <c r="M41" s="30" t="s">
        <v>129</v>
      </c>
      <c r="N41" s="30" t="s">
        <v>130</v>
      </c>
      <c r="O41" s="30"/>
    </row>
    <row r="42" customFormat="false" ht="15" hidden="false" customHeight="true" outlineLevel="0" collapsed="false">
      <c r="A42" s="28" t="n">
        <v>45475</v>
      </c>
      <c r="B42" s="29" t="n">
        <f aca="false">IF(A42="","",YEAR(A42))</f>
        <v>2024</v>
      </c>
      <c r="C42" s="30" t="s">
        <v>58</v>
      </c>
      <c r="D42" s="30" t="s">
        <v>126</v>
      </c>
      <c r="E42" s="30" t="s">
        <v>168</v>
      </c>
      <c r="F42" s="30" t="s">
        <v>169</v>
      </c>
      <c r="G42" s="31" t="n">
        <v>1035.65</v>
      </c>
      <c r="H42" s="32" t="str">
        <f aca="false">IF(E42="","",IFERROR(INDEX(Catégories!$B$5:$B$60,MATCH(E42,Catégories!$A$5:$A$60,0)),"?"))</f>
        <v>Transfert</v>
      </c>
      <c r="I42" s="32" t="str">
        <f aca="false">IF(E42="","",IFERROR(INDEX(Catégories!$C$5:$C$60,MATCH(E42,Catégories!$A$5:$A$60,0)),"?"))</f>
        <v>Non fiscal</v>
      </c>
      <c r="J42" s="32" t="str">
        <f aca="false">IF(E42="","",IFERROR(INDEX(Catégories!$D$5:$D$60,MATCH(E42,Catégories!$A$5:$A$60,0)),"?"))</f>
        <v>Mouvements internes</v>
      </c>
      <c r="K42" s="33" t="n">
        <f aca="false">IF(H42="Recette",G42,IF(H42="Dépense",-G42,0))</f>
        <v>0</v>
      </c>
      <c r="L42" s="33" t="n">
        <f aca="false">IF(E42="",0,G42*IFERROR(INDEX(Catégories!$E$5:$E$60,MATCH(E42,Catégories!$A$5:$A$60,0)),0))</f>
        <v>-1035.65</v>
      </c>
      <c r="M42" s="30" t="s">
        <v>129</v>
      </c>
      <c r="N42" s="30" t="s">
        <v>130</v>
      </c>
      <c r="O42" s="30"/>
    </row>
    <row r="43" customFormat="false" ht="15" hidden="false" customHeight="true" outlineLevel="0" collapsed="false">
      <c r="A43" s="28" t="n">
        <v>45506</v>
      </c>
      <c r="B43" s="29" t="n">
        <f aca="false">IF(A43="","",YEAR(A43))</f>
        <v>2024</v>
      </c>
      <c r="C43" s="30" t="s">
        <v>58</v>
      </c>
      <c r="D43" s="30" t="s">
        <v>126</v>
      </c>
      <c r="E43" s="30" t="s">
        <v>134</v>
      </c>
      <c r="F43" s="30" t="s">
        <v>178</v>
      </c>
      <c r="G43" s="31" t="n">
        <v>1032.3</v>
      </c>
      <c r="H43" s="32" t="str">
        <f aca="false">IF(E43="","",IFERROR(INDEX(Catégories!$B$5:$B$60,MATCH(E43,Catégories!$A$5:$A$60,0)),"?"))</f>
        <v>Recette</v>
      </c>
      <c r="I43" s="32" t="str">
        <f aca="false">IF(E43="","",IFERROR(INDEX(Catégories!$C$5:$C$60,MATCH(E43,Catégories!$A$5:$A$60,0)),"?"))</f>
        <v>Imposable</v>
      </c>
      <c r="J43" s="32" t="str">
        <f aca="false">IF(E43="","",IFERROR(INDEX(Catégories!$D$5:$D$60,MATCH(E43,Catégories!$A$5:$A$60,0)),"?"))</f>
        <v>Loyers</v>
      </c>
      <c r="K43" s="33" t="n">
        <f aca="false">IF(H43="Recette",G43,IF(H43="Dépense",-G43,0))</f>
        <v>1032.3</v>
      </c>
      <c r="L43" s="33" t="n">
        <f aca="false">IF(E43="",0,G43*IFERROR(INDEX(Catégories!$E$5:$E$60,MATCH(E43,Catégories!$A$5:$A$60,0)),0))</f>
        <v>1032.3</v>
      </c>
      <c r="M43" s="30" t="s">
        <v>129</v>
      </c>
      <c r="N43" s="30" t="s">
        <v>130</v>
      </c>
      <c r="O43" s="30"/>
    </row>
    <row r="44" customFormat="false" ht="15" hidden="false" customHeight="true" outlineLevel="0" collapsed="false">
      <c r="A44" s="28" t="n">
        <v>45506</v>
      </c>
      <c r="B44" s="29" t="n">
        <f aca="false">IF(A44="","",YEAR(A44))</f>
        <v>2024</v>
      </c>
      <c r="C44" s="30" t="s">
        <v>58</v>
      </c>
      <c r="D44" s="30" t="s">
        <v>126</v>
      </c>
      <c r="E44" s="30" t="s">
        <v>136</v>
      </c>
      <c r="F44" s="30" t="s">
        <v>137</v>
      </c>
      <c r="G44" s="31" t="n">
        <v>61.94</v>
      </c>
      <c r="H44" s="32" t="str">
        <f aca="false">IF(E44="","",IFERROR(INDEX(Catégories!$B$5:$B$60,MATCH(E44,Catégories!$A$5:$A$60,0)),"?"))</f>
        <v>Dépense</v>
      </c>
      <c r="I44" s="32" t="str">
        <f aca="false">IF(E44="","",IFERROR(INDEX(Catégories!$C$5:$C$60,MATCH(E44,Catégories!$A$5:$A$60,0)),"?"))</f>
        <v>Déductible</v>
      </c>
      <c r="J44" s="32" t="str">
        <f aca="false">IF(E44="","",IFERROR(INDEX(Catégories!$D$5:$D$60,MATCH(E44,Catégories!$A$5:$A$60,0)),"?"))</f>
        <v>Frais de gestion</v>
      </c>
      <c r="K44" s="33" t="n">
        <f aca="false">IF(H44="Recette",G44,IF(H44="Dépense",-G44,0))</f>
        <v>-61.94</v>
      </c>
      <c r="L44" s="33" t="n">
        <f aca="false">IF(E44="",0,G44*IFERROR(INDEX(Catégories!$E$5:$E$60,MATCH(E44,Catégories!$A$5:$A$60,0)),0))</f>
        <v>-61.94</v>
      </c>
      <c r="M44" s="30" t="s">
        <v>129</v>
      </c>
      <c r="N44" s="30" t="s">
        <v>130</v>
      </c>
      <c r="O44" s="30"/>
    </row>
    <row r="45" customFormat="false" ht="15" hidden="false" customHeight="true" outlineLevel="0" collapsed="false">
      <c r="A45" s="28" t="n">
        <v>45506</v>
      </c>
      <c r="B45" s="29" t="n">
        <f aca="false">IF(A45="","",YEAR(A45))</f>
        <v>2024</v>
      </c>
      <c r="C45" s="30" t="s">
        <v>58</v>
      </c>
      <c r="D45" s="30" t="s">
        <v>126</v>
      </c>
      <c r="E45" s="30" t="s">
        <v>136</v>
      </c>
      <c r="F45" s="30" t="s">
        <v>138</v>
      </c>
      <c r="G45" s="31" t="n">
        <v>12.39</v>
      </c>
      <c r="H45" s="32" t="str">
        <f aca="false">IF(E45="","",IFERROR(INDEX(Catégories!$B$5:$B$60,MATCH(E45,Catégories!$A$5:$A$60,0)),"?"))</f>
        <v>Dépense</v>
      </c>
      <c r="I45" s="32" t="str">
        <f aca="false">IF(E45="","",IFERROR(INDEX(Catégories!$C$5:$C$60,MATCH(E45,Catégories!$A$5:$A$60,0)),"?"))</f>
        <v>Déductible</v>
      </c>
      <c r="J45" s="32" t="str">
        <f aca="false">IF(E45="","",IFERROR(INDEX(Catégories!$D$5:$D$60,MATCH(E45,Catégories!$A$5:$A$60,0)),"?"))</f>
        <v>Frais de gestion</v>
      </c>
      <c r="K45" s="33" t="n">
        <f aca="false">IF(H45="Recette",G45,IF(H45="Dépense",-G45,0))</f>
        <v>-12.39</v>
      </c>
      <c r="L45" s="33" t="n">
        <f aca="false">IF(E45="",0,G45*IFERROR(INDEX(Catégories!$E$5:$E$60,MATCH(E45,Catégories!$A$5:$A$60,0)),0))</f>
        <v>-12.39</v>
      </c>
      <c r="M45" s="30" t="s">
        <v>129</v>
      </c>
      <c r="N45" s="30" t="s">
        <v>130</v>
      </c>
      <c r="O45" s="30"/>
    </row>
    <row r="46" customFormat="false" ht="15" hidden="false" customHeight="true" outlineLevel="0" collapsed="false">
      <c r="A46" s="28" t="n">
        <v>45506</v>
      </c>
      <c r="B46" s="29" t="n">
        <f aca="false">IF(A46="","",YEAR(A46))</f>
        <v>2024</v>
      </c>
      <c r="C46" s="30" t="s">
        <v>58</v>
      </c>
      <c r="D46" s="30" t="s">
        <v>126</v>
      </c>
      <c r="E46" s="30" t="s">
        <v>139</v>
      </c>
      <c r="F46" s="30" t="s">
        <v>179</v>
      </c>
      <c r="G46" s="31" t="n">
        <v>83.7</v>
      </c>
      <c r="H46" s="32" t="str">
        <f aca="false">IF(E46="","",IFERROR(INDEX(Catégories!$B$5:$B$60,MATCH(E46,Catégories!$A$5:$A$60,0)),"?"))</f>
        <v>Recette</v>
      </c>
      <c r="I46" s="32" t="str">
        <f aca="false">IF(E46="","",IFERROR(INDEX(Catégories!$C$5:$C$60,MATCH(E46,Catégories!$A$5:$A$60,0)),"?"))</f>
        <v>Imposable</v>
      </c>
      <c r="J46" s="32" t="str">
        <f aca="false">IF(E46="","",IFERROR(INDEX(Catégories!$D$5:$D$60,MATCH(E46,Catégories!$A$5:$A$60,0)),"?"))</f>
        <v>Charges refacturées</v>
      </c>
      <c r="K46" s="33" t="n">
        <f aca="false">IF(H46="Recette",G46,IF(H46="Dépense",-G46,0))</f>
        <v>83.7</v>
      </c>
      <c r="L46" s="33" t="n">
        <f aca="false">IF(E46="",0,G46*IFERROR(INDEX(Catégories!$E$5:$E$60,MATCH(E46,Catégories!$A$5:$A$60,0)),0))</f>
        <v>83.7</v>
      </c>
      <c r="M46" s="30" t="s">
        <v>129</v>
      </c>
      <c r="N46" s="30" t="s">
        <v>130</v>
      </c>
      <c r="O46" s="30"/>
    </row>
    <row r="47" customFormat="false" ht="15" hidden="false" customHeight="true" outlineLevel="0" collapsed="false">
      <c r="A47" s="28" t="n">
        <v>45506</v>
      </c>
      <c r="B47" s="29" t="n">
        <f aca="false">IF(A47="","",YEAR(A47))</f>
        <v>2024</v>
      </c>
      <c r="C47" s="30" t="s">
        <v>58</v>
      </c>
      <c r="D47" s="30" t="s">
        <v>126</v>
      </c>
      <c r="E47" s="30" t="s">
        <v>136</v>
      </c>
      <c r="F47" s="30" t="s">
        <v>141</v>
      </c>
      <c r="G47" s="31" t="n">
        <v>5.02</v>
      </c>
      <c r="H47" s="32" t="str">
        <f aca="false">IF(E47="","",IFERROR(INDEX(Catégories!$B$5:$B$60,MATCH(E47,Catégories!$A$5:$A$60,0)),"?"))</f>
        <v>Dépense</v>
      </c>
      <c r="I47" s="32" t="str">
        <f aca="false">IF(E47="","",IFERROR(INDEX(Catégories!$C$5:$C$60,MATCH(E47,Catégories!$A$5:$A$60,0)),"?"))</f>
        <v>Déductible</v>
      </c>
      <c r="J47" s="32" t="str">
        <f aca="false">IF(E47="","",IFERROR(INDEX(Catégories!$D$5:$D$60,MATCH(E47,Catégories!$A$5:$A$60,0)),"?"))</f>
        <v>Frais de gestion</v>
      </c>
      <c r="K47" s="33" t="n">
        <f aca="false">IF(H47="Recette",G47,IF(H47="Dépense",-G47,0))</f>
        <v>-5.02</v>
      </c>
      <c r="L47" s="33" t="n">
        <f aca="false">IF(E47="",0,G47*IFERROR(INDEX(Catégories!$E$5:$E$60,MATCH(E47,Catégories!$A$5:$A$60,0)),0))</f>
        <v>-5.02</v>
      </c>
      <c r="M47" s="30" t="s">
        <v>129</v>
      </c>
      <c r="N47" s="30" t="s">
        <v>130</v>
      </c>
      <c r="O47" s="30"/>
    </row>
    <row r="48" customFormat="false" ht="15" hidden="false" customHeight="true" outlineLevel="0" collapsed="false">
      <c r="A48" s="28" t="n">
        <v>45506</v>
      </c>
      <c r="B48" s="29" t="n">
        <f aca="false">IF(A48="","",YEAR(A48))</f>
        <v>2024</v>
      </c>
      <c r="C48" s="30" t="s">
        <v>58</v>
      </c>
      <c r="D48" s="30" t="s">
        <v>126</v>
      </c>
      <c r="E48" s="30" t="s">
        <v>136</v>
      </c>
      <c r="F48" s="30" t="s">
        <v>142</v>
      </c>
      <c r="G48" s="31" t="n">
        <v>1</v>
      </c>
      <c r="H48" s="32" t="str">
        <f aca="false">IF(E48="","",IFERROR(INDEX(Catégories!$B$5:$B$60,MATCH(E48,Catégories!$A$5:$A$60,0)),"?"))</f>
        <v>Dépense</v>
      </c>
      <c r="I48" s="32" t="str">
        <f aca="false">IF(E48="","",IFERROR(INDEX(Catégories!$C$5:$C$60,MATCH(E48,Catégories!$A$5:$A$60,0)),"?"))</f>
        <v>Déductible</v>
      </c>
      <c r="J48" s="32" t="str">
        <f aca="false">IF(E48="","",IFERROR(INDEX(Catégories!$D$5:$D$60,MATCH(E48,Catégories!$A$5:$A$60,0)),"?"))</f>
        <v>Frais de gestion</v>
      </c>
      <c r="K48" s="33" t="n">
        <f aca="false">IF(H48="Recette",G48,IF(H48="Dépense",-G48,0))</f>
        <v>-1</v>
      </c>
      <c r="L48" s="33" t="n">
        <f aca="false">IF(E48="",0,G48*IFERROR(INDEX(Catégories!$E$5:$E$60,MATCH(E48,Catégories!$A$5:$A$60,0)),0))</f>
        <v>-1</v>
      </c>
      <c r="M48" s="30" t="s">
        <v>129</v>
      </c>
      <c r="N48" s="30" t="s">
        <v>130</v>
      </c>
      <c r="O48" s="30"/>
    </row>
    <row r="49" customFormat="false" ht="15" hidden="false" customHeight="true" outlineLevel="0" collapsed="false">
      <c r="A49" s="28" t="n">
        <v>45506</v>
      </c>
      <c r="B49" s="29" t="n">
        <f aca="false">IF(A49="","",YEAR(A49))</f>
        <v>2024</v>
      </c>
      <c r="C49" s="30" t="s">
        <v>58</v>
      </c>
      <c r="D49" s="30" t="s">
        <v>126</v>
      </c>
      <c r="E49" s="30" t="s">
        <v>168</v>
      </c>
      <c r="F49" s="30" t="s">
        <v>169</v>
      </c>
      <c r="G49" s="31" t="n">
        <v>1035.65</v>
      </c>
      <c r="H49" s="32" t="str">
        <f aca="false">IF(E49="","",IFERROR(INDEX(Catégories!$B$5:$B$60,MATCH(E49,Catégories!$A$5:$A$60,0)),"?"))</f>
        <v>Transfert</v>
      </c>
      <c r="I49" s="32" t="str">
        <f aca="false">IF(E49="","",IFERROR(INDEX(Catégories!$C$5:$C$60,MATCH(E49,Catégories!$A$5:$A$60,0)),"?"))</f>
        <v>Non fiscal</v>
      </c>
      <c r="J49" s="32" t="str">
        <f aca="false">IF(E49="","",IFERROR(INDEX(Catégories!$D$5:$D$60,MATCH(E49,Catégories!$A$5:$A$60,0)),"?"))</f>
        <v>Mouvements internes</v>
      </c>
      <c r="K49" s="33" t="n">
        <f aca="false">IF(H49="Recette",G49,IF(H49="Dépense",-G49,0))</f>
        <v>0</v>
      </c>
      <c r="L49" s="33" t="n">
        <f aca="false">IF(E49="",0,G49*IFERROR(INDEX(Catégories!$E$5:$E$60,MATCH(E49,Catégories!$A$5:$A$60,0)),0))</f>
        <v>-1035.65</v>
      </c>
      <c r="M49" s="30" t="s">
        <v>129</v>
      </c>
      <c r="N49" s="30" t="s">
        <v>130</v>
      </c>
      <c r="O49" s="30"/>
    </row>
    <row r="50" customFormat="false" ht="15" hidden="false" customHeight="true" outlineLevel="0" collapsed="false">
      <c r="A50" s="28" t="n">
        <v>45529</v>
      </c>
      <c r="B50" s="29" t="n">
        <f aca="false">IF(A50="","",YEAR(A50))</f>
        <v>2024</v>
      </c>
      <c r="C50" s="30" t="s">
        <v>58</v>
      </c>
      <c r="D50" s="30" t="s">
        <v>148</v>
      </c>
      <c r="E50" s="30" t="s">
        <v>180</v>
      </c>
      <c r="F50" s="30" t="s">
        <v>181</v>
      </c>
      <c r="G50" s="31" t="n">
        <v>347.98</v>
      </c>
      <c r="H50" s="32" t="str">
        <f aca="false">IF(E50="","",IFERROR(INDEX(Catégories!$B$5:$B$60,MATCH(E50,Catégories!$A$5:$A$60,0)),"?"))</f>
        <v>Dépense</v>
      </c>
      <c r="I50" s="32" t="str">
        <f aca="false">IF(E50="","",IFERROR(INDEX(Catégories!$C$5:$C$60,MATCH(E50,Catégories!$A$5:$A$60,0)),"?"))</f>
        <v>Déductible</v>
      </c>
      <c r="J50" s="32" t="str">
        <f aca="false">IF(E50="","",IFERROR(INDEX(Catégories!$D$5:$D$60,MATCH(E50,Catégories!$A$5:$A$60,0)),"?"))</f>
        <v>Copropriété</v>
      </c>
      <c r="K50" s="33" t="n">
        <f aca="false">IF(H50="Recette",G50,IF(H50="Dépense",-G50,0))</f>
        <v>-347.98</v>
      </c>
      <c r="L50" s="33" t="n">
        <f aca="false">IF(E50="",0,G50*IFERROR(INDEX(Catégories!$E$5:$E$60,MATCH(E50,Catégories!$A$5:$A$60,0)),0))</f>
        <v>-347.98</v>
      </c>
      <c r="M50" s="30" t="s">
        <v>182</v>
      </c>
      <c r="N50" s="30" t="s">
        <v>151</v>
      </c>
      <c r="O50" s="30" t="s">
        <v>183</v>
      </c>
    </row>
    <row r="51" customFormat="false" ht="15" hidden="false" customHeight="true" outlineLevel="0" collapsed="false">
      <c r="A51" s="28" t="n">
        <v>45537</v>
      </c>
      <c r="B51" s="29" t="n">
        <f aca="false">IF(A51="","",YEAR(A51))</f>
        <v>2024</v>
      </c>
      <c r="C51" s="30" t="s">
        <v>58</v>
      </c>
      <c r="D51" s="30" t="s">
        <v>126</v>
      </c>
      <c r="E51" s="30" t="s">
        <v>134</v>
      </c>
      <c r="F51" s="30" t="s">
        <v>184</v>
      </c>
      <c r="G51" s="31" t="n">
        <v>1032.3</v>
      </c>
      <c r="H51" s="32" t="str">
        <f aca="false">IF(E51="","",IFERROR(INDEX(Catégories!$B$5:$B$60,MATCH(E51,Catégories!$A$5:$A$60,0)),"?"))</f>
        <v>Recette</v>
      </c>
      <c r="I51" s="32" t="str">
        <f aca="false">IF(E51="","",IFERROR(INDEX(Catégories!$C$5:$C$60,MATCH(E51,Catégories!$A$5:$A$60,0)),"?"))</f>
        <v>Imposable</v>
      </c>
      <c r="J51" s="32" t="str">
        <f aca="false">IF(E51="","",IFERROR(INDEX(Catégories!$D$5:$D$60,MATCH(E51,Catégories!$A$5:$A$60,0)),"?"))</f>
        <v>Loyers</v>
      </c>
      <c r="K51" s="33" t="n">
        <f aca="false">IF(H51="Recette",G51,IF(H51="Dépense",-G51,0))</f>
        <v>1032.3</v>
      </c>
      <c r="L51" s="33" t="n">
        <f aca="false">IF(E51="",0,G51*IFERROR(INDEX(Catégories!$E$5:$E$60,MATCH(E51,Catégories!$A$5:$A$60,0)),0))</f>
        <v>1032.3</v>
      </c>
      <c r="M51" s="30" t="s">
        <v>129</v>
      </c>
      <c r="N51" s="30" t="s">
        <v>130</v>
      </c>
      <c r="O51" s="30"/>
    </row>
    <row r="52" customFormat="false" ht="15" hidden="false" customHeight="true" outlineLevel="0" collapsed="false">
      <c r="A52" s="28" t="n">
        <v>45537</v>
      </c>
      <c r="B52" s="29" t="n">
        <f aca="false">IF(A52="","",YEAR(A52))</f>
        <v>2024</v>
      </c>
      <c r="C52" s="30" t="s">
        <v>58</v>
      </c>
      <c r="D52" s="30" t="s">
        <v>126</v>
      </c>
      <c r="E52" s="30" t="s">
        <v>136</v>
      </c>
      <c r="F52" s="30" t="s">
        <v>137</v>
      </c>
      <c r="G52" s="31" t="n">
        <v>61.94</v>
      </c>
      <c r="H52" s="32" t="str">
        <f aca="false">IF(E52="","",IFERROR(INDEX(Catégories!$B$5:$B$60,MATCH(E52,Catégories!$A$5:$A$60,0)),"?"))</f>
        <v>Dépense</v>
      </c>
      <c r="I52" s="32" t="str">
        <f aca="false">IF(E52="","",IFERROR(INDEX(Catégories!$C$5:$C$60,MATCH(E52,Catégories!$A$5:$A$60,0)),"?"))</f>
        <v>Déductible</v>
      </c>
      <c r="J52" s="32" t="str">
        <f aca="false">IF(E52="","",IFERROR(INDEX(Catégories!$D$5:$D$60,MATCH(E52,Catégories!$A$5:$A$60,0)),"?"))</f>
        <v>Frais de gestion</v>
      </c>
      <c r="K52" s="33" t="n">
        <f aca="false">IF(H52="Recette",G52,IF(H52="Dépense",-G52,0))</f>
        <v>-61.94</v>
      </c>
      <c r="L52" s="33" t="n">
        <f aca="false">IF(E52="",0,G52*IFERROR(INDEX(Catégories!$E$5:$E$60,MATCH(E52,Catégories!$A$5:$A$60,0)),0))</f>
        <v>-61.94</v>
      </c>
      <c r="M52" s="30" t="s">
        <v>129</v>
      </c>
      <c r="N52" s="30" t="s">
        <v>130</v>
      </c>
      <c r="O52" s="30"/>
    </row>
    <row r="53" customFormat="false" ht="15" hidden="false" customHeight="true" outlineLevel="0" collapsed="false">
      <c r="A53" s="28" t="n">
        <v>45537</v>
      </c>
      <c r="B53" s="29" t="n">
        <f aca="false">IF(A53="","",YEAR(A53))</f>
        <v>2024</v>
      </c>
      <c r="C53" s="30" t="s">
        <v>58</v>
      </c>
      <c r="D53" s="30" t="s">
        <v>126</v>
      </c>
      <c r="E53" s="30" t="s">
        <v>136</v>
      </c>
      <c r="F53" s="30" t="s">
        <v>138</v>
      </c>
      <c r="G53" s="31" t="n">
        <v>12.39</v>
      </c>
      <c r="H53" s="32" t="str">
        <f aca="false">IF(E53="","",IFERROR(INDEX(Catégories!$B$5:$B$60,MATCH(E53,Catégories!$A$5:$A$60,0)),"?"))</f>
        <v>Dépense</v>
      </c>
      <c r="I53" s="32" t="str">
        <f aca="false">IF(E53="","",IFERROR(INDEX(Catégories!$C$5:$C$60,MATCH(E53,Catégories!$A$5:$A$60,0)),"?"))</f>
        <v>Déductible</v>
      </c>
      <c r="J53" s="32" t="str">
        <f aca="false">IF(E53="","",IFERROR(INDEX(Catégories!$D$5:$D$60,MATCH(E53,Catégories!$A$5:$A$60,0)),"?"))</f>
        <v>Frais de gestion</v>
      </c>
      <c r="K53" s="33" t="n">
        <f aca="false">IF(H53="Recette",G53,IF(H53="Dépense",-G53,0))</f>
        <v>-12.39</v>
      </c>
      <c r="L53" s="33" t="n">
        <f aca="false">IF(E53="",0,G53*IFERROR(INDEX(Catégories!$E$5:$E$60,MATCH(E53,Catégories!$A$5:$A$60,0)),0))</f>
        <v>-12.39</v>
      </c>
      <c r="M53" s="30" t="s">
        <v>129</v>
      </c>
      <c r="N53" s="30" t="s">
        <v>130</v>
      </c>
      <c r="O53" s="30"/>
    </row>
    <row r="54" customFormat="false" ht="15" hidden="false" customHeight="true" outlineLevel="0" collapsed="false">
      <c r="A54" s="28" t="n">
        <v>45537</v>
      </c>
      <c r="B54" s="29" t="n">
        <f aca="false">IF(A54="","",YEAR(A54))</f>
        <v>2024</v>
      </c>
      <c r="C54" s="30" t="s">
        <v>58</v>
      </c>
      <c r="D54" s="30" t="s">
        <v>126</v>
      </c>
      <c r="E54" s="30" t="s">
        <v>139</v>
      </c>
      <c r="F54" s="30" t="s">
        <v>185</v>
      </c>
      <c r="G54" s="31" t="n">
        <v>83.7</v>
      </c>
      <c r="H54" s="32" t="str">
        <f aca="false">IF(E54="","",IFERROR(INDEX(Catégories!$B$5:$B$60,MATCH(E54,Catégories!$A$5:$A$60,0)),"?"))</f>
        <v>Recette</v>
      </c>
      <c r="I54" s="32" t="str">
        <f aca="false">IF(E54="","",IFERROR(INDEX(Catégories!$C$5:$C$60,MATCH(E54,Catégories!$A$5:$A$60,0)),"?"))</f>
        <v>Imposable</v>
      </c>
      <c r="J54" s="32" t="str">
        <f aca="false">IF(E54="","",IFERROR(INDEX(Catégories!$D$5:$D$60,MATCH(E54,Catégories!$A$5:$A$60,0)),"?"))</f>
        <v>Charges refacturées</v>
      </c>
      <c r="K54" s="33" t="n">
        <f aca="false">IF(H54="Recette",G54,IF(H54="Dépense",-G54,0))</f>
        <v>83.7</v>
      </c>
      <c r="L54" s="33" t="n">
        <f aca="false">IF(E54="",0,G54*IFERROR(INDEX(Catégories!$E$5:$E$60,MATCH(E54,Catégories!$A$5:$A$60,0)),0))</f>
        <v>83.7</v>
      </c>
      <c r="M54" s="30" t="s">
        <v>129</v>
      </c>
      <c r="N54" s="30" t="s">
        <v>130</v>
      </c>
      <c r="O54" s="30"/>
    </row>
    <row r="55" customFormat="false" ht="15" hidden="false" customHeight="true" outlineLevel="0" collapsed="false">
      <c r="A55" s="28" t="n">
        <v>45537</v>
      </c>
      <c r="B55" s="29" t="n">
        <f aca="false">IF(A55="","",YEAR(A55))</f>
        <v>2024</v>
      </c>
      <c r="C55" s="30" t="s">
        <v>58</v>
      </c>
      <c r="D55" s="30" t="s">
        <v>126</v>
      </c>
      <c r="E55" s="30" t="s">
        <v>136</v>
      </c>
      <c r="F55" s="30" t="s">
        <v>141</v>
      </c>
      <c r="G55" s="31" t="n">
        <v>5.02</v>
      </c>
      <c r="H55" s="32" t="str">
        <f aca="false">IF(E55="","",IFERROR(INDEX(Catégories!$B$5:$B$60,MATCH(E55,Catégories!$A$5:$A$60,0)),"?"))</f>
        <v>Dépense</v>
      </c>
      <c r="I55" s="32" t="str">
        <f aca="false">IF(E55="","",IFERROR(INDEX(Catégories!$C$5:$C$60,MATCH(E55,Catégories!$A$5:$A$60,0)),"?"))</f>
        <v>Déductible</v>
      </c>
      <c r="J55" s="32" t="str">
        <f aca="false">IF(E55="","",IFERROR(INDEX(Catégories!$D$5:$D$60,MATCH(E55,Catégories!$A$5:$A$60,0)),"?"))</f>
        <v>Frais de gestion</v>
      </c>
      <c r="K55" s="33" t="n">
        <f aca="false">IF(H55="Recette",G55,IF(H55="Dépense",-G55,0))</f>
        <v>-5.02</v>
      </c>
      <c r="L55" s="33" t="n">
        <f aca="false">IF(E55="",0,G55*IFERROR(INDEX(Catégories!$E$5:$E$60,MATCH(E55,Catégories!$A$5:$A$60,0)),0))</f>
        <v>-5.02</v>
      </c>
      <c r="M55" s="30" t="s">
        <v>129</v>
      </c>
      <c r="N55" s="30" t="s">
        <v>130</v>
      </c>
      <c r="O55" s="30"/>
    </row>
    <row r="56" customFormat="false" ht="15" hidden="false" customHeight="true" outlineLevel="0" collapsed="false">
      <c r="A56" s="28" t="n">
        <v>45537</v>
      </c>
      <c r="B56" s="29" t="n">
        <f aca="false">IF(A56="","",YEAR(A56))</f>
        <v>2024</v>
      </c>
      <c r="C56" s="30" t="s">
        <v>58</v>
      </c>
      <c r="D56" s="30" t="s">
        <v>126</v>
      </c>
      <c r="E56" s="30" t="s">
        <v>136</v>
      </c>
      <c r="F56" s="30" t="s">
        <v>142</v>
      </c>
      <c r="G56" s="31" t="n">
        <v>1</v>
      </c>
      <c r="H56" s="32" t="str">
        <f aca="false">IF(E56="","",IFERROR(INDEX(Catégories!$B$5:$B$60,MATCH(E56,Catégories!$A$5:$A$60,0)),"?"))</f>
        <v>Dépense</v>
      </c>
      <c r="I56" s="32" t="str">
        <f aca="false">IF(E56="","",IFERROR(INDEX(Catégories!$C$5:$C$60,MATCH(E56,Catégories!$A$5:$A$60,0)),"?"))</f>
        <v>Déductible</v>
      </c>
      <c r="J56" s="32" t="str">
        <f aca="false">IF(E56="","",IFERROR(INDEX(Catégories!$D$5:$D$60,MATCH(E56,Catégories!$A$5:$A$60,0)),"?"))</f>
        <v>Frais de gestion</v>
      </c>
      <c r="K56" s="33" t="n">
        <f aca="false">IF(H56="Recette",G56,IF(H56="Dépense",-G56,0))</f>
        <v>-1</v>
      </c>
      <c r="L56" s="33" t="n">
        <f aca="false">IF(E56="",0,G56*IFERROR(INDEX(Catégories!$E$5:$E$60,MATCH(E56,Catégories!$A$5:$A$60,0)),0))</f>
        <v>-1</v>
      </c>
      <c r="M56" s="30" t="s">
        <v>129</v>
      </c>
      <c r="N56" s="30" t="s">
        <v>130</v>
      </c>
      <c r="O56" s="30"/>
    </row>
    <row r="57" customFormat="false" ht="15" hidden="false" customHeight="true" outlineLevel="0" collapsed="false">
      <c r="A57" s="28" t="n">
        <v>45539</v>
      </c>
      <c r="B57" s="29" t="n">
        <f aca="false">IF(A57="","",YEAR(A57))</f>
        <v>2024</v>
      </c>
      <c r="C57" s="30" t="s">
        <v>58</v>
      </c>
      <c r="D57" s="30" t="s">
        <v>126</v>
      </c>
      <c r="E57" s="30" t="s">
        <v>168</v>
      </c>
      <c r="F57" s="30" t="s">
        <v>169</v>
      </c>
      <c r="G57" s="31" t="n">
        <v>1035.65</v>
      </c>
      <c r="H57" s="32" t="str">
        <f aca="false">IF(E57="","",IFERROR(INDEX(Catégories!$B$5:$B$60,MATCH(E57,Catégories!$A$5:$A$60,0)),"?"))</f>
        <v>Transfert</v>
      </c>
      <c r="I57" s="32" t="str">
        <f aca="false">IF(E57="","",IFERROR(INDEX(Catégories!$C$5:$C$60,MATCH(E57,Catégories!$A$5:$A$60,0)),"?"))</f>
        <v>Non fiscal</v>
      </c>
      <c r="J57" s="32" t="str">
        <f aca="false">IF(E57="","",IFERROR(INDEX(Catégories!$D$5:$D$60,MATCH(E57,Catégories!$A$5:$A$60,0)),"?"))</f>
        <v>Mouvements internes</v>
      </c>
      <c r="K57" s="33" t="n">
        <f aca="false">IF(H57="Recette",G57,IF(H57="Dépense",-G57,0))</f>
        <v>0</v>
      </c>
      <c r="L57" s="33" t="n">
        <f aca="false">IF(E57="",0,G57*IFERROR(INDEX(Catégories!$E$5:$E$60,MATCH(E57,Catégories!$A$5:$A$60,0)),0))</f>
        <v>-1035.65</v>
      </c>
      <c r="M57" s="30" t="s">
        <v>129</v>
      </c>
      <c r="N57" s="30" t="s">
        <v>130</v>
      </c>
      <c r="O57" s="30"/>
    </row>
    <row r="58" customFormat="false" ht="15" hidden="false" customHeight="true" outlineLevel="0" collapsed="false">
      <c r="A58" s="28" t="n">
        <v>45559</v>
      </c>
      <c r="B58" s="29" t="n">
        <f aca="false">IF(A58="","",YEAR(A58))</f>
        <v>2024</v>
      </c>
      <c r="C58" s="30" t="s">
        <v>58</v>
      </c>
      <c r="D58" s="30" t="s">
        <v>148</v>
      </c>
      <c r="E58" s="30" t="s">
        <v>180</v>
      </c>
      <c r="F58" s="30" t="s">
        <v>186</v>
      </c>
      <c r="G58" s="31" t="n">
        <v>469.61</v>
      </c>
      <c r="H58" s="32" t="str">
        <f aca="false">IF(E58="","",IFERROR(INDEX(Catégories!$B$5:$B$60,MATCH(E58,Catégories!$A$5:$A$60,0)),"?"))</f>
        <v>Dépense</v>
      </c>
      <c r="I58" s="32" t="str">
        <f aca="false">IF(E58="","",IFERROR(INDEX(Catégories!$C$5:$C$60,MATCH(E58,Catégories!$A$5:$A$60,0)),"?"))</f>
        <v>Déductible</v>
      </c>
      <c r="J58" s="32" t="str">
        <f aca="false">IF(E58="","",IFERROR(INDEX(Catégories!$D$5:$D$60,MATCH(E58,Catégories!$A$5:$A$60,0)),"?"))</f>
        <v>Copropriété</v>
      </c>
      <c r="K58" s="33" t="n">
        <f aca="false">IF(H58="Recette",G58,IF(H58="Dépense",-G58,0))</f>
        <v>-469.61</v>
      </c>
      <c r="L58" s="33" t="n">
        <f aca="false">IF(E58="",0,G58*IFERROR(INDEX(Catégories!$E$5:$E$60,MATCH(E58,Catégories!$A$5:$A$60,0)),0))</f>
        <v>-469.61</v>
      </c>
      <c r="M58" s="30" t="s">
        <v>187</v>
      </c>
      <c r="N58" s="30" t="s">
        <v>151</v>
      </c>
      <c r="O58" s="30"/>
    </row>
    <row r="59" customFormat="false" ht="15" hidden="false" customHeight="true" outlineLevel="0" collapsed="false">
      <c r="A59" s="28" t="n">
        <v>45567</v>
      </c>
      <c r="B59" s="29" t="n">
        <f aca="false">IF(A59="","",YEAR(A59))</f>
        <v>2024</v>
      </c>
      <c r="C59" s="30" t="s">
        <v>58</v>
      </c>
      <c r="D59" s="30" t="s">
        <v>126</v>
      </c>
      <c r="E59" s="30" t="s">
        <v>134</v>
      </c>
      <c r="F59" s="30" t="s">
        <v>188</v>
      </c>
      <c r="G59" s="31" t="n">
        <v>1032.3</v>
      </c>
      <c r="H59" s="32" t="str">
        <f aca="false">IF(E59="","",IFERROR(INDEX(Catégories!$B$5:$B$60,MATCH(E59,Catégories!$A$5:$A$60,0)),"?"))</f>
        <v>Recette</v>
      </c>
      <c r="I59" s="32" t="str">
        <f aca="false">IF(E59="","",IFERROR(INDEX(Catégories!$C$5:$C$60,MATCH(E59,Catégories!$A$5:$A$60,0)),"?"))</f>
        <v>Imposable</v>
      </c>
      <c r="J59" s="32" t="str">
        <f aca="false">IF(E59="","",IFERROR(INDEX(Catégories!$D$5:$D$60,MATCH(E59,Catégories!$A$5:$A$60,0)),"?"))</f>
        <v>Loyers</v>
      </c>
      <c r="K59" s="33" t="n">
        <f aca="false">IF(H59="Recette",G59,IF(H59="Dépense",-G59,0))</f>
        <v>1032.3</v>
      </c>
      <c r="L59" s="33" t="n">
        <f aca="false">IF(E59="",0,G59*IFERROR(INDEX(Catégories!$E$5:$E$60,MATCH(E59,Catégories!$A$5:$A$60,0)),0))</f>
        <v>1032.3</v>
      </c>
      <c r="M59" s="30" t="s">
        <v>129</v>
      </c>
      <c r="N59" s="30" t="s">
        <v>130</v>
      </c>
      <c r="O59" s="30"/>
    </row>
    <row r="60" customFormat="false" ht="15" hidden="false" customHeight="true" outlineLevel="0" collapsed="false">
      <c r="A60" s="28" t="n">
        <v>45567</v>
      </c>
      <c r="B60" s="29" t="n">
        <f aca="false">IF(A60="","",YEAR(A60))</f>
        <v>2024</v>
      </c>
      <c r="C60" s="30" t="s">
        <v>58</v>
      </c>
      <c r="D60" s="30" t="s">
        <v>126</v>
      </c>
      <c r="E60" s="30" t="s">
        <v>136</v>
      </c>
      <c r="F60" s="30" t="s">
        <v>137</v>
      </c>
      <c r="G60" s="31" t="n">
        <v>61.94</v>
      </c>
      <c r="H60" s="32" t="str">
        <f aca="false">IF(E60="","",IFERROR(INDEX(Catégories!$B$5:$B$60,MATCH(E60,Catégories!$A$5:$A$60,0)),"?"))</f>
        <v>Dépense</v>
      </c>
      <c r="I60" s="32" t="str">
        <f aca="false">IF(E60="","",IFERROR(INDEX(Catégories!$C$5:$C$60,MATCH(E60,Catégories!$A$5:$A$60,0)),"?"))</f>
        <v>Déductible</v>
      </c>
      <c r="J60" s="32" t="str">
        <f aca="false">IF(E60="","",IFERROR(INDEX(Catégories!$D$5:$D$60,MATCH(E60,Catégories!$A$5:$A$60,0)),"?"))</f>
        <v>Frais de gestion</v>
      </c>
      <c r="K60" s="33" t="n">
        <f aca="false">IF(H60="Recette",G60,IF(H60="Dépense",-G60,0))</f>
        <v>-61.94</v>
      </c>
      <c r="L60" s="33" t="n">
        <f aca="false">IF(E60="",0,G60*IFERROR(INDEX(Catégories!$E$5:$E$60,MATCH(E60,Catégories!$A$5:$A$60,0)),0))</f>
        <v>-61.94</v>
      </c>
      <c r="M60" s="30" t="s">
        <v>129</v>
      </c>
      <c r="N60" s="30" t="s">
        <v>130</v>
      </c>
      <c r="O60" s="30"/>
    </row>
    <row r="61" customFormat="false" ht="15" hidden="false" customHeight="true" outlineLevel="0" collapsed="false">
      <c r="A61" s="28" t="n">
        <v>45567</v>
      </c>
      <c r="B61" s="29" t="n">
        <f aca="false">IF(A61="","",YEAR(A61))</f>
        <v>2024</v>
      </c>
      <c r="C61" s="30" t="s">
        <v>58</v>
      </c>
      <c r="D61" s="30" t="s">
        <v>126</v>
      </c>
      <c r="E61" s="30" t="s">
        <v>136</v>
      </c>
      <c r="F61" s="30" t="s">
        <v>138</v>
      </c>
      <c r="G61" s="31" t="n">
        <v>12.39</v>
      </c>
      <c r="H61" s="32" t="str">
        <f aca="false">IF(E61="","",IFERROR(INDEX(Catégories!$B$5:$B$60,MATCH(E61,Catégories!$A$5:$A$60,0)),"?"))</f>
        <v>Dépense</v>
      </c>
      <c r="I61" s="32" t="str">
        <f aca="false">IF(E61="","",IFERROR(INDEX(Catégories!$C$5:$C$60,MATCH(E61,Catégories!$A$5:$A$60,0)),"?"))</f>
        <v>Déductible</v>
      </c>
      <c r="J61" s="32" t="str">
        <f aca="false">IF(E61="","",IFERROR(INDEX(Catégories!$D$5:$D$60,MATCH(E61,Catégories!$A$5:$A$60,0)),"?"))</f>
        <v>Frais de gestion</v>
      </c>
      <c r="K61" s="33" t="n">
        <f aca="false">IF(H61="Recette",G61,IF(H61="Dépense",-G61,0))</f>
        <v>-12.39</v>
      </c>
      <c r="L61" s="33" t="n">
        <f aca="false">IF(E61="",0,G61*IFERROR(INDEX(Catégories!$E$5:$E$60,MATCH(E61,Catégories!$A$5:$A$60,0)),0))</f>
        <v>-12.39</v>
      </c>
      <c r="M61" s="30" t="s">
        <v>129</v>
      </c>
      <c r="N61" s="30" t="s">
        <v>130</v>
      </c>
      <c r="O61" s="30"/>
    </row>
    <row r="62" customFormat="false" ht="15" hidden="false" customHeight="true" outlineLevel="0" collapsed="false">
      <c r="A62" s="28" t="n">
        <v>45567</v>
      </c>
      <c r="B62" s="29" t="n">
        <f aca="false">IF(A62="","",YEAR(A62))</f>
        <v>2024</v>
      </c>
      <c r="C62" s="30" t="s">
        <v>58</v>
      </c>
      <c r="D62" s="30" t="s">
        <v>126</v>
      </c>
      <c r="E62" s="30" t="s">
        <v>139</v>
      </c>
      <c r="F62" s="30" t="s">
        <v>189</v>
      </c>
      <c r="G62" s="31" t="n">
        <v>83.7</v>
      </c>
      <c r="H62" s="32" t="str">
        <f aca="false">IF(E62="","",IFERROR(INDEX(Catégories!$B$5:$B$60,MATCH(E62,Catégories!$A$5:$A$60,0)),"?"))</f>
        <v>Recette</v>
      </c>
      <c r="I62" s="32" t="str">
        <f aca="false">IF(E62="","",IFERROR(INDEX(Catégories!$C$5:$C$60,MATCH(E62,Catégories!$A$5:$A$60,0)),"?"))</f>
        <v>Imposable</v>
      </c>
      <c r="J62" s="32" t="str">
        <f aca="false">IF(E62="","",IFERROR(INDEX(Catégories!$D$5:$D$60,MATCH(E62,Catégories!$A$5:$A$60,0)),"?"))</f>
        <v>Charges refacturées</v>
      </c>
      <c r="K62" s="33" t="n">
        <f aca="false">IF(H62="Recette",G62,IF(H62="Dépense",-G62,0))</f>
        <v>83.7</v>
      </c>
      <c r="L62" s="33" t="n">
        <f aca="false">IF(E62="",0,G62*IFERROR(INDEX(Catégories!$E$5:$E$60,MATCH(E62,Catégories!$A$5:$A$60,0)),0))</f>
        <v>83.7</v>
      </c>
      <c r="M62" s="30" t="s">
        <v>129</v>
      </c>
      <c r="N62" s="30" t="s">
        <v>130</v>
      </c>
      <c r="O62" s="30"/>
    </row>
    <row r="63" customFormat="false" ht="15" hidden="false" customHeight="true" outlineLevel="0" collapsed="false">
      <c r="A63" s="28" t="n">
        <v>45567</v>
      </c>
      <c r="B63" s="29" t="n">
        <f aca="false">IF(A63="","",YEAR(A63))</f>
        <v>2024</v>
      </c>
      <c r="C63" s="30" t="s">
        <v>58</v>
      </c>
      <c r="D63" s="30" t="s">
        <v>126</v>
      </c>
      <c r="E63" s="30" t="s">
        <v>136</v>
      </c>
      <c r="F63" s="30" t="s">
        <v>141</v>
      </c>
      <c r="G63" s="31" t="n">
        <v>5.02</v>
      </c>
      <c r="H63" s="32" t="str">
        <f aca="false">IF(E63="","",IFERROR(INDEX(Catégories!$B$5:$B$60,MATCH(E63,Catégories!$A$5:$A$60,0)),"?"))</f>
        <v>Dépense</v>
      </c>
      <c r="I63" s="32" t="str">
        <f aca="false">IF(E63="","",IFERROR(INDEX(Catégories!$C$5:$C$60,MATCH(E63,Catégories!$A$5:$A$60,0)),"?"))</f>
        <v>Déductible</v>
      </c>
      <c r="J63" s="32" t="str">
        <f aca="false">IF(E63="","",IFERROR(INDEX(Catégories!$D$5:$D$60,MATCH(E63,Catégories!$A$5:$A$60,0)),"?"))</f>
        <v>Frais de gestion</v>
      </c>
      <c r="K63" s="33" t="n">
        <f aca="false">IF(H63="Recette",G63,IF(H63="Dépense",-G63,0))</f>
        <v>-5.02</v>
      </c>
      <c r="L63" s="33" t="n">
        <f aca="false">IF(E63="",0,G63*IFERROR(INDEX(Catégories!$E$5:$E$60,MATCH(E63,Catégories!$A$5:$A$60,0)),0))</f>
        <v>-5.02</v>
      </c>
      <c r="M63" s="30" t="s">
        <v>129</v>
      </c>
      <c r="N63" s="30" t="s">
        <v>130</v>
      </c>
      <c r="O63" s="30"/>
    </row>
    <row r="64" customFormat="false" ht="15" hidden="false" customHeight="true" outlineLevel="0" collapsed="false">
      <c r="A64" s="28" t="n">
        <v>45567</v>
      </c>
      <c r="B64" s="29" t="n">
        <f aca="false">IF(A64="","",YEAR(A64))</f>
        <v>2024</v>
      </c>
      <c r="C64" s="30" t="s">
        <v>58</v>
      </c>
      <c r="D64" s="30" t="s">
        <v>126</v>
      </c>
      <c r="E64" s="30" t="s">
        <v>136</v>
      </c>
      <c r="F64" s="30" t="s">
        <v>142</v>
      </c>
      <c r="G64" s="31" t="n">
        <v>1</v>
      </c>
      <c r="H64" s="32" t="str">
        <f aca="false">IF(E64="","",IFERROR(INDEX(Catégories!$B$5:$B$60,MATCH(E64,Catégories!$A$5:$A$60,0)),"?"))</f>
        <v>Dépense</v>
      </c>
      <c r="I64" s="32" t="str">
        <f aca="false">IF(E64="","",IFERROR(INDEX(Catégories!$C$5:$C$60,MATCH(E64,Catégories!$A$5:$A$60,0)),"?"))</f>
        <v>Déductible</v>
      </c>
      <c r="J64" s="32" t="str">
        <f aca="false">IF(E64="","",IFERROR(INDEX(Catégories!$D$5:$D$60,MATCH(E64,Catégories!$A$5:$A$60,0)),"?"))</f>
        <v>Frais de gestion</v>
      </c>
      <c r="K64" s="33" t="n">
        <f aca="false">IF(H64="Recette",G64,IF(H64="Dépense",-G64,0))</f>
        <v>-1</v>
      </c>
      <c r="L64" s="33" t="n">
        <f aca="false">IF(E64="",0,G64*IFERROR(INDEX(Catégories!$E$5:$E$60,MATCH(E64,Catégories!$A$5:$A$60,0)),0))</f>
        <v>-1</v>
      </c>
      <c r="M64" s="30" t="s">
        <v>129</v>
      </c>
      <c r="N64" s="30" t="s">
        <v>130</v>
      </c>
      <c r="O64" s="30"/>
    </row>
    <row r="65" customFormat="false" ht="15" hidden="false" customHeight="true" outlineLevel="0" collapsed="false">
      <c r="A65" s="28" t="n">
        <v>45568</v>
      </c>
      <c r="B65" s="29" t="n">
        <f aca="false">IF(A65="","",YEAR(A65))</f>
        <v>2024</v>
      </c>
      <c r="C65" s="30" t="s">
        <v>58</v>
      </c>
      <c r="D65" s="30" t="s">
        <v>126</v>
      </c>
      <c r="E65" s="30" t="s">
        <v>168</v>
      </c>
      <c r="F65" s="30" t="s">
        <v>169</v>
      </c>
      <c r="G65" s="31" t="n">
        <v>1035.65</v>
      </c>
      <c r="H65" s="32" t="str">
        <f aca="false">IF(E65="","",IFERROR(INDEX(Catégories!$B$5:$B$60,MATCH(E65,Catégories!$A$5:$A$60,0)),"?"))</f>
        <v>Transfert</v>
      </c>
      <c r="I65" s="32" t="str">
        <f aca="false">IF(E65="","",IFERROR(INDEX(Catégories!$C$5:$C$60,MATCH(E65,Catégories!$A$5:$A$60,0)),"?"))</f>
        <v>Non fiscal</v>
      </c>
      <c r="J65" s="32" t="str">
        <f aca="false">IF(E65="","",IFERROR(INDEX(Catégories!$D$5:$D$60,MATCH(E65,Catégories!$A$5:$A$60,0)),"?"))</f>
        <v>Mouvements internes</v>
      </c>
      <c r="K65" s="33" t="n">
        <f aca="false">IF(H65="Recette",G65,IF(H65="Dépense",-G65,0))</f>
        <v>0</v>
      </c>
      <c r="L65" s="33" t="n">
        <f aca="false">IF(E65="",0,G65*IFERROR(INDEX(Catégories!$E$5:$E$60,MATCH(E65,Catégories!$A$5:$A$60,0)),0))</f>
        <v>-1035.65</v>
      </c>
      <c r="M65" s="30" t="s">
        <v>129</v>
      </c>
      <c r="N65" s="30" t="s">
        <v>130</v>
      </c>
      <c r="O65" s="30"/>
    </row>
    <row r="66" customFormat="false" ht="15" hidden="false" customHeight="true" outlineLevel="0" collapsed="false">
      <c r="A66" s="28" t="n">
        <v>45590</v>
      </c>
      <c r="B66" s="29" t="n">
        <f aca="false">IF(A66="","",YEAR(A66))</f>
        <v>2024</v>
      </c>
      <c r="C66" s="30" t="s">
        <v>58</v>
      </c>
      <c r="D66" s="30" t="s">
        <v>148</v>
      </c>
      <c r="E66" s="30" t="s">
        <v>190</v>
      </c>
      <c r="F66" s="30" t="s">
        <v>191</v>
      </c>
      <c r="G66" s="31" t="n">
        <v>553.35</v>
      </c>
      <c r="H66" s="32" t="str">
        <f aca="false">IF(E66="","",IFERROR(INDEX(Catégories!$B$5:$B$60,MATCH(E66,Catégories!$A$5:$A$60,0)),"?"))</f>
        <v>Dépense</v>
      </c>
      <c r="I66" s="32" t="str">
        <f aca="false">IF(E66="","",IFERROR(INDEX(Catégories!$C$5:$C$60,MATCH(E66,Catégories!$A$5:$A$60,0)),"?"))</f>
        <v>Déductible</v>
      </c>
      <c r="J66" s="32" t="str">
        <f aca="false">IF(E66="","",IFERROR(INDEX(Catégories!$D$5:$D$60,MATCH(E66,Catégories!$A$5:$A$60,0)),"?"))</f>
        <v>Impôts et taxes</v>
      </c>
      <c r="K66" s="33" t="n">
        <f aca="false">IF(H66="Recette",G66,IF(H66="Dépense",-G66,0))</f>
        <v>-553.35</v>
      </c>
      <c r="L66" s="33" t="n">
        <f aca="false">IF(E66="",0,G66*IFERROR(INDEX(Catégories!$E$5:$E$60,MATCH(E66,Catégories!$A$5:$A$60,0)),0))</f>
        <v>-553.35</v>
      </c>
      <c r="M66" s="30" t="s">
        <v>150</v>
      </c>
      <c r="N66" s="30" t="s">
        <v>151</v>
      </c>
      <c r="O66" s="30" t="s">
        <v>192</v>
      </c>
    </row>
    <row r="67" customFormat="false" ht="15" hidden="false" customHeight="true" outlineLevel="0" collapsed="false">
      <c r="A67" s="28" t="n">
        <v>45597</v>
      </c>
      <c r="B67" s="29" t="n">
        <f aca="false">IF(A67="","",YEAR(A67))</f>
        <v>2024</v>
      </c>
      <c r="C67" s="30" t="s">
        <v>58</v>
      </c>
      <c r="D67" s="30" t="s">
        <v>126</v>
      </c>
      <c r="E67" s="30" t="s">
        <v>193</v>
      </c>
      <c r="F67" s="30" t="s">
        <v>194</v>
      </c>
      <c r="G67" s="31" t="n">
        <v>50.76</v>
      </c>
      <c r="H67" s="32" t="str">
        <f aca="false">IF(E67="","",IFERROR(INDEX(Catégories!$B$5:$B$60,MATCH(E67,Catégories!$A$5:$A$60,0)),"?"))</f>
        <v>Recette</v>
      </c>
      <c r="I67" s="32" t="str">
        <f aca="false">IF(E67="","",IFERROR(INDEX(Catégories!$C$5:$C$60,MATCH(E67,Catégories!$A$5:$A$60,0)),"?"))</f>
        <v>Imposable</v>
      </c>
      <c r="J67" s="32" t="str">
        <f aca="false">IF(E67="","",IFERROR(INDEX(Catégories!$D$5:$D$60,MATCH(E67,Catégories!$A$5:$A$60,0)),"?"))</f>
        <v>Charges refacturées</v>
      </c>
      <c r="K67" s="33" t="n">
        <f aca="false">IF(H67="Recette",G67,IF(H67="Dépense",-G67,0))</f>
        <v>50.76</v>
      </c>
      <c r="L67" s="33" t="n">
        <f aca="false">IF(E67="",0,G67*IFERROR(INDEX(Catégories!$E$5:$E$60,MATCH(E67,Catégories!$A$5:$A$60,0)),0))</f>
        <v>50.76</v>
      </c>
      <c r="M67" s="30" t="s">
        <v>129</v>
      </c>
      <c r="N67" s="30" t="s">
        <v>130</v>
      </c>
      <c r="O67" s="30"/>
    </row>
    <row r="68" customFormat="false" ht="15" hidden="false" customHeight="true" outlineLevel="0" collapsed="false">
      <c r="A68" s="28" t="n">
        <v>45597</v>
      </c>
      <c r="B68" s="29" t="n">
        <f aca="false">IF(A68="","",YEAR(A68))</f>
        <v>2024</v>
      </c>
      <c r="C68" s="30" t="s">
        <v>58</v>
      </c>
      <c r="D68" s="30" t="s">
        <v>126</v>
      </c>
      <c r="E68" s="30" t="s">
        <v>136</v>
      </c>
      <c r="F68" s="30" t="s">
        <v>195</v>
      </c>
      <c r="G68" s="31" t="n">
        <v>3.04</v>
      </c>
      <c r="H68" s="32" t="str">
        <f aca="false">IF(E68="","",IFERROR(INDEX(Catégories!$B$5:$B$60,MATCH(E68,Catégories!$A$5:$A$60,0)),"?"))</f>
        <v>Dépense</v>
      </c>
      <c r="I68" s="32" t="str">
        <f aca="false">IF(E68="","",IFERROR(INDEX(Catégories!$C$5:$C$60,MATCH(E68,Catégories!$A$5:$A$60,0)),"?"))</f>
        <v>Déductible</v>
      </c>
      <c r="J68" s="32" t="str">
        <f aca="false">IF(E68="","",IFERROR(INDEX(Catégories!$D$5:$D$60,MATCH(E68,Catégories!$A$5:$A$60,0)),"?"))</f>
        <v>Frais de gestion</v>
      </c>
      <c r="K68" s="33" t="n">
        <f aca="false">IF(H68="Recette",G68,IF(H68="Dépense",-G68,0))</f>
        <v>-3.04</v>
      </c>
      <c r="L68" s="33" t="n">
        <f aca="false">IF(E68="",0,G68*IFERROR(INDEX(Catégories!$E$5:$E$60,MATCH(E68,Catégories!$A$5:$A$60,0)),0))</f>
        <v>-3.04</v>
      </c>
      <c r="M68" s="30" t="s">
        <v>129</v>
      </c>
      <c r="N68" s="30" t="s">
        <v>130</v>
      </c>
      <c r="O68" s="30"/>
    </row>
    <row r="69" customFormat="false" ht="15" hidden="false" customHeight="true" outlineLevel="0" collapsed="false">
      <c r="A69" s="28" t="n">
        <v>45597</v>
      </c>
      <c r="B69" s="29" t="n">
        <f aca="false">IF(A69="","",YEAR(A69))</f>
        <v>2024</v>
      </c>
      <c r="C69" s="30" t="s">
        <v>58</v>
      </c>
      <c r="D69" s="30" t="s">
        <v>126</v>
      </c>
      <c r="E69" s="30" t="s">
        <v>136</v>
      </c>
      <c r="F69" s="30" t="s">
        <v>196</v>
      </c>
      <c r="G69" s="31" t="n">
        <v>0.6</v>
      </c>
      <c r="H69" s="32" t="str">
        <f aca="false">IF(E69="","",IFERROR(INDEX(Catégories!$B$5:$B$60,MATCH(E69,Catégories!$A$5:$A$60,0)),"?"))</f>
        <v>Dépense</v>
      </c>
      <c r="I69" s="32" t="str">
        <f aca="false">IF(E69="","",IFERROR(INDEX(Catégories!$C$5:$C$60,MATCH(E69,Catégories!$A$5:$A$60,0)),"?"))</f>
        <v>Déductible</v>
      </c>
      <c r="J69" s="32" t="str">
        <f aca="false">IF(E69="","",IFERROR(INDEX(Catégories!$D$5:$D$60,MATCH(E69,Catégories!$A$5:$A$60,0)),"?"))</f>
        <v>Frais de gestion</v>
      </c>
      <c r="K69" s="33" t="n">
        <f aca="false">IF(H69="Recette",G69,IF(H69="Dépense",-G69,0))</f>
        <v>-0.6</v>
      </c>
      <c r="L69" s="33" t="n">
        <f aca="false">IF(E69="",0,G69*IFERROR(INDEX(Catégories!$E$5:$E$60,MATCH(E69,Catégories!$A$5:$A$60,0)),0))</f>
        <v>-0.6</v>
      </c>
      <c r="M69" s="30" t="s">
        <v>129</v>
      </c>
      <c r="N69" s="30" t="s">
        <v>130</v>
      </c>
      <c r="O69" s="30"/>
    </row>
    <row r="70" customFormat="false" ht="15" hidden="false" customHeight="true" outlineLevel="0" collapsed="false">
      <c r="A70" s="28" t="n">
        <v>45600</v>
      </c>
      <c r="B70" s="29" t="n">
        <f aca="false">IF(A70="","",YEAR(A70))</f>
        <v>2024</v>
      </c>
      <c r="C70" s="30" t="s">
        <v>58</v>
      </c>
      <c r="D70" s="30" t="s">
        <v>126</v>
      </c>
      <c r="E70" s="30" t="s">
        <v>134</v>
      </c>
      <c r="F70" s="30" t="s">
        <v>197</v>
      </c>
      <c r="G70" s="31" t="n">
        <v>1032.3</v>
      </c>
      <c r="H70" s="32" t="str">
        <f aca="false">IF(E70="","",IFERROR(INDEX(Catégories!$B$5:$B$60,MATCH(E70,Catégories!$A$5:$A$60,0)),"?"))</f>
        <v>Recette</v>
      </c>
      <c r="I70" s="32" t="str">
        <f aca="false">IF(E70="","",IFERROR(INDEX(Catégories!$C$5:$C$60,MATCH(E70,Catégories!$A$5:$A$60,0)),"?"))</f>
        <v>Imposable</v>
      </c>
      <c r="J70" s="32" t="str">
        <f aca="false">IF(E70="","",IFERROR(INDEX(Catégories!$D$5:$D$60,MATCH(E70,Catégories!$A$5:$A$60,0)),"?"))</f>
        <v>Loyers</v>
      </c>
      <c r="K70" s="33" t="n">
        <f aca="false">IF(H70="Recette",G70,IF(H70="Dépense",-G70,0))</f>
        <v>1032.3</v>
      </c>
      <c r="L70" s="33" t="n">
        <f aca="false">IF(E70="",0,G70*IFERROR(INDEX(Catégories!$E$5:$E$60,MATCH(E70,Catégories!$A$5:$A$60,0)),0))</f>
        <v>1032.3</v>
      </c>
      <c r="M70" s="30" t="s">
        <v>129</v>
      </c>
      <c r="N70" s="30" t="s">
        <v>130</v>
      </c>
      <c r="O70" s="30"/>
    </row>
    <row r="71" customFormat="false" ht="15" hidden="false" customHeight="true" outlineLevel="0" collapsed="false">
      <c r="A71" s="28" t="n">
        <v>45600</v>
      </c>
      <c r="B71" s="29" t="n">
        <f aca="false">IF(A71="","",YEAR(A71))</f>
        <v>2024</v>
      </c>
      <c r="C71" s="30" t="s">
        <v>58</v>
      </c>
      <c r="D71" s="30" t="s">
        <v>126</v>
      </c>
      <c r="E71" s="30" t="s">
        <v>136</v>
      </c>
      <c r="F71" s="30" t="s">
        <v>137</v>
      </c>
      <c r="G71" s="31" t="n">
        <v>61.94</v>
      </c>
      <c r="H71" s="32" t="str">
        <f aca="false">IF(E71="","",IFERROR(INDEX(Catégories!$B$5:$B$60,MATCH(E71,Catégories!$A$5:$A$60,0)),"?"))</f>
        <v>Dépense</v>
      </c>
      <c r="I71" s="32" t="str">
        <f aca="false">IF(E71="","",IFERROR(INDEX(Catégories!$C$5:$C$60,MATCH(E71,Catégories!$A$5:$A$60,0)),"?"))</f>
        <v>Déductible</v>
      </c>
      <c r="J71" s="32" t="str">
        <f aca="false">IF(E71="","",IFERROR(INDEX(Catégories!$D$5:$D$60,MATCH(E71,Catégories!$A$5:$A$60,0)),"?"))</f>
        <v>Frais de gestion</v>
      </c>
      <c r="K71" s="33" t="n">
        <f aca="false">IF(H71="Recette",G71,IF(H71="Dépense",-G71,0))</f>
        <v>-61.94</v>
      </c>
      <c r="L71" s="33" t="n">
        <f aca="false">IF(E71="",0,G71*IFERROR(INDEX(Catégories!$E$5:$E$60,MATCH(E71,Catégories!$A$5:$A$60,0)),0))</f>
        <v>-61.94</v>
      </c>
      <c r="M71" s="30" t="s">
        <v>129</v>
      </c>
      <c r="N71" s="30" t="s">
        <v>130</v>
      </c>
      <c r="O71" s="30"/>
    </row>
    <row r="72" customFormat="false" ht="15" hidden="false" customHeight="true" outlineLevel="0" collapsed="false">
      <c r="A72" s="28" t="n">
        <v>45600</v>
      </c>
      <c r="B72" s="29" t="n">
        <f aca="false">IF(A72="","",YEAR(A72))</f>
        <v>2024</v>
      </c>
      <c r="C72" s="30" t="s">
        <v>58</v>
      </c>
      <c r="D72" s="30" t="s">
        <v>126</v>
      </c>
      <c r="E72" s="30" t="s">
        <v>136</v>
      </c>
      <c r="F72" s="30" t="s">
        <v>138</v>
      </c>
      <c r="G72" s="31" t="n">
        <v>12.39</v>
      </c>
      <c r="H72" s="32" t="str">
        <f aca="false">IF(E72="","",IFERROR(INDEX(Catégories!$B$5:$B$60,MATCH(E72,Catégories!$A$5:$A$60,0)),"?"))</f>
        <v>Dépense</v>
      </c>
      <c r="I72" s="32" t="str">
        <f aca="false">IF(E72="","",IFERROR(INDEX(Catégories!$C$5:$C$60,MATCH(E72,Catégories!$A$5:$A$60,0)),"?"))</f>
        <v>Déductible</v>
      </c>
      <c r="J72" s="32" t="str">
        <f aca="false">IF(E72="","",IFERROR(INDEX(Catégories!$D$5:$D$60,MATCH(E72,Catégories!$A$5:$A$60,0)),"?"))</f>
        <v>Frais de gestion</v>
      </c>
      <c r="K72" s="33" t="n">
        <f aca="false">IF(H72="Recette",G72,IF(H72="Dépense",-G72,0))</f>
        <v>-12.39</v>
      </c>
      <c r="L72" s="33" t="n">
        <f aca="false">IF(E72="",0,G72*IFERROR(INDEX(Catégories!$E$5:$E$60,MATCH(E72,Catégories!$A$5:$A$60,0)),0))</f>
        <v>-12.39</v>
      </c>
      <c r="M72" s="30" t="s">
        <v>129</v>
      </c>
      <c r="N72" s="30" t="s">
        <v>130</v>
      </c>
      <c r="O72" s="30"/>
    </row>
    <row r="73" customFormat="false" ht="15" hidden="false" customHeight="true" outlineLevel="0" collapsed="false">
      <c r="A73" s="28" t="n">
        <v>45600</v>
      </c>
      <c r="B73" s="29" t="n">
        <f aca="false">IF(A73="","",YEAR(A73))</f>
        <v>2024</v>
      </c>
      <c r="C73" s="30" t="s">
        <v>58</v>
      </c>
      <c r="D73" s="30" t="s">
        <v>126</v>
      </c>
      <c r="E73" s="30" t="s">
        <v>139</v>
      </c>
      <c r="F73" s="30" t="s">
        <v>198</v>
      </c>
      <c r="G73" s="31" t="n">
        <v>83.7</v>
      </c>
      <c r="H73" s="32" t="str">
        <f aca="false">IF(E73="","",IFERROR(INDEX(Catégories!$B$5:$B$60,MATCH(E73,Catégories!$A$5:$A$60,0)),"?"))</f>
        <v>Recette</v>
      </c>
      <c r="I73" s="32" t="str">
        <f aca="false">IF(E73="","",IFERROR(INDEX(Catégories!$C$5:$C$60,MATCH(E73,Catégories!$A$5:$A$60,0)),"?"))</f>
        <v>Imposable</v>
      </c>
      <c r="J73" s="32" t="str">
        <f aca="false">IF(E73="","",IFERROR(INDEX(Catégories!$D$5:$D$60,MATCH(E73,Catégories!$A$5:$A$60,0)),"?"))</f>
        <v>Charges refacturées</v>
      </c>
      <c r="K73" s="33" t="n">
        <f aca="false">IF(H73="Recette",G73,IF(H73="Dépense",-G73,0))</f>
        <v>83.7</v>
      </c>
      <c r="L73" s="33" t="n">
        <f aca="false">IF(E73="",0,G73*IFERROR(INDEX(Catégories!$E$5:$E$60,MATCH(E73,Catégories!$A$5:$A$60,0)),0))</f>
        <v>83.7</v>
      </c>
      <c r="M73" s="30" t="s">
        <v>129</v>
      </c>
      <c r="N73" s="30" t="s">
        <v>130</v>
      </c>
      <c r="O73" s="30"/>
    </row>
    <row r="74" customFormat="false" ht="15" hidden="false" customHeight="true" outlineLevel="0" collapsed="false">
      <c r="A74" s="28" t="n">
        <v>45600</v>
      </c>
      <c r="B74" s="29" t="n">
        <f aca="false">IF(A74="","",YEAR(A74))</f>
        <v>2024</v>
      </c>
      <c r="C74" s="30" t="s">
        <v>58</v>
      </c>
      <c r="D74" s="30" t="s">
        <v>126</v>
      </c>
      <c r="E74" s="30" t="s">
        <v>136</v>
      </c>
      <c r="F74" s="30" t="s">
        <v>141</v>
      </c>
      <c r="G74" s="31" t="n">
        <v>5.02</v>
      </c>
      <c r="H74" s="32" t="str">
        <f aca="false">IF(E74="","",IFERROR(INDEX(Catégories!$B$5:$B$60,MATCH(E74,Catégories!$A$5:$A$60,0)),"?"))</f>
        <v>Dépense</v>
      </c>
      <c r="I74" s="32" t="str">
        <f aca="false">IF(E74="","",IFERROR(INDEX(Catégories!$C$5:$C$60,MATCH(E74,Catégories!$A$5:$A$60,0)),"?"))</f>
        <v>Déductible</v>
      </c>
      <c r="J74" s="32" t="str">
        <f aca="false">IF(E74="","",IFERROR(INDEX(Catégories!$D$5:$D$60,MATCH(E74,Catégories!$A$5:$A$60,0)),"?"))</f>
        <v>Frais de gestion</v>
      </c>
      <c r="K74" s="33" t="n">
        <f aca="false">IF(H74="Recette",G74,IF(H74="Dépense",-G74,0))</f>
        <v>-5.02</v>
      </c>
      <c r="L74" s="33" t="n">
        <f aca="false">IF(E74="",0,G74*IFERROR(INDEX(Catégories!$E$5:$E$60,MATCH(E74,Catégories!$A$5:$A$60,0)),0))</f>
        <v>-5.02</v>
      </c>
      <c r="M74" s="30" t="s">
        <v>129</v>
      </c>
      <c r="N74" s="30" t="s">
        <v>130</v>
      </c>
      <c r="O74" s="30"/>
    </row>
    <row r="75" customFormat="false" ht="15" hidden="false" customHeight="true" outlineLevel="0" collapsed="false">
      <c r="A75" s="28" t="n">
        <v>45600</v>
      </c>
      <c r="B75" s="29" t="n">
        <f aca="false">IF(A75="","",YEAR(A75))</f>
        <v>2024</v>
      </c>
      <c r="C75" s="30" t="s">
        <v>58</v>
      </c>
      <c r="D75" s="30" t="s">
        <v>126</v>
      </c>
      <c r="E75" s="30" t="s">
        <v>136</v>
      </c>
      <c r="F75" s="30" t="s">
        <v>142</v>
      </c>
      <c r="G75" s="31" t="n">
        <v>1</v>
      </c>
      <c r="H75" s="32" t="str">
        <f aca="false">IF(E75="","",IFERROR(INDEX(Catégories!$B$5:$B$60,MATCH(E75,Catégories!$A$5:$A$60,0)),"?"))</f>
        <v>Dépense</v>
      </c>
      <c r="I75" s="32" t="str">
        <f aca="false">IF(E75="","",IFERROR(INDEX(Catégories!$C$5:$C$60,MATCH(E75,Catégories!$A$5:$A$60,0)),"?"))</f>
        <v>Déductible</v>
      </c>
      <c r="J75" s="32" t="str">
        <f aca="false">IF(E75="","",IFERROR(INDEX(Catégories!$D$5:$D$60,MATCH(E75,Catégories!$A$5:$A$60,0)),"?"))</f>
        <v>Frais de gestion</v>
      </c>
      <c r="K75" s="33" t="n">
        <f aca="false">IF(H75="Recette",G75,IF(H75="Dépense",-G75,0))</f>
        <v>-1</v>
      </c>
      <c r="L75" s="33" t="n">
        <f aca="false">IF(E75="",0,G75*IFERROR(INDEX(Catégories!$E$5:$E$60,MATCH(E75,Catégories!$A$5:$A$60,0)),0))</f>
        <v>-1</v>
      </c>
      <c r="M75" s="30" t="s">
        <v>129</v>
      </c>
      <c r="N75" s="30" t="s">
        <v>130</v>
      </c>
      <c r="O75" s="30"/>
    </row>
    <row r="76" customFormat="false" ht="15" hidden="false" customHeight="true" outlineLevel="0" collapsed="false">
      <c r="A76" s="28" t="n">
        <v>45600</v>
      </c>
      <c r="B76" s="29" t="n">
        <f aca="false">IF(A76="","",YEAR(A76))</f>
        <v>2024</v>
      </c>
      <c r="C76" s="30" t="s">
        <v>58</v>
      </c>
      <c r="D76" s="30" t="s">
        <v>126</v>
      </c>
      <c r="E76" s="30" t="s">
        <v>168</v>
      </c>
      <c r="F76" s="30" t="s">
        <v>169</v>
      </c>
      <c r="G76" s="31" t="n">
        <v>1082.76</v>
      </c>
      <c r="H76" s="32" t="str">
        <f aca="false">IF(E76="","",IFERROR(INDEX(Catégories!$B$5:$B$60,MATCH(E76,Catégories!$A$5:$A$60,0)),"?"))</f>
        <v>Transfert</v>
      </c>
      <c r="I76" s="32" t="str">
        <f aca="false">IF(E76="","",IFERROR(INDEX(Catégories!$C$5:$C$60,MATCH(E76,Catégories!$A$5:$A$60,0)),"?"))</f>
        <v>Non fiscal</v>
      </c>
      <c r="J76" s="32" t="str">
        <f aca="false">IF(E76="","",IFERROR(INDEX(Catégories!$D$5:$D$60,MATCH(E76,Catégories!$A$5:$A$60,0)),"?"))</f>
        <v>Mouvements internes</v>
      </c>
      <c r="K76" s="33" t="n">
        <f aca="false">IF(H76="Recette",G76,IF(H76="Dépense",-G76,0))</f>
        <v>0</v>
      </c>
      <c r="L76" s="33" t="n">
        <f aca="false">IF(E76="",0,G76*IFERROR(INDEX(Catégories!$E$5:$E$60,MATCH(E76,Catégories!$A$5:$A$60,0)),0))</f>
        <v>-1082.76</v>
      </c>
      <c r="M76" s="30" t="s">
        <v>129</v>
      </c>
      <c r="N76" s="30" t="s">
        <v>130</v>
      </c>
      <c r="O76" s="30"/>
    </row>
    <row r="77" customFormat="false" ht="15" hidden="false" customHeight="true" outlineLevel="0" collapsed="false">
      <c r="A77" s="28" t="n">
        <v>45628</v>
      </c>
      <c r="B77" s="29" t="n">
        <f aca="false">IF(A77="","",YEAR(A77))</f>
        <v>2024</v>
      </c>
      <c r="C77" s="30" t="s">
        <v>58</v>
      </c>
      <c r="D77" s="30" t="s">
        <v>126</v>
      </c>
      <c r="E77" s="30" t="s">
        <v>134</v>
      </c>
      <c r="F77" s="30" t="s">
        <v>199</v>
      </c>
      <c r="G77" s="31" t="n">
        <v>1032.3</v>
      </c>
      <c r="H77" s="32" t="str">
        <f aca="false">IF(E77="","",IFERROR(INDEX(Catégories!$B$5:$B$60,MATCH(E77,Catégories!$A$5:$A$60,0)),"?"))</f>
        <v>Recette</v>
      </c>
      <c r="I77" s="32" t="str">
        <f aca="false">IF(E77="","",IFERROR(INDEX(Catégories!$C$5:$C$60,MATCH(E77,Catégories!$A$5:$A$60,0)),"?"))</f>
        <v>Imposable</v>
      </c>
      <c r="J77" s="32" t="str">
        <f aca="false">IF(E77="","",IFERROR(INDEX(Catégories!$D$5:$D$60,MATCH(E77,Catégories!$A$5:$A$60,0)),"?"))</f>
        <v>Loyers</v>
      </c>
      <c r="K77" s="33" t="n">
        <f aca="false">IF(H77="Recette",G77,IF(H77="Dépense",-G77,0))</f>
        <v>1032.3</v>
      </c>
      <c r="L77" s="33" t="n">
        <f aca="false">IF(E77="",0,G77*IFERROR(INDEX(Catégories!$E$5:$E$60,MATCH(E77,Catégories!$A$5:$A$60,0)),0))</f>
        <v>1032.3</v>
      </c>
      <c r="M77" s="30" t="s">
        <v>129</v>
      </c>
      <c r="N77" s="30" t="s">
        <v>130</v>
      </c>
      <c r="O77" s="30"/>
    </row>
    <row r="78" customFormat="false" ht="15" hidden="false" customHeight="true" outlineLevel="0" collapsed="false">
      <c r="A78" s="28" t="n">
        <v>45628</v>
      </c>
      <c r="B78" s="29" t="n">
        <f aca="false">IF(A78="","",YEAR(A78))</f>
        <v>2024</v>
      </c>
      <c r="C78" s="30" t="s">
        <v>58</v>
      </c>
      <c r="D78" s="30" t="s">
        <v>126</v>
      </c>
      <c r="E78" s="30" t="s">
        <v>136</v>
      </c>
      <c r="F78" s="30" t="s">
        <v>137</v>
      </c>
      <c r="G78" s="31" t="n">
        <v>61.94</v>
      </c>
      <c r="H78" s="32" t="str">
        <f aca="false">IF(E78="","",IFERROR(INDEX(Catégories!$B$5:$B$60,MATCH(E78,Catégories!$A$5:$A$60,0)),"?"))</f>
        <v>Dépense</v>
      </c>
      <c r="I78" s="32" t="str">
        <f aca="false">IF(E78="","",IFERROR(INDEX(Catégories!$C$5:$C$60,MATCH(E78,Catégories!$A$5:$A$60,0)),"?"))</f>
        <v>Déductible</v>
      </c>
      <c r="J78" s="32" t="str">
        <f aca="false">IF(E78="","",IFERROR(INDEX(Catégories!$D$5:$D$60,MATCH(E78,Catégories!$A$5:$A$60,0)),"?"))</f>
        <v>Frais de gestion</v>
      </c>
      <c r="K78" s="33" t="n">
        <f aca="false">IF(H78="Recette",G78,IF(H78="Dépense",-G78,0))</f>
        <v>-61.94</v>
      </c>
      <c r="L78" s="33" t="n">
        <f aca="false">IF(E78="",0,G78*IFERROR(INDEX(Catégories!$E$5:$E$60,MATCH(E78,Catégories!$A$5:$A$60,0)),0))</f>
        <v>-61.94</v>
      </c>
      <c r="M78" s="30" t="s">
        <v>129</v>
      </c>
      <c r="N78" s="30" t="s">
        <v>130</v>
      </c>
      <c r="O78" s="30"/>
    </row>
    <row r="79" customFormat="false" ht="15" hidden="false" customHeight="true" outlineLevel="0" collapsed="false">
      <c r="A79" s="28" t="n">
        <v>45628</v>
      </c>
      <c r="B79" s="29" t="n">
        <f aca="false">IF(A79="","",YEAR(A79))</f>
        <v>2024</v>
      </c>
      <c r="C79" s="30" t="s">
        <v>58</v>
      </c>
      <c r="D79" s="30" t="s">
        <v>126</v>
      </c>
      <c r="E79" s="30" t="s">
        <v>136</v>
      </c>
      <c r="F79" s="30" t="s">
        <v>138</v>
      </c>
      <c r="G79" s="31" t="n">
        <v>12.39</v>
      </c>
      <c r="H79" s="32" t="str">
        <f aca="false">IF(E79="","",IFERROR(INDEX(Catégories!$B$5:$B$60,MATCH(E79,Catégories!$A$5:$A$60,0)),"?"))</f>
        <v>Dépense</v>
      </c>
      <c r="I79" s="32" t="str">
        <f aca="false">IF(E79="","",IFERROR(INDEX(Catégories!$C$5:$C$60,MATCH(E79,Catégories!$A$5:$A$60,0)),"?"))</f>
        <v>Déductible</v>
      </c>
      <c r="J79" s="32" t="str">
        <f aca="false">IF(E79="","",IFERROR(INDEX(Catégories!$D$5:$D$60,MATCH(E79,Catégories!$A$5:$A$60,0)),"?"))</f>
        <v>Frais de gestion</v>
      </c>
      <c r="K79" s="33" t="n">
        <f aca="false">IF(H79="Recette",G79,IF(H79="Dépense",-G79,0))</f>
        <v>-12.39</v>
      </c>
      <c r="L79" s="33" t="n">
        <f aca="false">IF(E79="",0,G79*IFERROR(INDEX(Catégories!$E$5:$E$60,MATCH(E79,Catégories!$A$5:$A$60,0)),0))</f>
        <v>-12.39</v>
      </c>
      <c r="M79" s="30" t="s">
        <v>129</v>
      </c>
      <c r="N79" s="30" t="s">
        <v>130</v>
      </c>
      <c r="O79" s="30"/>
    </row>
    <row r="80" customFormat="false" ht="15" hidden="false" customHeight="true" outlineLevel="0" collapsed="false">
      <c r="A80" s="28" t="n">
        <v>45628</v>
      </c>
      <c r="B80" s="29" t="n">
        <f aca="false">IF(A80="","",YEAR(A80))</f>
        <v>2024</v>
      </c>
      <c r="C80" s="30" t="s">
        <v>58</v>
      </c>
      <c r="D80" s="30" t="s">
        <v>126</v>
      </c>
      <c r="E80" s="30" t="s">
        <v>139</v>
      </c>
      <c r="F80" s="30" t="s">
        <v>200</v>
      </c>
      <c r="G80" s="31" t="n">
        <v>83.7</v>
      </c>
      <c r="H80" s="32" t="str">
        <f aca="false">IF(E80="","",IFERROR(INDEX(Catégories!$B$5:$B$60,MATCH(E80,Catégories!$A$5:$A$60,0)),"?"))</f>
        <v>Recette</v>
      </c>
      <c r="I80" s="32" t="str">
        <f aca="false">IF(E80="","",IFERROR(INDEX(Catégories!$C$5:$C$60,MATCH(E80,Catégories!$A$5:$A$60,0)),"?"))</f>
        <v>Imposable</v>
      </c>
      <c r="J80" s="32" t="str">
        <f aca="false">IF(E80="","",IFERROR(INDEX(Catégories!$D$5:$D$60,MATCH(E80,Catégories!$A$5:$A$60,0)),"?"))</f>
        <v>Charges refacturées</v>
      </c>
      <c r="K80" s="33" t="n">
        <f aca="false">IF(H80="Recette",G80,IF(H80="Dépense",-G80,0))</f>
        <v>83.7</v>
      </c>
      <c r="L80" s="33" t="n">
        <f aca="false">IF(E80="",0,G80*IFERROR(INDEX(Catégories!$E$5:$E$60,MATCH(E80,Catégories!$A$5:$A$60,0)),0))</f>
        <v>83.7</v>
      </c>
      <c r="M80" s="30" t="s">
        <v>129</v>
      </c>
      <c r="N80" s="30" t="s">
        <v>130</v>
      </c>
      <c r="O80" s="30"/>
    </row>
    <row r="81" customFormat="false" ht="15" hidden="false" customHeight="true" outlineLevel="0" collapsed="false">
      <c r="A81" s="28" t="n">
        <v>45628</v>
      </c>
      <c r="B81" s="29" t="n">
        <f aca="false">IF(A81="","",YEAR(A81))</f>
        <v>2024</v>
      </c>
      <c r="C81" s="30" t="s">
        <v>58</v>
      </c>
      <c r="D81" s="30" t="s">
        <v>126</v>
      </c>
      <c r="E81" s="30" t="s">
        <v>136</v>
      </c>
      <c r="F81" s="30" t="s">
        <v>141</v>
      </c>
      <c r="G81" s="31" t="n">
        <v>5.02</v>
      </c>
      <c r="H81" s="32" t="str">
        <f aca="false">IF(E81="","",IFERROR(INDEX(Catégories!$B$5:$B$60,MATCH(E81,Catégories!$A$5:$A$60,0)),"?"))</f>
        <v>Dépense</v>
      </c>
      <c r="I81" s="32" t="str">
        <f aca="false">IF(E81="","",IFERROR(INDEX(Catégories!$C$5:$C$60,MATCH(E81,Catégories!$A$5:$A$60,0)),"?"))</f>
        <v>Déductible</v>
      </c>
      <c r="J81" s="32" t="str">
        <f aca="false">IF(E81="","",IFERROR(INDEX(Catégories!$D$5:$D$60,MATCH(E81,Catégories!$A$5:$A$60,0)),"?"))</f>
        <v>Frais de gestion</v>
      </c>
      <c r="K81" s="33" t="n">
        <f aca="false">IF(H81="Recette",G81,IF(H81="Dépense",-G81,0))</f>
        <v>-5.02</v>
      </c>
      <c r="L81" s="33" t="n">
        <f aca="false">IF(E81="",0,G81*IFERROR(INDEX(Catégories!$E$5:$E$60,MATCH(E81,Catégories!$A$5:$A$60,0)),0))</f>
        <v>-5.02</v>
      </c>
      <c r="M81" s="30" t="s">
        <v>129</v>
      </c>
      <c r="N81" s="30" t="s">
        <v>130</v>
      </c>
      <c r="O81" s="30"/>
    </row>
    <row r="82" customFormat="false" ht="15" hidden="false" customHeight="true" outlineLevel="0" collapsed="false">
      <c r="A82" s="28" t="n">
        <v>45628</v>
      </c>
      <c r="B82" s="29" t="n">
        <f aca="false">IF(A82="","",YEAR(A82))</f>
        <v>2024</v>
      </c>
      <c r="C82" s="30" t="s">
        <v>58</v>
      </c>
      <c r="D82" s="30" t="s">
        <v>126</v>
      </c>
      <c r="E82" s="30" t="s">
        <v>136</v>
      </c>
      <c r="F82" s="30" t="s">
        <v>142</v>
      </c>
      <c r="G82" s="31" t="n">
        <v>1</v>
      </c>
      <c r="H82" s="32" t="str">
        <f aca="false">IF(E82="","",IFERROR(INDEX(Catégories!$B$5:$B$60,MATCH(E82,Catégories!$A$5:$A$60,0)),"?"))</f>
        <v>Dépense</v>
      </c>
      <c r="I82" s="32" t="str">
        <f aca="false">IF(E82="","",IFERROR(INDEX(Catégories!$C$5:$C$60,MATCH(E82,Catégories!$A$5:$A$60,0)),"?"))</f>
        <v>Déductible</v>
      </c>
      <c r="J82" s="32" t="str">
        <f aca="false">IF(E82="","",IFERROR(INDEX(Catégories!$D$5:$D$60,MATCH(E82,Catégories!$A$5:$A$60,0)),"?"))</f>
        <v>Frais de gestion</v>
      </c>
      <c r="K82" s="33" t="n">
        <f aca="false">IF(H82="Recette",G82,IF(H82="Dépense",-G82,0))</f>
        <v>-1</v>
      </c>
      <c r="L82" s="33" t="n">
        <f aca="false">IF(E82="",0,G82*IFERROR(INDEX(Catégories!$E$5:$E$60,MATCH(E82,Catégories!$A$5:$A$60,0)),0))</f>
        <v>-1</v>
      </c>
      <c r="M82" s="30" t="s">
        <v>129</v>
      </c>
      <c r="N82" s="30" t="s">
        <v>130</v>
      </c>
      <c r="O82" s="30"/>
    </row>
    <row r="83" customFormat="false" ht="15" hidden="false" customHeight="true" outlineLevel="0" collapsed="false">
      <c r="A83" s="28" t="n">
        <v>45630</v>
      </c>
      <c r="B83" s="29" t="n">
        <f aca="false">IF(A83="","",YEAR(A83))</f>
        <v>2024</v>
      </c>
      <c r="C83" s="30" t="s">
        <v>58</v>
      </c>
      <c r="D83" s="30" t="s">
        <v>126</v>
      </c>
      <c r="E83" s="30" t="s">
        <v>168</v>
      </c>
      <c r="F83" s="30" t="s">
        <v>169</v>
      </c>
      <c r="G83" s="31" t="n">
        <v>1035.65</v>
      </c>
      <c r="H83" s="32" t="str">
        <f aca="false">IF(E83="","",IFERROR(INDEX(Catégories!$B$5:$B$60,MATCH(E83,Catégories!$A$5:$A$60,0)),"?"))</f>
        <v>Transfert</v>
      </c>
      <c r="I83" s="32" t="str">
        <f aca="false">IF(E83="","",IFERROR(INDEX(Catégories!$C$5:$C$60,MATCH(E83,Catégories!$A$5:$A$60,0)),"?"))</f>
        <v>Non fiscal</v>
      </c>
      <c r="J83" s="32" t="str">
        <f aca="false">IF(E83="","",IFERROR(INDEX(Catégories!$D$5:$D$60,MATCH(E83,Catégories!$A$5:$A$60,0)),"?"))</f>
        <v>Mouvements internes</v>
      </c>
      <c r="K83" s="33" t="n">
        <f aca="false">IF(H83="Recette",G83,IF(H83="Dépense",-G83,0))</f>
        <v>0</v>
      </c>
      <c r="L83" s="33" t="n">
        <f aca="false">IF(E83="",0,G83*IFERROR(INDEX(Catégories!$E$5:$E$60,MATCH(E83,Catégories!$A$5:$A$60,0)),0))</f>
        <v>-1035.65</v>
      </c>
      <c r="M83" s="30" t="s">
        <v>129</v>
      </c>
      <c r="N83" s="30" t="s">
        <v>130</v>
      </c>
      <c r="O83" s="30"/>
    </row>
    <row r="84" customFormat="false" ht="15" hidden="false" customHeight="true" outlineLevel="0" collapsed="false">
      <c r="A84" s="28" t="n">
        <v>45650</v>
      </c>
      <c r="B84" s="29" t="n">
        <f aca="false">IF(A84="","",YEAR(A84))</f>
        <v>2024</v>
      </c>
      <c r="C84" s="30" t="s">
        <v>58</v>
      </c>
      <c r="D84" s="30" t="s">
        <v>148</v>
      </c>
      <c r="E84" s="30" t="s">
        <v>180</v>
      </c>
      <c r="F84" s="30" t="s">
        <v>181</v>
      </c>
      <c r="G84" s="31" t="n">
        <v>360</v>
      </c>
      <c r="H84" s="32" t="str">
        <f aca="false">IF(E84="","",IFERROR(INDEX(Catégories!$B$5:$B$60,MATCH(E84,Catégories!$A$5:$A$60,0)),"?"))</f>
        <v>Dépense</v>
      </c>
      <c r="I84" s="32" t="str">
        <f aca="false">IF(E84="","",IFERROR(INDEX(Catégories!$C$5:$C$60,MATCH(E84,Catégories!$A$5:$A$60,0)),"?"))</f>
        <v>Déductible</v>
      </c>
      <c r="J84" s="32" t="str">
        <f aca="false">IF(E84="","",IFERROR(INDEX(Catégories!$D$5:$D$60,MATCH(E84,Catégories!$A$5:$A$60,0)),"?"))</f>
        <v>Copropriété</v>
      </c>
      <c r="K84" s="33" t="n">
        <f aca="false">IF(H84="Recette",G84,IF(H84="Dépense",-G84,0))</f>
        <v>-360</v>
      </c>
      <c r="L84" s="33" t="n">
        <f aca="false">IF(E84="",0,G84*IFERROR(INDEX(Catégories!$E$5:$E$60,MATCH(E84,Catégories!$A$5:$A$60,0)),0))</f>
        <v>-360</v>
      </c>
      <c r="M84" s="30" t="s">
        <v>201</v>
      </c>
      <c r="N84" s="30" t="s">
        <v>151</v>
      </c>
      <c r="O84" s="30" t="s">
        <v>202</v>
      </c>
    </row>
    <row r="85" customFormat="false" ht="15" hidden="false" customHeight="true" outlineLevel="0" collapsed="false">
      <c r="A85" s="28" t="n">
        <v>45657</v>
      </c>
      <c r="B85" s="29" t="n">
        <f aca="false">IF(A85="","",YEAR(A85))</f>
        <v>2024</v>
      </c>
      <c r="C85" s="30" t="s">
        <v>58</v>
      </c>
      <c r="D85" s="30" t="s">
        <v>203</v>
      </c>
      <c r="E85" s="30" t="s">
        <v>204</v>
      </c>
      <c r="F85" s="30" t="s">
        <v>205</v>
      </c>
      <c r="G85" s="31" t="n">
        <v>105.8</v>
      </c>
      <c r="H85" s="32" t="str">
        <f aca="false">IF(E85="","",IFERROR(INDEX(Catégories!$B$5:$B$60,MATCH(E85,Catégories!$A$5:$A$60,0)),"?"))</f>
        <v>Dépense</v>
      </c>
      <c r="I85" s="32" t="str">
        <f aca="false">IF(E85="","",IFERROR(INDEX(Catégories!$C$5:$C$60,MATCH(E85,Catégories!$A$5:$A$60,0)),"?"))</f>
        <v>Déductible</v>
      </c>
      <c r="J85" s="32" t="str">
        <f aca="false">IF(E85="","",IFERROR(INDEX(Catégories!$D$5:$D$60,MATCH(E85,Catégories!$A$5:$A$60,0)),"?"))</f>
        <v>Assurances</v>
      </c>
      <c r="K85" s="33" t="n">
        <f aca="false">IF(H85="Recette",G85,IF(H85="Dépense",-G85,0))</f>
        <v>-105.8</v>
      </c>
      <c r="L85" s="33" t="n">
        <f aca="false">IF(E85="",0,G85*IFERROR(INDEX(Catégories!$E$5:$E$60,MATCH(E85,Catégories!$A$5:$A$60,0)),0))</f>
        <v>-105.8</v>
      </c>
      <c r="M85" s="30" t="s">
        <v>206</v>
      </c>
      <c r="N85" s="30" t="s">
        <v>207</v>
      </c>
      <c r="O85" s="30" t="s">
        <v>208</v>
      </c>
    </row>
    <row r="86" customFormat="false" ht="15" hidden="false" customHeight="true" outlineLevel="0" collapsed="false">
      <c r="A86" s="28" t="n">
        <v>45659</v>
      </c>
      <c r="B86" s="29" t="n">
        <f aca="false">IF(A86="","",YEAR(A86))</f>
        <v>2025</v>
      </c>
      <c r="C86" s="30" t="s">
        <v>58</v>
      </c>
      <c r="D86" s="30" t="s">
        <v>126</v>
      </c>
      <c r="E86" s="30" t="s">
        <v>134</v>
      </c>
      <c r="F86" s="30" t="s">
        <v>209</v>
      </c>
      <c r="G86" s="31" t="n">
        <v>1032.3</v>
      </c>
      <c r="H86" s="32" t="str">
        <f aca="false">IF(E86="","",IFERROR(INDEX(Catégories!$B$5:$B$60,MATCH(E86,Catégories!$A$5:$A$60,0)),"?"))</f>
        <v>Recette</v>
      </c>
      <c r="I86" s="32" t="str">
        <f aca="false">IF(E86="","",IFERROR(INDEX(Catégories!$C$5:$C$60,MATCH(E86,Catégories!$A$5:$A$60,0)),"?"))</f>
        <v>Imposable</v>
      </c>
      <c r="J86" s="32" t="str">
        <f aca="false">IF(E86="","",IFERROR(INDEX(Catégories!$D$5:$D$60,MATCH(E86,Catégories!$A$5:$A$60,0)),"?"))</f>
        <v>Loyers</v>
      </c>
      <c r="K86" s="33" t="n">
        <f aca="false">IF(H86="Recette",G86,IF(H86="Dépense",-G86,0))</f>
        <v>1032.3</v>
      </c>
      <c r="L86" s="33" t="n">
        <f aca="false">IF(E86="",0,G86*IFERROR(INDEX(Catégories!$E$5:$E$60,MATCH(E86,Catégories!$A$5:$A$60,0)),0))</f>
        <v>1032.3</v>
      </c>
      <c r="M86" s="30" t="s">
        <v>129</v>
      </c>
      <c r="N86" s="30" t="s">
        <v>130</v>
      </c>
      <c r="O86" s="30"/>
    </row>
    <row r="87" customFormat="false" ht="15" hidden="false" customHeight="true" outlineLevel="0" collapsed="false">
      <c r="A87" s="28" t="n">
        <v>45659</v>
      </c>
      <c r="B87" s="29" t="n">
        <f aca="false">IF(A87="","",YEAR(A87))</f>
        <v>2025</v>
      </c>
      <c r="C87" s="30" t="s">
        <v>58</v>
      </c>
      <c r="D87" s="30" t="s">
        <v>126</v>
      </c>
      <c r="E87" s="30" t="s">
        <v>136</v>
      </c>
      <c r="F87" s="30" t="s">
        <v>137</v>
      </c>
      <c r="G87" s="31" t="n">
        <v>61.94</v>
      </c>
      <c r="H87" s="32" t="str">
        <f aca="false">IF(E87="","",IFERROR(INDEX(Catégories!$B$5:$B$60,MATCH(E87,Catégories!$A$5:$A$60,0)),"?"))</f>
        <v>Dépense</v>
      </c>
      <c r="I87" s="32" t="str">
        <f aca="false">IF(E87="","",IFERROR(INDEX(Catégories!$C$5:$C$60,MATCH(E87,Catégories!$A$5:$A$60,0)),"?"))</f>
        <v>Déductible</v>
      </c>
      <c r="J87" s="32" t="str">
        <f aca="false">IF(E87="","",IFERROR(INDEX(Catégories!$D$5:$D$60,MATCH(E87,Catégories!$A$5:$A$60,0)),"?"))</f>
        <v>Frais de gestion</v>
      </c>
      <c r="K87" s="33" t="n">
        <f aca="false">IF(H87="Recette",G87,IF(H87="Dépense",-G87,0))</f>
        <v>-61.94</v>
      </c>
      <c r="L87" s="33" t="n">
        <f aca="false">IF(E87="",0,G87*IFERROR(INDEX(Catégories!$E$5:$E$60,MATCH(E87,Catégories!$A$5:$A$60,0)),0))</f>
        <v>-61.94</v>
      </c>
      <c r="M87" s="30" t="s">
        <v>129</v>
      </c>
      <c r="N87" s="30" t="s">
        <v>130</v>
      </c>
      <c r="O87" s="30"/>
    </row>
    <row r="88" customFormat="false" ht="15" hidden="false" customHeight="true" outlineLevel="0" collapsed="false">
      <c r="A88" s="28" t="n">
        <v>45659</v>
      </c>
      <c r="B88" s="29" t="n">
        <f aca="false">IF(A88="","",YEAR(A88))</f>
        <v>2025</v>
      </c>
      <c r="C88" s="30" t="s">
        <v>58</v>
      </c>
      <c r="D88" s="30" t="s">
        <v>126</v>
      </c>
      <c r="E88" s="30" t="s">
        <v>136</v>
      </c>
      <c r="F88" s="30" t="s">
        <v>138</v>
      </c>
      <c r="G88" s="31" t="n">
        <v>12.39</v>
      </c>
      <c r="H88" s="32" t="str">
        <f aca="false">IF(E88="","",IFERROR(INDEX(Catégories!$B$5:$B$60,MATCH(E88,Catégories!$A$5:$A$60,0)),"?"))</f>
        <v>Dépense</v>
      </c>
      <c r="I88" s="32" t="str">
        <f aca="false">IF(E88="","",IFERROR(INDEX(Catégories!$C$5:$C$60,MATCH(E88,Catégories!$A$5:$A$60,0)),"?"))</f>
        <v>Déductible</v>
      </c>
      <c r="J88" s="32" t="str">
        <f aca="false">IF(E88="","",IFERROR(INDEX(Catégories!$D$5:$D$60,MATCH(E88,Catégories!$A$5:$A$60,0)),"?"))</f>
        <v>Frais de gestion</v>
      </c>
      <c r="K88" s="33" t="n">
        <f aca="false">IF(H88="Recette",G88,IF(H88="Dépense",-G88,0))</f>
        <v>-12.39</v>
      </c>
      <c r="L88" s="33" t="n">
        <f aca="false">IF(E88="",0,G88*IFERROR(INDEX(Catégories!$E$5:$E$60,MATCH(E88,Catégories!$A$5:$A$60,0)),0))</f>
        <v>-12.39</v>
      </c>
      <c r="M88" s="30" t="s">
        <v>129</v>
      </c>
      <c r="N88" s="30" t="s">
        <v>130</v>
      </c>
      <c r="O88" s="30"/>
    </row>
    <row r="89" customFormat="false" ht="15" hidden="false" customHeight="true" outlineLevel="0" collapsed="false">
      <c r="A89" s="28" t="n">
        <v>45659</v>
      </c>
      <c r="B89" s="29" t="n">
        <f aca="false">IF(A89="","",YEAR(A89))</f>
        <v>2025</v>
      </c>
      <c r="C89" s="30" t="s">
        <v>58</v>
      </c>
      <c r="D89" s="30" t="s">
        <v>126</v>
      </c>
      <c r="E89" s="30" t="s">
        <v>139</v>
      </c>
      <c r="F89" s="30" t="s">
        <v>210</v>
      </c>
      <c r="G89" s="31" t="n">
        <v>83.7</v>
      </c>
      <c r="H89" s="32" t="str">
        <f aca="false">IF(E89="","",IFERROR(INDEX(Catégories!$B$5:$B$60,MATCH(E89,Catégories!$A$5:$A$60,0)),"?"))</f>
        <v>Recette</v>
      </c>
      <c r="I89" s="32" t="str">
        <f aca="false">IF(E89="","",IFERROR(INDEX(Catégories!$C$5:$C$60,MATCH(E89,Catégories!$A$5:$A$60,0)),"?"))</f>
        <v>Imposable</v>
      </c>
      <c r="J89" s="32" t="str">
        <f aca="false">IF(E89="","",IFERROR(INDEX(Catégories!$D$5:$D$60,MATCH(E89,Catégories!$A$5:$A$60,0)),"?"))</f>
        <v>Charges refacturées</v>
      </c>
      <c r="K89" s="33" t="n">
        <f aca="false">IF(H89="Recette",G89,IF(H89="Dépense",-G89,0))</f>
        <v>83.7</v>
      </c>
      <c r="L89" s="33" t="n">
        <f aca="false">IF(E89="",0,G89*IFERROR(INDEX(Catégories!$E$5:$E$60,MATCH(E89,Catégories!$A$5:$A$60,0)),0))</f>
        <v>83.7</v>
      </c>
      <c r="M89" s="30" t="s">
        <v>129</v>
      </c>
      <c r="N89" s="30" t="s">
        <v>130</v>
      </c>
      <c r="O89" s="30"/>
    </row>
    <row r="90" customFormat="false" ht="15" hidden="false" customHeight="true" outlineLevel="0" collapsed="false">
      <c r="A90" s="28" t="n">
        <v>45659</v>
      </c>
      <c r="B90" s="29" t="n">
        <f aca="false">IF(A90="","",YEAR(A90))</f>
        <v>2025</v>
      </c>
      <c r="C90" s="30" t="s">
        <v>58</v>
      </c>
      <c r="D90" s="30" t="s">
        <v>126</v>
      </c>
      <c r="E90" s="30" t="s">
        <v>136</v>
      </c>
      <c r="F90" s="30" t="s">
        <v>141</v>
      </c>
      <c r="G90" s="31" t="n">
        <v>5.02</v>
      </c>
      <c r="H90" s="32" t="str">
        <f aca="false">IF(E90="","",IFERROR(INDEX(Catégories!$B$5:$B$60,MATCH(E90,Catégories!$A$5:$A$60,0)),"?"))</f>
        <v>Dépense</v>
      </c>
      <c r="I90" s="32" t="str">
        <f aca="false">IF(E90="","",IFERROR(INDEX(Catégories!$C$5:$C$60,MATCH(E90,Catégories!$A$5:$A$60,0)),"?"))</f>
        <v>Déductible</v>
      </c>
      <c r="J90" s="32" t="str">
        <f aca="false">IF(E90="","",IFERROR(INDEX(Catégories!$D$5:$D$60,MATCH(E90,Catégories!$A$5:$A$60,0)),"?"))</f>
        <v>Frais de gestion</v>
      </c>
      <c r="K90" s="33" t="n">
        <f aca="false">IF(H90="Recette",G90,IF(H90="Dépense",-G90,0))</f>
        <v>-5.02</v>
      </c>
      <c r="L90" s="33" t="n">
        <f aca="false">IF(E90="",0,G90*IFERROR(INDEX(Catégories!$E$5:$E$60,MATCH(E90,Catégories!$A$5:$A$60,0)),0))</f>
        <v>-5.02</v>
      </c>
      <c r="M90" s="30" t="s">
        <v>129</v>
      </c>
      <c r="N90" s="30" t="s">
        <v>130</v>
      </c>
      <c r="O90" s="30"/>
    </row>
    <row r="91" customFormat="false" ht="15" hidden="false" customHeight="true" outlineLevel="0" collapsed="false">
      <c r="A91" s="28" t="n">
        <v>45659</v>
      </c>
      <c r="B91" s="29" t="n">
        <f aca="false">IF(A91="","",YEAR(A91))</f>
        <v>2025</v>
      </c>
      <c r="C91" s="30" t="s">
        <v>58</v>
      </c>
      <c r="D91" s="30" t="s">
        <v>126</v>
      </c>
      <c r="E91" s="30" t="s">
        <v>136</v>
      </c>
      <c r="F91" s="30" t="s">
        <v>142</v>
      </c>
      <c r="G91" s="31" t="n">
        <v>1</v>
      </c>
      <c r="H91" s="32" t="str">
        <f aca="false">IF(E91="","",IFERROR(INDEX(Catégories!$B$5:$B$60,MATCH(E91,Catégories!$A$5:$A$60,0)),"?"))</f>
        <v>Dépense</v>
      </c>
      <c r="I91" s="32" t="str">
        <f aca="false">IF(E91="","",IFERROR(INDEX(Catégories!$C$5:$C$60,MATCH(E91,Catégories!$A$5:$A$60,0)),"?"))</f>
        <v>Déductible</v>
      </c>
      <c r="J91" s="32" t="str">
        <f aca="false">IF(E91="","",IFERROR(INDEX(Catégories!$D$5:$D$60,MATCH(E91,Catégories!$A$5:$A$60,0)),"?"))</f>
        <v>Frais de gestion</v>
      </c>
      <c r="K91" s="33" t="n">
        <f aca="false">IF(H91="Recette",G91,IF(H91="Dépense",-G91,0))</f>
        <v>-1</v>
      </c>
      <c r="L91" s="33" t="n">
        <f aca="false">IF(E91="",0,G91*IFERROR(INDEX(Catégories!$E$5:$E$60,MATCH(E91,Catégories!$A$5:$A$60,0)),0))</f>
        <v>-1</v>
      </c>
      <c r="M91" s="30" t="s">
        <v>129</v>
      </c>
      <c r="N91" s="30" t="s">
        <v>130</v>
      </c>
      <c r="O91" s="30"/>
    </row>
    <row r="92" customFormat="false" ht="15" hidden="false" customHeight="true" outlineLevel="0" collapsed="false">
      <c r="A92" s="28" t="n">
        <v>45659</v>
      </c>
      <c r="B92" s="29" t="n">
        <f aca="false">IF(A92="","",YEAR(A92))</f>
        <v>2025</v>
      </c>
      <c r="C92" s="30" t="s">
        <v>58</v>
      </c>
      <c r="D92" s="30" t="s">
        <v>126</v>
      </c>
      <c r="E92" s="30" t="s">
        <v>168</v>
      </c>
      <c r="F92" s="30" t="s">
        <v>169</v>
      </c>
      <c r="G92" s="31" t="n">
        <v>1035.65</v>
      </c>
      <c r="H92" s="32" t="str">
        <f aca="false">IF(E92="","",IFERROR(INDEX(Catégories!$B$5:$B$60,MATCH(E92,Catégories!$A$5:$A$60,0)),"?"))</f>
        <v>Transfert</v>
      </c>
      <c r="I92" s="32" t="str">
        <f aca="false">IF(E92="","",IFERROR(INDEX(Catégories!$C$5:$C$60,MATCH(E92,Catégories!$A$5:$A$60,0)),"?"))</f>
        <v>Non fiscal</v>
      </c>
      <c r="J92" s="32" t="str">
        <f aca="false">IF(E92="","",IFERROR(INDEX(Catégories!$D$5:$D$60,MATCH(E92,Catégories!$A$5:$A$60,0)),"?"))</f>
        <v>Mouvements internes</v>
      </c>
      <c r="K92" s="33" t="n">
        <f aca="false">IF(H92="Recette",G92,IF(H92="Dépense",-G92,0))</f>
        <v>0</v>
      </c>
      <c r="L92" s="33" t="n">
        <f aca="false">IF(E92="",0,G92*IFERROR(INDEX(Catégories!$E$5:$E$60,MATCH(E92,Catégories!$A$5:$A$60,0)),0))</f>
        <v>-1035.65</v>
      </c>
      <c r="M92" s="30" t="s">
        <v>129</v>
      </c>
      <c r="N92" s="30" t="s">
        <v>130</v>
      </c>
      <c r="O92" s="30"/>
    </row>
    <row r="93" customFormat="false" ht="15" hidden="false" customHeight="true" outlineLevel="0" collapsed="false">
      <c r="A93" s="28" t="n">
        <v>45665</v>
      </c>
      <c r="B93" s="29" t="n">
        <f aca="false">IF(A93="","",YEAR(A93))</f>
        <v>2025</v>
      </c>
      <c r="C93" s="30" t="s">
        <v>58</v>
      </c>
      <c r="D93" s="30" t="s">
        <v>148</v>
      </c>
      <c r="E93" s="30" t="s">
        <v>180</v>
      </c>
      <c r="F93" s="30" t="s">
        <v>211</v>
      </c>
      <c r="G93" s="31" t="n">
        <v>769.08</v>
      </c>
      <c r="H93" s="32" t="str">
        <f aca="false">IF(E93="","",IFERROR(INDEX(Catégories!$B$5:$B$60,MATCH(E93,Catégories!$A$5:$A$60,0)),"?"))</f>
        <v>Dépense</v>
      </c>
      <c r="I93" s="32" t="str">
        <f aca="false">IF(E93="","",IFERROR(INDEX(Catégories!$C$5:$C$60,MATCH(E93,Catégories!$A$5:$A$60,0)),"?"))</f>
        <v>Déductible</v>
      </c>
      <c r="J93" s="32" t="str">
        <f aca="false">IF(E93="","",IFERROR(INDEX(Catégories!$D$5:$D$60,MATCH(E93,Catégories!$A$5:$A$60,0)),"?"))</f>
        <v>Copropriété</v>
      </c>
      <c r="K93" s="33" t="n">
        <f aca="false">IF(H93="Recette",G93,IF(H93="Dépense",-G93,0))</f>
        <v>-769.08</v>
      </c>
      <c r="L93" s="33" t="n">
        <f aca="false">IF(E93="",0,G93*IFERROR(INDEX(Catégories!$E$5:$E$60,MATCH(E93,Catégories!$A$5:$A$60,0)),0))</f>
        <v>-769.08</v>
      </c>
      <c r="M93" s="30" t="s">
        <v>212</v>
      </c>
      <c r="N93" s="30" t="s">
        <v>151</v>
      </c>
      <c r="O93" s="30"/>
    </row>
    <row r="94" customFormat="false" ht="15" hidden="false" customHeight="true" outlineLevel="0" collapsed="false">
      <c r="A94" s="28" t="n">
        <v>45691</v>
      </c>
      <c r="B94" s="29" t="n">
        <f aca="false">IF(A94="","",YEAR(A94))</f>
        <v>2025</v>
      </c>
      <c r="C94" s="30" t="s">
        <v>58</v>
      </c>
      <c r="D94" s="30" t="s">
        <v>126</v>
      </c>
      <c r="E94" s="30" t="s">
        <v>134</v>
      </c>
      <c r="F94" s="30" t="s">
        <v>213</v>
      </c>
      <c r="G94" s="31" t="n">
        <v>1032.3</v>
      </c>
      <c r="H94" s="32" t="str">
        <f aca="false">IF(E94="","",IFERROR(INDEX(Catégories!$B$5:$B$60,MATCH(E94,Catégories!$A$5:$A$60,0)),"?"))</f>
        <v>Recette</v>
      </c>
      <c r="I94" s="32" t="str">
        <f aca="false">IF(E94="","",IFERROR(INDEX(Catégories!$C$5:$C$60,MATCH(E94,Catégories!$A$5:$A$60,0)),"?"))</f>
        <v>Imposable</v>
      </c>
      <c r="J94" s="32" t="str">
        <f aca="false">IF(E94="","",IFERROR(INDEX(Catégories!$D$5:$D$60,MATCH(E94,Catégories!$A$5:$A$60,0)),"?"))</f>
        <v>Loyers</v>
      </c>
      <c r="K94" s="33" t="n">
        <f aca="false">IF(H94="Recette",G94,IF(H94="Dépense",-G94,0))</f>
        <v>1032.3</v>
      </c>
      <c r="L94" s="33" t="n">
        <f aca="false">IF(E94="",0,G94*IFERROR(INDEX(Catégories!$E$5:$E$60,MATCH(E94,Catégories!$A$5:$A$60,0)),0))</f>
        <v>1032.3</v>
      </c>
      <c r="M94" s="30" t="s">
        <v>129</v>
      </c>
      <c r="N94" s="30" t="s">
        <v>130</v>
      </c>
      <c r="O94" s="30"/>
    </row>
    <row r="95" customFormat="false" ht="15" hidden="false" customHeight="true" outlineLevel="0" collapsed="false">
      <c r="A95" s="28" t="n">
        <v>45691</v>
      </c>
      <c r="B95" s="29" t="n">
        <f aca="false">IF(A95="","",YEAR(A95))</f>
        <v>2025</v>
      </c>
      <c r="C95" s="30" t="s">
        <v>58</v>
      </c>
      <c r="D95" s="30" t="s">
        <v>126</v>
      </c>
      <c r="E95" s="30" t="s">
        <v>136</v>
      </c>
      <c r="F95" s="30" t="s">
        <v>137</v>
      </c>
      <c r="G95" s="31" t="n">
        <v>61.94</v>
      </c>
      <c r="H95" s="32" t="str">
        <f aca="false">IF(E95="","",IFERROR(INDEX(Catégories!$B$5:$B$60,MATCH(E95,Catégories!$A$5:$A$60,0)),"?"))</f>
        <v>Dépense</v>
      </c>
      <c r="I95" s="32" t="str">
        <f aca="false">IF(E95="","",IFERROR(INDEX(Catégories!$C$5:$C$60,MATCH(E95,Catégories!$A$5:$A$60,0)),"?"))</f>
        <v>Déductible</v>
      </c>
      <c r="J95" s="32" t="str">
        <f aca="false">IF(E95="","",IFERROR(INDEX(Catégories!$D$5:$D$60,MATCH(E95,Catégories!$A$5:$A$60,0)),"?"))</f>
        <v>Frais de gestion</v>
      </c>
      <c r="K95" s="33" t="n">
        <f aca="false">IF(H95="Recette",G95,IF(H95="Dépense",-G95,0))</f>
        <v>-61.94</v>
      </c>
      <c r="L95" s="33" t="n">
        <f aca="false">IF(E95="",0,G95*IFERROR(INDEX(Catégories!$E$5:$E$60,MATCH(E95,Catégories!$A$5:$A$60,0)),0))</f>
        <v>-61.94</v>
      </c>
      <c r="M95" s="30" t="s">
        <v>129</v>
      </c>
      <c r="N95" s="30" t="s">
        <v>130</v>
      </c>
      <c r="O95" s="30"/>
    </row>
    <row r="96" customFormat="false" ht="15" hidden="false" customHeight="true" outlineLevel="0" collapsed="false">
      <c r="A96" s="28" t="n">
        <v>45691</v>
      </c>
      <c r="B96" s="29" t="n">
        <f aca="false">IF(A96="","",YEAR(A96))</f>
        <v>2025</v>
      </c>
      <c r="C96" s="30" t="s">
        <v>58</v>
      </c>
      <c r="D96" s="30" t="s">
        <v>126</v>
      </c>
      <c r="E96" s="30" t="s">
        <v>136</v>
      </c>
      <c r="F96" s="30" t="s">
        <v>138</v>
      </c>
      <c r="G96" s="31" t="n">
        <v>12.39</v>
      </c>
      <c r="H96" s="32" t="str">
        <f aca="false">IF(E96="","",IFERROR(INDEX(Catégories!$B$5:$B$60,MATCH(E96,Catégories!$A$5:$A$60,0)),"?"))</f>
        <v>Dépense</v>
      </c>
      <c r="I96" s="32" t="str">
        <f aca="false">IF(E96="","",IFERROR(INDEX(Catégories!$C$5:$C$60,MATCH(E96,Catégories!$A$5:$A$60,0)),"?"))</f>
        <v>Déductible</v>
      </c>
      <c r="J96" s="32" t="str">
        <f aca="false">IF(E96="","",IFERROR(INDEX(Catégories!$D$5:$D$60,MATCH(E96,Catégories!$A$5:$A$60,0)),"?"))</f>
        <v>Frais de gestion</v>
      </c>
      <c r="K96" s="33" t="n">
        <f aca="false">IF(H96="Recette",G96,IF(H96="Dépense",-G96,0))</f>
        <v>-12.39</v>
      </c>
      <c r="L96" s="33" t="n">
        <f aca="false">IF(E96="",0,G96*IFERROR(INDEX(Catégories!$E$5:$E$60,MATCH(E96,Catégories!$A$5:$A$60,0)),0))</f>
        <v>-12.39</v>
      </c>
      <c r="M96" s="30" t="s">
        <v>129</v>
      </c>
      <c r="N96" s="30" t="s">
        <v>130</v>
      </c>
      <c r="O96" s="30"/>
    </row>
    <row r="97" customFormat="false" ht="15" hidden="false" customHeight="true" outlineLevel="0" collapsed="false">
      <c r="A97" s="28" t="n">
        <v>45691</v>
      </c>
      <c r="B97" s="29" t="n">
        <f aca="false">IF(A97="","",YEAR(A97))</f>
        <v>2025</v>
      </c>
      <c r="C97" s="30" t="s">
        <v>58</v>
      </c>
      <c r="D97" s="30" t="s">
        <v>126</v>
      </c>
      <c r="E97" s="30" t="s">
        <v>139</v>
      </c>
      <c r="F97" s="30" t="s">
        <v>214</v>
      </c>
      <c r="G97" s="31" t="n">
        <v>83.7</v>
      </c>
      <c r="H97" s="32" t="str">
        <f aca="false">IF(E97="","",IFERROR(INDEX(Catégories!$B$5:$B$60,MATCH(E97,Catégories!$A$5:$A$60,0)),"?"))</f>
        <v>Recette</v>
      </c>
      <c r="I97" s="32" t="str">
        <f aca="false">IF(E97="","",IFERROR(INDEX(Catégories!$C$5:$C$60,MATCH(E97,Catégories!$A$5:$A$60,0)),"?"))</f>
        <v>Imposable</v>
      </c>
      <c r="J97" s="32" t="str">
        <f aca="false">IF(E97="","",IFERROR(INDEX(Catégories!$D$5:$D$60,MATCH(E97,Catégories!$A$5:$A$60,0)),"?"))</f>
        <v>Charges refacturées</v>
      </c>
      <c r="K97" s="33" t="n">
        <f aca="false">IF(H97="Recette",G97,IF(H97="Dépense",-G97,0))</f>
        <v>83.7</v>
      </c>
      <c r="L97" s="33" t="n">
        <f aca="false">IF(E97="",0,G97*IFERROR(INDEX(Catégories!$E$5:$E$60,MATCH(E97,Catégories!$A$5:$A$60,0)),0))</f>
        <v>83.7</v>
      </c>
      <c r="M97" s="30" t="s">
        <v>129</v>
      </c>
      <c r="N97" s="30" t="s">
        <v>130</v>
      </c>
      <c r="O97" s="30"/>
    </row>
    <row r="98" customFormat="false" ht="15" hidden="false" customHeight="true" outlineLevel="0" collapsed="false">
      <c r="A98" s="28" t="n">
        <v>45691</v>
      </c>
      <c r="B98" s="29" t="n">
        <f aca="false">IF(A98="","",YEAR(A98))</f>
        <v>2025</v>
      </c>
      <c r="C98" s="30" t="s">
        <v>58</v>
      </c>
      <c r="D98" s="30" t="s">
        <v>126</v>
      </c>
      <c r="E98" s="30" t="s">
        <v>136</v>
      </c>
      <c r="F98" s="30" t="s">
        <v>141</v>
      </c>
      <c r="G98" s="31" t="n">
        <v>5.02</v>
      </c>
      <c r="H98" s="32" t="str">
        <f aca="false">IF(E98="","",IFERROR(INDEX(Catégories!$B$5:$B$60,MATCH(E98,Catégories!$A$5:$A$60,0)),"?"))</f>
        <v>Dépense</v>
      </c>
      <c r="I98" s="32" t="str">
        <f aca="false">IF(E98="","",IFERROR(INDEX(Catégories!$C$5:$C$60,MATCH(E98,Catégories!$A$5:$A$60,0)),"?"))</f>
        <v>Déductible</v>
      </c>
      <c r="J98" s="32" t="str">
        <f aca="false">IF(E98="","",IFERROR(INDEX(Catégories!$D$5:$D$60,MATCH(E98,Catégories!$A$5:$A$60,0)),"?"))</f>
        <v>Frais de gestion</v>
      </c>
      <c r="K98" s="33" t="n">
        <f aca="false">IF(H98="Recette",G98,IF(H98="Dépense",-G98,0))</f>
        <v>-5.02</v>
      </c>
      <c r="L98" s="33" t="n">
        <f aca="false">IF(E98="",0,G98*IFERROR(INDEX(Catégories!$E$5:$E$60,MATCH(E98,Catégories!$A$5:$A$60,0)),0))</f>
        <v>-5.02</v>
      </c>
      <c r="M98" s="30" t="s">
        <v>129</v>
      </c>
      <c r="N98" s="30" t="s">
        <v>130</v>
      </c>
      <c r="O98" s="30"/>
    </row>
    <row r="99" customFormat="false" ht="15" hidden="false" customHeight="true" outlineLevel="0" collapsed="false">
      <c r="A99" s="28" t="n">
        <v>45691</v>
      </c>
      <c r="B99" s="29" t="n">
        <f aca="false">IF(A99="","",YEAR(A99))</f>
        <v>2025</v>
      </c>
      <c r="C99" s="30" t="s">
        <v>58</v>
      </c>
      <c r="D99" s="30" t="s">
        <v>126</v>
      </c>
      <c r="E99" s="30" t="s">
        <v>136</v>
      </c>
      <c r="F99" s="30" t="s">
        <v>142</v>
      </c>
      <c r="G99" s="31" t="n">
        <v>1</v>
      </c>
      <c r="H99" s="32" t="str">
        <f aca="false">IF(E99="","",IFERROR(INDEX(Catégories!$B$5:$B$60,MATCH(E99,Catégories!$A$5:$A$60,0)),"?"))</f>
        <v>Dépense</v>
      </c>
      <c r="I99" s="32" t="str">
        <f aca="false">IF(E99="","",IFERROR(INDEX(Catégories!$C$5:$C$60,MATCH(E99,Catégories!$A$5:$A$60,0)),"?"))</f>
        <v>Déductible</v>
      </c>
      <c r="J99" s="32" t="str">
        <f aca="false">IF(E99="","",IFERROR(INDEX(Catégories!$D$5:$D$60,MATCH(E99,Catégories!$A$5:$A$60,0)),"?"))</f>
        <v>Frais de gestion</v>
      </c>
      <c r="K99" s="33" t="n">
        <f aca="false">IF(H99="Recette",G99,IF(H99="Dépense",-G99,0))</f>
        <v>-1</v>
      </c>
      <c r="L99" s="33" t="n">
        <f aca="false">IF(E99="",0,G99*IFERROR(INDEX(Catégories!$E$5:$E$60,MATCH(E99,Catégories!$A$5:$A$60,0)),0))</f>
        <v>-1</v>
      </c>
      <c r="M99" s="30" t="s">
        <v>129</v>
      </c>
      <c r="N99" s="30" t="s">
        <v>130</v>
      </c>
      <c r="O99" s="30"/>
    </row>
    <row r="100" customFormat="false" ht="15" hidden="false" customHeight="true" outlineLevel="0" collapsed="false">
      <c r="A100" s="28" t="n">
        <v>45692</v>
      </c>
      <c r="B100" s="29" t="n">
        <f aca="false">IF(A100="","",YEAR(A100))</f>
        <v>2025</v>
      </c>
      <c r="C100" s="30" t="s">
        <v>58</v>
      </c>
      <c r="D100" s="30" t="s">
        <v>126</v>
      </c>
      <c r="E100" s="30" t="s">
        <v>168</v>
      </c>
      <c r="F100" s="30" t="s">
        <v>169</v>
      </c>
      <c r="G100" s="31" t="n">
        <v>1035.65</v>
      </c>
      <c r="H100" s="32" t="str">
        <f aca="false">IF(E100="","",IFERROR(INDEX(Catégories!$B$5:$B$60,MATCH(E100,Catégories!$A$5:$A$60,0)),"?"))</f>
        <v>Transfert</v>
      </c>
      <c r="I100" s="32" t="str">
        <f aca="false">IF(E100="","",IFERROR(INDEX(Catégories!$C$5:$C$60,MATCH(E100,Catégories!$A$5:$A$60,0)),"?"))</f>
        <v>Non fiscal</v>
      </c>
      <c r="J100" s="32" t="str">
        <f aca="false">IF(E100="","",IFERROR(INDEX(Catégories!$D$5:$D$60,MATCH(E100,Catégories!$A$5:$A$60,0)),"?"))</f>
        <v>Mouvements internes</v>
      </c>
      <c r="K100" s="33" t="n">
        <f aca="false">IF(H100="Recette",G100,IF(H100="Dépense",-G100,0))</f>
        <v>0</v>
      </c>
      <c r="L100" s="33" t="n">
        <f aca="false">IF(E100="",0,G100*IFERROR(INDEX(Catégories!$E$5:$E$60,MATCH(E100,Catégories!$A$5:$A$60,0)),0))</f>
        <v>-1035.65</v>
      </c>
      <c r="M100" s="30" t="s">
        <v>129</v>
      </c>
      <c r="N100" s="30" t="s">
        <v>130</v>
      </c>
      <c r="O100" s="30"/>
    </row>
    <row r="101" customFormat="false" ht="15" hidden="false" customHeight="true" outlineLevel="0" collapsed="false">
      <c r="A101" s="28" t="n">
        <v>45719</v>
      </c>
      <c r="B101" s="29" t="n">
        <f aca="false">IF(A101="","",YEAR(A101))</f>
        <v>2025</v>
      </c>
      <c r="C101" s="30" t="s">
        <v>58</v>
      </c>
      <c r="D101" s="30" t="s">
        <v>126</v>
      </c>
      <c r="E101" s="30" t="s">
        <v>134</v>
      </c>
      <c r="F101" s="30" t="s">
        <v>215</v>
      </c>
      <c r="G101" s="31" t="n">
        <v>1032.3</v>
      </c>
      <c r="H101" s="32" t="str">
        <f aca="false">IF(E101="","",IFERROR(INDEX(Catégories!$B$5:$B$60,MATCH(E101,Catégories!$A$5:$A$60,0)),"?"))</f>
        <v>Recette</v>
      </c>
      <c r="I101" s="32" t="str">
        <f aca="false">IF(E101="","",IFERROR(INDEX(Catégories!$C$5:$C$60,MATCH(E101,Catégories!$A$5:$A$60,0)),"?"))</f>
        <v>Imposable</v>
      </c>
      <c r="J101" s="32" t="str">
        <f aca="false">IF(E101="","",IFERROR(INDEX(Catégories!$D$5:$D$60,MATCH(E101,Catégories!$A$5:$A$60,0)),"?"))</f>
        <v>Loyers</v>
      </c>
      <c r="K101" s="33" t="n">
        <f aca="false">IF(H101="Recette",G101,IF(H101="Dépense",-G101,0))</f>
        <v>1032.3</v>
      </c>
      <c r="L101" s="33" t="n">
        <f aca="false">IF(E101="",0,G101*IFERROR(INDEX(Catégories!$E$5:$E$60,MATCH(E101,Catégories!$A$5:$A$60,0)),0))</f>
        <v>1032.3</v>
      </c>
      <c r="M101" s="30" t="s">
        <v>129</v>
      </c>
      <c r="N101" s="30" t="s">
        <v>130</v>
      </c>
      <c r="O101" s="30"/>
    </row>
    <row r="102" customFormat="false" ht="15" hidden="false" customHeight="true" outlineLevel="0" collapsed="false">
      <c r="A102" s="28" t="n">
        <v>45719</v>
      </c>
      <c r="B102" s="29" t="n">
        <f aca="false">IF(A102="","",YEAR(A102))</f>
        <v>2025</v>
      </c>
      <c r="C102" s="30" t="s">
        <v>58</v>
      </c>
      <c r="D102" s="30" t="s">
        <v>126</v>
      </c>
      <c r="E102" s="30" t="s">
        <v>136</v>
      </c>
      <c r="F102" s="30" t="s">
        <v>137</v>
      </c>
      <c r="G102" s="31" t="n">
        <v>61.94</v>
      </c>
      <c r="H102" s="32" t="str">
        <f aca="false">IF(E102="","",IFERROR(INDEX(Catégories!$B$5:$B$60,MATCH(E102,Catégories!$A$5:$A$60,0)),"?"))</f>
        <v>Dépense</v>
      </c>
      <c r="I102" s="32" t="str">
        <f aca="false">IF(E102="","",IFERROR(INDEX(Catégories!$C$5:$C$60,MATCH(E102,Catégories!$A$5:$A$60,0)),"?"))</f>
        <v>Déductible</v>
      </c>
      <c r="J102" s="32" t="str">
        <f aca="false">IF(E102="","",IFERROR(INDEX(Catégories!$D$5:$D$60,MATCH(E102,Catégories!$A$5:$A$60,0)),"?"))</f>
        <v>Frais de gestion</v>
      </c>
      <c r="K102" s="33" t="n">
        <f aca="false">IF(H102="Recette",G102,IF(H102="Dépense",-G102,0))</f>
        <v>-61.94</v>
      </c>
      <c r="L102" s="33" t="n">
        <f aca="false">IF(E102="",0,G102*IFERROR(INDEX(Catégories!$E$5:$E$60,MATCH(E102,Catégories!$A$5:$A$60,0)),0))</f>
        <v>-61.94</v>
      </c>
      <c r="M102" s="30" t="s">
        <v>129</v>
      </c>
      <c r="N102" s="30" t="s">
        <v>130</v>
      </c>
      <c r="O102" s="30"/>
    </row>
    <row r="103" customFormat="false" ht="15" hidden="false" customHeight="true" outlineLevel="0" collapsed="false">
      <c r="A103" s="28" t="n">
        <v>45719</v>
      </c>
      <c r="B103" s="29" t="n">
        <f aca="false">IF(A103="","",YEAR(A103))</f>
        <v>2025</v>
      </c>
      <c r="C103" s="30" t="s">
        <v>58</v>
      </c>
      <c r="D103" s="30" t="s">
        <v>126</v>
      </c>
      <c r="E103" s="30" t="s">
        <v>136</v>
      </c>
      <c r="F103" s="30" t="s">
        <v>138</v>
      </c>
      <c r="G103" s="31" t="n">
        <v>12.39</v>
      </c>
      <c r="H103" s="32" t="str">
        <f aca="false">IF(E103="","",IFERROR(INDEX(Catégories!$B$5:$B$60,MATCH(E103,Catégories!$A$5:$A$60,0)),"?"))</f>
        <v>Dépense</v>
      </c>
      <c r="I103" s="32" t="str">
        <f aca="false">IF(E103="","",IFERROR(INDEX(Catégories!$C$5:$C$60,MATCH(E103,Catégories!$A$5:$A$60,0)),"?"))</f>
        <v>Déductible</v>
      </c>
      <c r="J103" s="32" t="str">
        <f aca="false">IF(E103="","",IFERROR(INDEX(Catégories!$D$5:$D$60,MATCH(E103,Catégories!$A$5:$A$60,0)),"?"))</f>
        <v>Frais de gestion</v>
      </c>
      <c r="K103" s="33" t="n">
        <f aca="false">IF(H103="Recette",G103,IF(H103="Dépense",-G103,0))</f>
        <v>-12.39</v>
      </c>
      <c r="L103" s="33" t="n">
        <f aca="false">IF(E103="",0,G103*IFERROR(INDEX(Catégories!$E$5:$E$60,MATCH(E103,Catégories!$A$5:$A$60,0)),0))</f>
        <v>-12.39</v>
      </c>
      <c r="M103" s="30" t="s">
        <v>129</v>
      </c>
      <c r="N103" s="30" t="s">
        <v>130</v>
      </c>
      <c r="O103" s="30"/>
    </row>
    <row r="104" customFormat="false" ht="15" hidden="false" customHeight="true" outlineLevel="0" collapsed="false">
      <c r="A104" s="28" t="n">
        <v>45719</v>
      </c>
      <c r="B104" s="29" t="n">
        <f aca="false">IF(A104="","",YEAR(A104))</f>
        <v>2025</v>
      </c>
      <c r="C104" s="30" t="s">
        <v>58</v>
      </c>
      <c r="D104" s="30" t="s">
        <v>126</v>
      </c>
      <c r="E104" s="30" t="s">
        <v>139</v>
      </c>
      <c r="F104" s="30" t="s">
        <v>216</v>
      </c>
      <c r="G104" s="31" t="n">
        <v>83.7</v>
      </c>
      <c r="H104" s="32" t="str">
        <f aca="false">IF(E104="","",IFERROR(INDEX(Catégories!$B$5:$B$60,MATCH(E104,Catégories!$A$5:$A$60,0)),"?"))</f>
        <v>Recette</v>
      </c>
      <c r="I104" s="32" t="str">
        <f aca="false">IF(E104="","",IFERROR(INDEX(Catégories!$C$5:$C$60,MATCH(E104,Catégories!$A$5:$A$60,0)),"?"))</f>
        <v>Imposable</v>
      </c>
      <c r="J104" s="32" t="str">
        <f aca="false">IF(E104="","",IFERROR(INDEX(Catégories!$D$5:$D$60,MATCH(E104,Catégories!$A$5:$A$60,0)),"?"))</f>
        <v>Charges refacturées</v>
      </c>
      <c r="K104" s="33" t="n">
        <f aca="false">IF(H104="Recette",G104,IF(H104="Dépense",-G104,0))</f>
        <v>83.7</v>
      </c>
      <c r="L104" s="33" t="n">
        <f aca="false">IF(E104="",0,G104*IFERROR(INDEX(Catégories!$E$5:$E$60,MATCH(E104,Catégories!$A$5:$A$60,0)),0))</f>
        <v>83.7</v>
      </c>
      <c r="M104" s="30" t="s">
        <v>129</v>
      </c>
      <c r="N104" s="30" t="s">
        <v>130</v>
      </c>
      <c r="O104" s="30"/>
    </row>
    <row r="105" customFormat="false" ht="15" hidden="false" customHeight="true" outlineLevel="0" collapsed="false">
      <c r="A105" s="28" t="n">
        <v>45719</v>
      </c>
      <c r="B105" s="29" t="n">
        <f aca="false">IF(A105="","",YEAR(A105))</f>
        <v>2025</v>
      </c>
      <c r="C105" s="30" t="s">
        <v>58</v>
      </c>
      <c r="D105" s="30" t="s">
        <v>126</v>
      </c>
      <c r="E105" s="30" t="s">
        <v>136</v>
      </c>
      <c r="F105" s="30" t="s">
        <v>141</v>
      </c>
      <c r="G105" s="31" t="n">
        <v>5.02</v>
      </c>
      <c r="H105" s="32" t="str">
        <f aca="false">IF(E105="","",IFERROR(INDEX(Catégories!$B$5:$B$60,MATCH(E105,Catégories!$A$5:$A$60,0)),"?"))</f>
        <v>Dépense</v>
      </c>
      <c r="I105" s="32" t="str">
        <f aca="false">IF(E105="","",IFERROR(INDEX(Catégories!$C$5:$C$60,MATCH(E105,Catégories!$A$5:$A$60,0)),"?"))</f>
        <v>Déductible</v>
      </c>
      <c r="J105" s="32" t="str">
        <f aca="false">IF(E105="","",IFERROR(INDEX(Catégories!$D$5:$D$60,MATCH(E105,Catégories!$A$5:$A$60,0)),"?"))</f>
        <v>Frais de gestion</v>
      </c>
      <c r="K105" s="33" t="n">
        <f aca="false">IF(H105="Recette",G105,IF(H105="Dépense",-G105,0))</f>
        <v>-5.02</v>
      </c>
      <c r="L105" s="33" t="n">
        <f aca="false">IF(E105="",0,G105*IFERROR(INDEX(Catégories!$E$5:$E$60,MATCH(E105,Catégories!$A$5:$A$60,0)),0))</f>
        <v>-5.02</v>
      </c>
      <c r="M105" s="30" t="s">
        <v>129</v>
      </c>
      <c r="N105" s="30" t="s">
        <v>130</v>
      </c>
      <c r="O105" s="30"/>
    </row>
    <row r="106" customFormat="false" ht="15" hidden="false" customHeight="true" outlineLevel="0" collapsed="false">
      <c r="A106" s="28" t="n">
        <v>45719</v>
      </c>
      <c r="B106" s="29" t="n">
        <f aca="false">IF(A106="","",YEAR(A106))</f>
        <v>2025</v>
      </c>
      <c r="C106" s="30" t="s">
        <v>58</v>
      </c>
      <c r="D106" s="30" t="s">
        <v>126</v>
      </c>
      <c r="E106" s="30" t="s">
        <v>136</v>
      </c>
      <c r="F106" s="30" t="s">
        <v>142</v>
      </c>
      <c r="G106" s="31" t="n">
        <v>1</v>
      </c>
      <c r="H106" s="32" t="str">
        <f aca="false">IF(E106="","",IFERROR(INDEX(Catégories!$B$5:$B$60,MATCH(E106,Catégories!$A$5:$A$60,0)),"?"))</f>
        <v>Dépense</v>
      </c>
      <c r="I106" s="32" t="str">
        <f aca="false">IF(E106="","",IFERROR(INDEX(Catégories!$C$5:$C$60,MATCH(E106,Catégories!$A$5:$A$60,0)),"?"))</f>
        <v>Déductible</v>
      </c>
      <c r="J106" s="32" t="str">
        <f aca="false">IF(E106="","",IFERROR(INDEX(Catégories!$D$5:$D$60,MATCH(E106,Catégories!$A$5:$A$60,0)),"?"))</f>
        <v>Frais de gestion</v>
      </c>
      <c r="K106" s="33" t="n">
        <f aca="false">IF(H106="Recette",G106,IF(H106="Dépense",-G106,0))</f>
        <v>-1</v>
      </c>
      <c r="L106" s="33" t="n">
        <f aca="false">IF(E106="",0,G106*IFERROR(INDEX(Catégories!$E$5:$E$60,MATCH(E106,Catégories!$A$5:$A$60,0)),0))</f>
        <v>-1</v>
      </c>
      <c r="M106" s="30" t="s">
        <v>129</v>
      </c>
      <c r="N106" s="30" t="s">
        <v>130</v>
      </c>
      <c r="O106" s="30"/>
    </row>
    <row r="107" customFormat="false" ht="15" hidden="false" customHeight="true" outlineLevel="0" collapsed="false">
      <c r="A107" s="28" t="n">
        <v>45720</v>
      </c>
      <c r="B107" s="29" t="n">
        <f aca="false">IF(A107="","",YEAR(A107))</f>
        <v>2025</v>
      </c>
      <c r="C107" s="30" t="s">
        <v>58</v>
      </c>
      <c r="D107" s="30" t="s">
        <v>126</v>
      </c>
      <c r="E107" s="30" t="s">
        <v>168</v>
      </c>
      <c r="F107" s="30" t="s">
        <v>169</v>
      </c>
      <c r="G107" s="31" t="n">
        <v>1035.65</v>
      </c>
      <c r="H107" s="32" t="str">
        <f aca="false">IF(E107="","",IFERROR(INDEX(Catégories!$B$5:$B$60,MATCH(E107,Catégories!$A$5:$A$60,0)),"?"))</f>
        <v>Transfert</v>
      </c>
      <c r="I107" s="32" t="str">
        <f aca="false">IF(E107="","",IFERROR(INDEX(Catégories!$C$5:$C$60,MATCH(E107,Catégories!$A$5:$A$60,0)),"?"))</f>
        <v>Non fiscal</v>
      </c>
      <c r="J107" s="32" t="str">
        <f aca="false">IF(E107="","",IFERROR(INDEX(Catégories!$D$5:$D$60,MATCH(E107,Catégories!$A$5:$A$60,0)),"?"))</f>
        <v>Mouvements internes</v>
      </c>
      <c r="K107" s="33" t="n">
        <f aca="false">IF(H107="Recette",G107,IF(H107="Dépense",-G107,0))</f>
        <v>0</v>
      </c>
      <c r="L107" s="33" t="n">
        <f aca="false">IF(E107="",0,G107*IFERROR(INDEX(Catégories!$E$5:$E$60,MATCH(E107,Catégories!$A$5:$A$60,0)),0))</f>
        <v>-1035.65</v>
      </c>
      <c r="M107" s="30" t="s">
        <v>129</v>
      </c>
      <c r="N107" s="30" t="s">
        <v>130</v>
      </c>
      <c r="O107" s="30"/>
    </row>
    <row r="108" customFormat="false" ht="15" hidden="false" customHeight="true" outlineLevel="0" collapsed="false">
      <c r="A108" s="28" t="n">
        <v>45748</v>
      </c>
      <c r="B108" s="29" t="n">
        <f aca="false">IF(A108="","",YEAR(A108))</f>
        <v>2025</v>
      </c>
      <c r="C108" s="30" t="s">
        <v>58</v>
      </c>
      <c r="D108" s="30" t="s">
        <v>148</v>
      </c>
      <c r="E108" s="30" t="s">
        <v>180</v>
      </c>
      <c r="F108" s="30" t="s">
        <v>181</v>
      </c>
      <c r="G108" s="31" t="n">
        <v>857.17</v>
      </c>
      <c r="H108" s="32" t="str">
        <f aca="false">IF(E108="","",IFERROR(INDEX(Catégories!$B$5:$B$60,MATCH(E108,Catégories!$A$5:$A$60,0)),"?"))</f>
        <v>Dépense</v>
      </c>
      <c r="I108" s="32" t="str">
        <f aca="false">IF(E108="","",IFERROR(INDEX(Catégories!$C$5:$C$60,MATCH(E108,Catégories!$A$5:$A$60,0)),"?"))</f>
        <v>Déductible</v>
      </c>
      <c r="J108" s="32" t="str">
        <f aca="false">IF(E108="","",IFERROR(INDEX(Catégories!$D$5:$D$60,MATCH(E108,Catégories!$A$5:$A$60,0)),"?"))</f>
        <v>Copropriété</v>
      </c>
      <c r="K108" s="33" t="n">
        <f aca="false">IF(H108="Recette",G108,IF(H108="Dépense",-G108,0))</f>
        <v>-857.17</v>
      </c>
      <c r="L108" s="33" t="n">
        <f aca="false">IF(E108="",0,G108*IFERROR(INDEX(Catégories!$E$5:$E$60,MATCH(E108,Catégories!$A$5:$A$60,0)),0))</f>
        <v>-857.17</v>
      </c>
      <c r="M108" s="30" t="s">
        <v>217</v>
      </c>
      <c r="N108" s="30" t="s">
        <v>151</v>
      </c>
      <c r="O108" s="30"/>
    </row>
    <row r="109" customFormat="false" ht="15" hidden="false" customHeight="true" outlineLevel="0" collapsed="false">
      <c r="A109" s="28" t="n">
        <v>45749</v>
      </c>
      <c r="B109" s="29" t="n">
        <f aca="false">IF(A109="","",YEAR(A109))</f>
        <v>2025</v>
      </c>
      <c r="C109" s="30" t="s">
        <v>58</v>
      </c>
      <c r="D109" s="30" t="s">
        <v>126</v>
      </c>
      <c r="E109" s="30" t="s">
        <v>134</v>
      </c>
      <c r="F109" s="30" t="s">
        <v>218</v>
      </c>
      <c r="G109" s="31" t="n">
        <v>1032.3</v>
      </c>
      <c r="H109" s="32" t="str">
        <f aca="false">IF(E109="","",IFERROR(INDEX(Catégories!$B$5:$B$60,MATCH(E109,Catégories!$A$5:$A$60,0)),"?"))</f>
        <v>Recette</v>
      </c>
      <c r="I109" s="32" t="str">
        <f aca="false">IF(E109="","",IFERROR(INDEX(Catégories!$C$5:$C$60,MATCH(E109,Catégories!$A$5:$A$60,0)),"?"))</f>
        <v>Imposable</v>
      </c>
      <c r="J109" s="32" t="str">
        <f aca="false">IF(E109="","",IFERROR(INDEX(Catégories!$D$5:$D$60,MATCH(E109,Catégories!$A$5:$A$60,0)),"?"))</f>
        <v>Loyers</v>
      </c>
      <c r="K109" s="33" t="n">
        <f aca="false">IF(H109="Recette",G109,IF(H109="Dépense",-G109,0))</f>
        <v>1032.3</v>
      </c>
      <c r="L109" s="33" t="n">
        <f aca="false">IF(E109="",0,G109*IFERROR(INDEX(Catégories!$E$5:$E$60,MATCH(E109,Catégories!$A$5:$A$60,0)),0))</f>
        <v>1032.3</v>
      </c>
      <c r="M109" s="30" t="s">
        <v>129</v>
      </c>
      <c r="N109" s="30" t="s">
        <v>130</v>
      </c>
      <c r="O109" s="30"/>
    </row>
    <row r="110" customFormat="false" ht="15" hidden="false" customHeight="true" outlineLevel="0" collapsed="false">
      <c r="A110" s="28" t="n">
        <v>45749</v>
      </c>
      <c r="B110" s="29" t="n">
        <f aca="false">IF(A110="","",YEAR(A110))</f>
        <v>2025</v>
      </c>
      <c r="C110" s="30" t="s">
        <v>58</v>
      </c>
      <c r="D110" s="30" t="s">
        <v>126</v>
      </c>
      <c r="E110" s="30" t="s">
        <v>136</v>
      </c>
      <c r="F110" s="30" t="s">
        <v>137</v>
      </c>
      <c r="G110" s="31" t="n">
        <v>61.94</v>
      </c>
      <c r="H110" s="32" t="str">
        <f aca="false">IF(E110="","",IFERROR(INDEX(Catégories!$B$5:$B$60,MATCH(E110,Catégories!$A$5:$A$60,0)),"?"))</f>
        <v>Dépense</v>
      </c>
      <c r="I110" s="32" t="str">
        <f aca="false">IF(E110="","",IFERROR(INDEX(Catégories!$C$5:$C$60,MATCH(E110,Catégories!$A$5:$A$60,0)),"?"))</f>
        <v>Déductible</v>
      </c>
      <c r="J110" s="32" t="str">
        <f aca="false">IF(E110="","",IFERROR(INDEX(Catégories!$D$5:$D$60,MATCH(E110,Catégories!$A$5:$A$60,0)),"?"))</f>
        <v>Frais de gestion</v>
      </c>
      <c r="K110" s="33" t="n">
        <f aca="false">IF(H110="Recette",G110,IF(H110="Dépense",-G110,0))</f>
        <v>-61.94</v>
      </c>
      <c r="L110" s="33" t="n">
        <f aca="false">IF(E110="",0,G110*IFERROR(INDEX(Catégories!$E$5:$E$60,MATCH(E110,Catégories!$A$5:$A$60,0)),0))</f>
        <v>-61.94</v>
      </c>
      <c r="M110" s="30" t="s">
        <v>129</v>
      </c>
      <c r="N110" s="30" t="s">
        <v>130</v>
      </c>
      <c r="O110" s="30"/>
    </row>
    <row r="111" customFormat="false" ht="15" hidden="false" customHeight="true" outlineLevel="0" collapsed="false">
      <c r="A111" s="28" t="n">
        <v>45749</v>
      </c>
      <c r="B111" s="29" t="n">
        <f aca="false">IF(A111="","",YEAR(A111))</f>
        <v>2025</v>
      </c>
      <c r="C111" s="30" t="s">
        <v>58</v>
      </c>
      <c r="D111" s="30" t="s">
        <v>126</v>
      </c>
      <c r="E111" s="30" t="s">
        <v>136</v>
      </c>
      <c r="F111" s="30" t="s">
        <v>138</v>
      </c>
      <c r="G111" s="31" t="n">
        <v>12.39</v>
      </c>
      <c r="H111" s="32" t="str">
        <f aca="false">IF(E111="","",IFERROR(INDEX(Catégories!$B$5:$B$60,MATCH(E111,Catégories!$A$5:$A$60,0)),"?"))</f>
        <v>Dépense</v>
      </c>
      <c r="I111" s="32" t="str">
        <f aca="false">IF(E111="","",IFERROR(INDEX(Catégories!$C$5:$C$60,MATCH(E111,Catégories!$A$5:$A$60,0)),"?"))</f>
        <v>Déductible</v>
      </c>
      <c r="J111" s="32" t="str">
        <f aca="false">IF(E111="","",IFERROR(INDEX(Catégories!$D$5:$D$60,MATCH(E111,Catégories!$A$5:$A$60,0)),"?"))</f>
        <v>Frais de gestion</v>
      </c>
      <c r="K111" s="33" t="n">
        <f aca="false">IF(H111="Recette",G111,IF(H111="Dépense",-G111,0))</f>
        <v>-12.39</v>
      </c>
      <c r="L111" s="33" t="n">
        <f aca="false">IF(E111="",0,G111*IFERROR(INDEX(Catégories!$E$5:$E$60,MATCH(E111,Catégories!$A$5:$A$60,0)),0))</f>
        <v>-12.39</v>
      </c>
      <c r="M111" s="30" t="s">
        <v>129</v>
      </c>
      <c r="N111" s="30" t="s">
        <v>130</v>
      </c>
      <c r="O111" s="30"/>
    </row>
    <row r="112" customFormat="false" ht="15" hidden="false" customHeight="true" outlineLevel="0" collapsed="false">
      <c r="A112" s="28" t="n">
        <v>45749</v>
      </c>
      <c r="B112" s="29" t="n">
        <f aca="false">IF(A112="","",YEAR(A112))</f>
        <v>2025</v>
      </c>
      <c r="C112" s="30" t="s">
        <v>58</v>
      </c>
      <c r="D112" s="30" t="s">
        <v>126</v>
      </c>
      <c r="E112" s="30" t="s">
        <v>139</v>
      </c>
      <c r="F112" s="30" t="s">
        <v>219</v>
      </c>
      <c r="G112" s="31" t="n">
        <v>83.7</v>
      </c>
      <c r="H112" s="32" t="str">
        <f aca="false">IF(E112="","",IFERROR(INDEX(Catégories!$B$5:$B$60,MATCH(E112,Catégories!$A$5:$A$60,0)),"?"))</f>
        <v>Recette</v>
      </c>
      <c r="I112" s="32" t="str">
        <f aca="false">IF(E112="","",IFERROR(INDEX(Catégories!$C$5:$C$60,MATCH(E112,Catégories!$A$5:$A$60,0)),"?"))</f>
        <v>Imposable</v>
      </c>
      <c r="J112" s="32" t="str">
        <f aca="false">IF(E112="","",IFERROR(INDEX(Catégories!$D$5:$D$60,MATCH(E112,Catégories!$A$5:$A$60,0)),"?"))</f>
        <v>Charges refacturées</v>
      </c>
      <c r="K112" s="33" t="n">
        <f aca="false">IF(H112="Recette",G112,IF(H112="Dépense",-G112,0))</f>
        <v>83.7</v>
      </c>
      <c r="L112" s="33" t="n">
        <f aca="false">IF(E112="",0,G112*IFERROR(INDEX(Catégories!$E$5:$E$60,MATCH(E112,Catégories!$A$5:$A$60,0)),0))</f>
        <v>83.7</v>
      </c>
      <c r="M112" s="30" t="s">
        <v>129</v>
      </c>
      <c r="N112" s="30" t="s">
        <v>130</v>
      </c>
      <c r="O112" s="30"/>
    </row>
    <row r="113" customFormat="false" ht="15" hidden="false" customHeight="true" outlineLevel="0" collapsed="false">
      <c r="A113" s="28" t="n">
        <v>45749</v>
      </c>
      <c r="B113" s="29" t="n">
        <f aca="false">IF(A113="","",YEAR(A113))</f>
        <v>2025</v>
      </c>
      <c r="C113" s="30" t="s">
        <v>58</v>
      </c>
      <c r="D113" s="30" t="s">
        <v>126</v>
      </c>
      <c r="E113" s="30" t="s">
        <v>136</v>
      </c>
      <c r="F113" s="30" t="s">
        <v>141</v>
      </c>
      <c r="G113" s="31" t="n">
        <v>5.02</v>
      </c>
      <c r="H113" s="32" t="str">
        <f aca="false">IF(E113="","",IFERROR(INDEX(Catégories!$B$5:$B$60,MATCH(E113,Catégories!$A$5:$A$60,0)),"?"))</f>
        <v>Dépense</v>
      </c>
      <c r="I113" s="32" t="str">
        <f aca="false">IF(E113="","",IFERROR(INDEX(Catégories!$C$5:$C$60,MATCH(E113,Catégories!$A$5:$A$60,0)),"?"))</f>
        <v>Déductible</v>
      </c>
      <c r="J113" s="32" t="str">
        <f aca="false">IF(E113="","",IFERROR(INDEX(Catégories!$D$5:$D$60,MATCH(E113,Catégories!$A$5:$A$60,0)),"?"))</f>
        <v>Frais de gestion</v>
      </c>
      <c r="K113" s="33" t="n">
        <f aca="false">IF(H113="Recette",G113,IF(H113="Dépense",-G113,0))</f>
        <v>-5.02</v>
      </c>
      <c r="L113" s="33" t="n">
        <f aca="false">IF(E113="",0,G113*IFERROR(INDEX(Catégories!$E$5:$E$60,MATCH(E113,Catégories!$A$5:$A$60,0)),0))</f>
        <v>-5.02</v>
      </c>
      <c r="M113" s="30" t="s">
        <v>129</v>
      </c>
      <c r="N113" s="30" t="s">
        <v>130</v>
      </c>
      <c r="O113" s="30"/>
    </row>
    <row r="114" customFormat="false" ht="15" hidden="false" customHeight="true" outlineLevel="0" collapsed="false">
      <c r="A114" s="28" t="n">
        <v>45749</v>
      </c>
      <c r="B114" s="29" t="n">
        <f aca="false">IF(A114="","",YEAR(A114))</f>
        <v>2025</v>
      </c>
      <c r="C114" s="30" t="s">
        <v>58</v>
      </c>
      <c r="D114" s="30" t="s">
        <v>126</v>
      </c>
      <c r="E114" s="30" t="s">
        <v>136</v>
      </c>
      <c r="F114" s="30" t="s">
        <v>142</v>
      </c>
      <c r="G114" s="31" t="n">
        <v>1</v>
      </c>
      <c r="H114" s="32" t="str">
        <f aca="false">IF(E114="","",IFERROR(INDEX(Catégories!$B$5:$B$60,MATCH(E114,Catégories!$A$5:$A$60,0)),"?"))</f>
        <v>Dépense</v>
      </c>
      <c r="I114" s="32" t="str">
        <f aca="false">IF(E114="","",IFERROR(INDEX(Catégories!$C$5:$C$60,MATCH(E114,Catégories!$A$5:$A$60,0)),"?"))</f>
        <v>Déductible</v>
      </c>
      <c r="J114" s="32" t="str">
        <f aca="false">IF(E114="","",IFERROR(INDEX(Catégories!$D$5:$D$60,MATCH(E114,Catégories!$A$5:$A$60,0)),"?"))</f>
        <v>Frais de gestion</v>
      </c>
      <c r="K114" s="33" t="n">
        <f aca="false">IF(H114="Recette",G114,IF(H114="Dépense",-G114,0))</f>
        <v>-1</v>
      </c>
      <c r="L114" s="33" t="n">
        <f aca="false">IF(E114="",0,G114*IFERROR(INDEX(Catégories!$E$5:$E$60,MATCH(E114,Catégories!$A$5:$A$60,0)),0))</f>
        <v>-1</v>
      </c>
      <c r="M114" s="30" t="s">
        <v>129</v>
      </c>
      <c r="N114" s="30" t="s">
        <v>130</v>
      </c>
      <c r="O114" s="30"/>
    </row>
    <row r="115" customFormat="false" ht="15" hidden="false" customHeight="true" outlineLevel="0" collapsed="false">
      <c r="A115" s="28" t="n">
        <v>45751</v>
      </c>
      <c r="B115" s="29" t="n">
        <f aca="false">IF(A115="","",YEAR(A115))</f>
        <v>2025</v>
      </c>
      <c r="C115" s="30" t="s">
        <v>58</v>
      </c>
      <c r="D115" s="30" t="s">
        <v>126</v>
      </c>
      <c r="E115" s="30" t="s">
        <v>168</v>
      </c>
      <c r="F115" s="30" t="s">
        <v>169</v>
      </c>
      <c r="G115" s="31" t="n">
        <v>1035.65</v>
      </c>
      <c r="H115" s="32" t="str">
        <f aca="false">IF(E115="","",IFERROR(INDEX(Catégories!$B$5:$B$60,MATCH(E115,Catégories!$A$5:$A$60,0)),"?"))</f>
        <v>Transfert</v>
      </c>
      <c r="I115" s="32" t="str">
        <f aca="false">IF(E115="","",IFERROR(INDEX(Catégories!$C$5:$C$60,MATCH(E115,Catégories!$A$5:$A$60,0)),"?"))</f>
        <v>Non fiscal</v>
      </c>
      <c r="J115" s="32" t="str">
        <f aca="false">IF(E115="","",IFERROR(INDEX(Catégories!$D$5:$D$60,MATCH(E115,Catégories!$A$5:$A$60,0)),"?"))</f>
        <v>Mouvements internes</v>
      </c>
      <c r="K115" s="33" t="n">
        <f aca="false">IF(H115="Recette",G115,IF(H115="Dépense",-G115,0))</f>
        <v>0</v>
      </c>
      <c r="L115" s="33" t="n">
        <f aca="false">IF(E115="",0,G115*IFERROR(INDEX(Catégories!$E$5:$E$60,MATCH(E115,Catégories!$A$5:$A$60,0)),0))</f>
        <v>-1035.65</v>
      </c>
      <c r="M115" s="30" t="s">
        <v>129</v>
      </c>
      <c r="N115" s="30" t="s">
        <v>130</v>
      </c>
      <c r="O115" s="30"/>
    </row>
    <row r="116" customFormat="false" ht="15" hidden="false" customHeight="true" outlineLevel="0" collapsed="false">
      <c r="A116" s="28" t="n">
        <v>45779</v>
      </c>
      <c r="B116" s="29" t="n">
        <f aca="false">IF(A116="","",YEAR(A116))</f>
        <v>2025</v>
      </c>
      <c r="C116" s="30" t="s">
        <v>58</v>
      </c>
      <c r="D116" s="30" t="s">
        <v>126</v>
      </c>
      <c r="E116" s="30" t="s">
        <v>134</v>
      </c>
      <c r="F116" s="30" t="s">
        <v>220</v>
      </c>
      <c r="G116" s="31" t="n">
        <v>1038.83</v>
      </c>
      <c r="H116" s="32" t="str">
        <f aca="false">IF(E116="","",IFERROR(INDEX(Catégories!$B$5:$B$60,MATCH(E116,Catégories!$A$5:$A$60,0)),"?"))</f>
        <v>Recette</v>
      </c>
      <c r="I116" s="32" t="str">
        <f aca="false">IF(E116="","",IFERROR(INDEX(Catégories!$C$5:$C$60,MATCH(E116,Catégories!$A$5:$A$60,0)),"?"))</f>
        <v>Imposable</v>
      </c>
      <c r="J116" s="32" t="str">
        <f aca="false">IF(E116="","",IFERROR(INDEX(Catégories!$D$5:$D$60,MATCH(E116,Catégories!$A$5:$A$60,0)),"?"))</f>
        <v>Loyers</v>
      </c>
      <c r="K116" s="33" t="n">
        <f aca="false">IF(H116="Recette",G116,IF(H116="Dépense",-G116,0))</f>
        <v>1038.83</v>
      </c>
      <c r="L116" s="33" t="n">
        <f aca="false">IF(E116="",0,G116*IFERROR(INDEX(Catégories!$E$5:$E$60,MATCH(E116,Catégories!$A$5:$A$60,0)),0))</f>
        <v>1038.83</v>
      </c>
      <c r="M116" s="30" t="s">
        <v>129</v>
      </c>
      <c r="N116" s="30" t="s">
        <v>130</v>
      </c>
      <c r="O116" s="30"/>
    </row>
    <row r="117" customFormat="false" ht="15" hidden="false" customHeight="true" outlineLevel="0" collapsed="false">
      <c r="A117" s="28" t="n">
        <v>45779</v>
      </c>
      <c r="B117" s="29" t="n">
        <f aca="false">IF(A117="","",YEAR(A117))</f>
        <v>2025</v>
      </c>
      <c r="C117" s="30" t="s">
        <v>58</v>
      </c>
      <c r="D117" s="30" t="s">
        <v>126</v>
      </c>
      <c r="E117" s="30" t="s">
        <v>136</v>
      </c>
      <c r="F117" s="30" t="s">
        <v>137</v>
      </c>
      <c r="G117" s="31" t="n">
        <v>62.33</v>
      </c>
      <c r="H117" s="32" t="str">
        <f aca="false">IF(E117="","",IFERROR(INDEX(Catégories!$B$5:$B$60,MATCH(E117,Catégories!$A$5:$A$60,0)),"?"))</f>
        <v>Dépense</v>
      </c>
      <c r="I117" s="32" t="str">
        <f aca="false">IF(E117="","",IFERROR(INDEX(Catégories!$C$5:$C$60,MATCH(E117,Catégories!$A$5:$A$60,0)),"?"))</f>
        <v>Déductible</v>
      </c>
      <c r="J117" s="32" t="str">
        <f aca="false">IF(E117="","",IFERROR(INDEX(Catégories!$D$5:$D$60,MATCH(E117,Catégories!$A$5:$A$60,0)),"?"))</f>
        <v>Frais de gestion</v>
      </c>
      <c r="K117" s="33" t="n">
        <f aca="false">IF(H117="Recette",G117,IF(H117="Dépense",-G117,0))</f>
        <v>-62.33</v>
      </c>
      <c r="L117" s="33" t="n">
        <f aca="false">IF(E117="",0,G117*IFERROR(INDEX(Catégories!$E$5:$E$60,MATCH(E117,Catégories!$A$5:$A$60,0)),0))</f>
        <v>-62.33</v>
      </c>
      <c r="M117" s="30" t="s">
        <v>129</v>
      </c>
      <c r="N117" s="30" t="s">
        <v>130</v>
      </c>
      <c r="O117" s="30"/>
    </row>
    <row r="118" customFormat="false" ht="15" hidden="false" customHeight="true" outlineLevel="0" collapsed="false">
      <c r="A118" s="28" t="n">
        <v>45779</v>
      </c>
      <c r="B118" s="29" t="n">
        <f aca="false">IF(A118="","",YEAR(A118))</f>
        <v>2025</v>
      </c>
      <c r="C118" s="30" t="s">
        <v>58</v>
      </c>
      <c r="D118" s="30" t="s">
        <v>126</v>
      </c>
      <c r="E118" s="30" t="s">
        <v>136</v>
      </c>
      <c r="F118" s="30" t="s">
        <v>138</v>
      </c>
      <c r="G118" s="31" t="n">
        <v>12.46</v>
      </c>
      <c r="H118" s="32" t="str">
        <f aca="false">IF(E118="","",IFERROR(INDEX(Catégories!$B$5:$B$60,MATCH(E118,Catégories!$A$5:$A$60,0)),"?"))</f>
        <v>Dépense</v>
      </c>
      <c r="I118" s="32" t="str">
        <f aca="false">IF(E118="","",IFERROR(INDEX(Catégories!$C$5:$C$60,MATCH(E118,Catégories!$A$5:$A$60,0)),"?"))</f>
        <v>Déductible</v>
      </c>
      <c r="J118" s="32" t="str">
        <f aca="false">IF(E118="","",IFERROR(INDEX(Catégories!$D$5:$D$60,MATCH(E118,Catégories!$A$5:$A$60,0)),"?"))</f>
        <v>Frais de gestion</v>
      </c>
      <c r="K118" s="33" t="n">
        <f aca="false">IF(H118="Recette",G118,IF(H118="Dépense",-G118,0))</f>
        <v>-12.46</v>
      </c>
      <c r="L118" s="33" t="n">
        <f aca="false">IF(E118="",0,G118*IFERROR(INDEX(Catégories!$E$5:$E$60,MATCH(E118,Catégories!$A$5:$A$60,0)),0))</f>
        <v>-12.46</v>
      </c>
      <c r="M118" s="30" t="s">
        <v>129</v>
      </c>
      <c r="N118" s="30" t="s">
        <v>130</v>
      </c>
      <c r="O118" s="30"/>
    </row>
    <row r="119" customFormat="false" ht="15" hidden="false" customHeight="true" outlineLevel="0" collapsed="false">
      <c r="A119" s="28" t="n">
        <v>45779</v>
      </c>
      <c r="B119" s="29" t="n">
        <f aca="false">IF(A119="","",YEAR(A119))</f>
        <v>2025</v>
      </c>
      <c r="C119" s="30" t="s">
        <v>58</v>
      </c>
      <c r="D119" s="30" t="s">
        <v>126</v>
      </c>
      <c r="E119" s="30" t="s">
        <v>139</v>
      </c>
      <c r="F119" s="30" t="s">
        <v>221</v>
      </c>
      <c r="G119" s="31" t="n">
        <v>83.7</v>
      </c>
      <c r="H119" s="32" t="str">
        <f aca="false">IF(E119="","",IFERROR(INDEX(Catégories!$B$5:$B$60,MATCH(E119,Catégories!$A$5:$A$60,0)),"?"))</f>
        <v>Recette</v>
      </c>
      <c r="I119" s="32" t="str">
        <f aca="false">IF(E119="","",IFERROR(INDEX(Catégories!$C$5:$C$60,MATCH(E119,Catégories!$A$5:$A$60,0)),"?"))</f>
        <v>Imposable</v>
      </c>
      <c r="J119" s="32" t="str">
        <f aca="false">IF(E119="","",IFERROR(INDEX(Catégories!$D$5:$D$60,MATCH(E119,Catégories!$A$5:$A$60,0)),"?"))</f>
        <v>Charges refacturées</v>
      </c>
      <c r="K119" s="33" t="n">
        <f aca="false">IF(H119="Recette",G119,IF(H119="Dépense",-G119,0))</f>
        <v>83.7</v>
      </c>
      <c r="L119" s="33" t="n">
        <f aca="false">IF(E119="",0,G119*IFERROR(INDEX(Catégories!$E$5:$E$60,MATCH(E119,Catégories!$A$5:$A$60,0)),0))</f>
        <v>83.7</v>
      </c>
      <c r="M119" s="30" t="s">
        <v>129</v>
      </c>
      <c r="N119" s="30" t="s">
        <v>130</v>
      </c>
      <c r="O119" s="30"/>
    </row>
    <row r="120" customFormat="false" ht="15" hidden="false" customHeight="true" outlineLevel="0" collapsed="false">
      <c r="A120" s="28" t="n">
        <v>45779</v>
      </c>
      <c r="B120" s="29" t="n">
        <f aca="false">IF(A120="","",YEAR(A120))</f>
        <v>2025</v>
      </c>
      <c r="C120" s="30" t="s">
        <v>58</v>
      </c>
      <c r="D120" s="30" t="s">
        <v>126</v>
      </c>
      <c r="E120" s="30" t="s">
        <v>136</v>
      </c>
      <c r="F120" s="30" t="s">
        <v>141</v>
      </c>
      <c r="G120" s="31" t="n">
        <v>5.02</v>
      </c>
      <c r="H120" s="32" t="str">
        <f aca="false">IF(E120="","",IFERROR(INDEX(Catégories!$B$5:$B$60,MATCH(E120,Catégories!$A$5:$A$60,0)),"?"))</f>
        <v>Dépense</v>
      </c>
      <c r="I120" s="32" t="str">
        <f aca="false">IF(E120="","",IFERROR(INDEX(Catégories!$C$5:$C$60,MATCH(E120,Catégories!$A$5:$A$60,0)),"?"))</f>
        <v>Déductible</v>
      </c>
      <c r="J120" s="32" t="str">
        <f aca="false">IF(E120="","",IFERROR(INDEX(Catégories!$D$5:$D$60,MATCH(E120,Catégories!$A$5:$A$60,0)),"?"))</f>
        <v>Frais de gestion</v>
      </c>
      <c r="K120" s="33" t="n">
        <f aca="false">IF(H120="Recette",G120,IF(H120="Dépense",-G120,0))</f>
        <v>-5.02</v>
      </c>
      <c r="L120" s="33" t="n">
        <f aca="false">IF(E120="",0,G120*IFERROR(INDEX(Catégories!$E$5:$E$60,MATCH(E120,Catégories!$A$5:$A$60,0)),0))</f>
        <v>-5.02</v>
      </c>
      <c r="M120" s="30" t="s">
        <v>129</v>
      </c>
      <c r="N120" s="30" t="s">
        <v>130</v>
      </c>
      <c r="O120" s="30"/>
    </row>
    <row r="121" customFormat="false" ht="15" hidden="false" customHeight="true" outlineLevel="0" collapsed="false">
      <c r="A121" s="28" t="n">
        <v>45779</v>
      </c>
      <c r="B121" s="29" t="n">
        <f aca="false">IF(A121="","",YEAR(A121))</f>
        <v>2025</v>
      </c>
      <c r="C121" s="30" t="s">
        <v>58</v>
      </c>
      <c r="D121" s="30" t="s">
        <v>126</v>
      </c>
      <c r="E121" s="30" t="s">
        <v>136</v>
      </c>
      <c r="F121" s="30" t="s">
        <v>142</v>
      </c>
      <c r="G121" s="31" t="n">
        <v>1</v>
      </c>
      <c r="H121" s="32" t="str">
        <f aca="false">IF(E121="","",IFERROR(INDEX(Catégories!$B$5:$B$60,MATCH(E121,Catégories!$A$5:$A$60,0)),"?"))</f>
        <v>Dépense</v>
      </c>
      <c r="I121" s="32" t="str">
        <f aca="false">IF(E121="","",IFERROR(INDEX(Catégories!$C$5:$C$60,MATCH(E121,Catégories!$A$5:$A$60,0)),"?"))</f>
        <v>Déductible</v>
      </c>
      <c r="J121" s="32" t="str">
        <f aca="false">IF(E121="","",IFERROR(INDEX(Catégories!$D$5:$D$60,MATCH(E121,Catégories!$A$5:$A$60,0)),"?"))</f>
        <v>Frais de gestion</v>
      </c>
      <c r="K121" s="33" t="n">
        <f aca="false">IF(H121="Recette",G121,IF(H121="Dépense",-G121,0))</f>
        <v>-1</v>
      </c>
      <c r="L121" s="33" t="n">
        <f aca="false">IF(E121="",0,G121*IFERROR(INDEX(Catégories!$E$5:$E$60,MATCH(E121,Catégories!$A$5:$A$60,0)),0))</f>
        <v>-1</v>
      </c>
      <c r="M121" s="30" t="s">
        <v>129</v>
      </c>
      <c r="N121" s="30" t="s">
        <v>130</v>
      </c>
      <c r="O121" s="30"/>
    </row>
    <row r="122" customFormat="false" ht="15" hidden="false" customHeight="true" outlineLevel="0" collapsed="false">
      <c r="A122" s="28" t="n">
        <v>45782</v>
      </c>
      <c r="B122" s="29" t="n">
        <f aca="false">IF(A122="","",YEAR(A122))</f>
        <v>2025</v>
      </c>
      <c r="C122" s="30" t="s">
        <v>58</v>
      </c>
      <c r="D122" s="30" t="s">
        <v>126</v>
      </c>
      <c r="E122" s="30" t="s">
        <v>168</v>
      </c>
      <c r="F122" s="30" t="s">
        <v>169</v>
      </c>
      <c r="G122" s="31" t="n">
        <v>1041.71</v>
      </c>
      <c r="H122" s="32" t="str">
        <f aca="false">IF(E122="","",IFERROR(INDEX(Catégories!$B$5:$B$60,MATCH(E122,Catégories!$A$5:$A$60,0)),"?"))</f>
        <v>Transfert</v>
      </c>
      <c r="I122" s="32" t="str">
        <f aca="false">IF(E122="","",IFERROR(INDEX(Catégories!$C$5:$C$60,MATCH(E122,Catégories!$A$5:$A$60,0)),"?"))</f>
        <v>Non fiscal</v>
      </c>
      <c r="J122" s="32" t="str">
        <f aca="false">IF(E122="","",IFERROR(INDEX(Catégories!$D$5:$D$60,MATCH(E122,Catégories!$A$5:$A$60,0)),"?"))</f>
        <v>Mouvements internes</v>
      </c>
      <c r="K122" s="33" t="n">
        <f aca="false">IF(H122="Recette",G122,IF(H122="Dépense",-G122,0))</f>
        <v>0</v>
      </c>
      <c r="L122" s="33" t="n">
        <f aca="false">IF(E122="",0,G122*IFERROR(INDEX(Catégories!$E$5:$E$60,MATCH(E122,Catégories!$A$5:$A$60,0)),0))</f>
        <v>-1041.71</v>
      </c>
      <c r="M122" s="30" t="s">
        <v>129</v>
      </c>
      <c r="N122" s="30" t="s">
        <v>130</v>
      </c>
      <c r="O122" s="30"/>
    </row>
    <row r="123" customFormat="false" ht="15" hidden="false" customHeight="true" outlineLevel="0" collapsed="false">
      <c r="A123" s="28" t="n">
        <v>45810</v>
      </c>
      <c r="B123" s="29" t="n">
        <f aca="false">IF(A123="","",YEAR(A123))</f>
        <v>2025</v>
      </c>
      <c r="C123" s="30" t="s">
        <v>58</v>
      </c>
      <c r="D123" s="30" t="s">
        <v>126</v>
      </c>
      <c r="E123" s="30" t="s">
        <v>134</v>
      </c>
      <c r="F123" s="30" t="s">
        <v>222</v>
      </c>
      <c r="G123" s="31" t="n">
        <v>1046.76</v>
      </c>
      <c r="H123" s="32" t="str">
        <f aca="false">IF(E123="","",IFERROR(INDEX(Catégories!$B$5:$B$60,MATCH(E123,Catégories!$A$5:$A$60,0)),"?"))</f>
        <v>Recette</v>
      </c>
      <c r="I123" s="32" t="str">
        <f aca="false">IF(E123="","",IFERROR(INDEX(Catégories!$C$5:$C$60,MATCH(E123,Catégories!$A$5:$A$60,0)),"?"))</f>
        <v>Imposable</v>
      </c>
      <c r="J123" s="32" t="str">
        <f aca="false">IF(E123="","",IFERROR(INDEX(Catégories!$D$5:$D$60,MATCH(E123,Catégories!$A$5:$A$60,0)),"?"))</f>
        <v>Loyers</v>
      </c>
      <c r="K123" s="33" t="n">
        <f aca="false">IF(H123="Recette",G123,IF(H123="Dépense",-G123,0))</f>
        <v>1046.76</v>
      </c>
      <c r="L123" s="33" t="n">
        <f aca="false">IF(E123="",0,G123*IFERROR(INDEX(Catégories!$E$5:$E$60,MATCH(E123,Catégories!$A$5:$A$60,0)),0))</f>
        <v>1046.76</v>
      </c>
      <c r="M123" s="30" t="s">
        <v>129</v>
      </c>
      <c r="N123" s="30" t="s">
        <v>130</v>
      </c>
      <c r="O123" s="30"/>
    </row>
    <row r="124" customFormat="false" ht="15" hidden="false" customHeight="true" outlineLevel="0" collapsed="false">
      <c r="A124" s="28" t="n">
        <v>45810</v>
      </c>
      <c r="B124" s="29" t="n">
        <f aca="false">IF(A124="","",YEAR(A124))</f>
        <v>2025</v>
      </c>
      <c r="C124" s="30" t="s">
        <v>58</v>
      </c>
      <c r="D124" s="30" t="s">
        <v>126</v>
      </c>
      <c r="E124" s="30" t="s">
        <v>136</v>
      </c>
      <c r="F124" s="30" t="s">
        <v>137</v>
      </c>
      <c r="G124" s="31" t="n">
        <v>62.8</v>
      </c>
      <c r="H124" s="32" t="str">
        <f aca="false">IF(E124="","",IFERROR(INDEX(Catégories!$B$5:$B$60,MATCH(E124,Catégories!$A$5:$A$60,0)),"?"))</f>
        <v>Dépense</v>
      </c>
      <c r="I124" s="32" t="str">
        <f aca="false">IF(E124="","",IFERROR(INDEX(Catégories!$C$5:$C$60,MATCH(E124,Catégories!$A$5:$A$60,0)),"?"))</f>
        <v>Déductible</v>
      </c>
      <c r="J124" s="32" t="str">
        <f aca="false">IF(E124="","",IFERROR(INDEX(Catégories!$D$5:$D$60,MATCH(E124,Catégories!$A$5:$A$60,0)),"?"))</f>
        <v>Frais de gestion</v>
      </c>
      <c r="K124" s="33" t="n">
        <f aca="false">IF(H124="Recette",G124,IF(H124="Dépense",-G124,0))</f>
        <v>-62.8</v>
      </c>
      <c r="L124" s="33" t="n">
        <f aca="false">IF(E124="",0,G124*IFERROR(INDEX(Catégories!$E$5:$E$60,MATCH(E124,Catégories!$A$5:$A$60,0)),0))</f>
        <v>-62.8</v>
      </c>
      <c r="M124" s="30" t="s">
        <v>129</v>
      </c>
      <c r="N124" s="30" t="s">
        <v>130</v>
      </c>
      <c r="O124" s="30"/>
    </row>
    <row r="125" customFormat="false" ht="15" hidden="false" customHeight="true" outlineLevel="0" collapsed="false">
      <c r="A125" s="28" t="n">
        <v>45810</v>
      </c>
      <c r="B125" s="29" t="n">
        <f aca="false">IF(A125="","",YEAR(A125))</f>
        <v>2025</v>
      </c>
      <c r="C125" s="30" t="s">
        <v>58</v>
      </c>
      <c r="D125" s="30" t="s">
        <v>126</v>
      </c>
      <c r="E125" s="30" t="s">
        <v>136</v>
      </c>
      <c r="F125" s="30" t="s">
        <v>138</v>
      </c>
      <c r="G125" s="31" t="n">
        <v>12.56</v>
      </c>
      <c r="H125" s="32" t="str">
        <f aca="false">IF(E125="","",IFERROR(INDEX(Catégories!$B$5:$B$60,MATCH(E125,Catégories!$A$5:$A$60,0)),"?"))</f>
        <v>Dépense</v>
      </c>
      <c r="I125" s="32" t="str">
        <f aca="false">IF(E125="","",IFERROR(INDEX(Catégories!$C$5:$C$60,MATCH(E125,Catégories!$A$5:$A$60,0)),"?"))</f>
        <v>Déductible</v>
      </c>
      <c r="J125" s="32" t="str">
        <f aca="false">IF(E125="","",IFERROR(INDEX(Catégories!$D$5:$D$60,MATCH(E125,Catégories!$A$5:$A$60,0)),"?"))</f>
        <v>Frais de gestion</v>
      </c>
      <c r="K125" s="33" t="n">
        <f aca="false">IF(H125="Recette",G125,IF(H125="Dépense",-G125,0))</f>
        <v>-12.56</v>
      </c>
      <c r="L125" s="33" t="n">
        <f aca="false">IF(E125="",0,G125*IFERROR(INDEX(Catégories!$E$5:$E$60,MATCH(E125,Catégories!$A$5:$A$60,0)),0))</f>
        <v>-12.56</v>
      </c>
      <c r="M125" s="30" t="s">
        <v>129</v>
      </c>
      <c r="N125" s="30" t="s">
        <v>130</v>
      </c>
      <c r="O125" s="30"/>
    </row>
    <row r="126" customFormat="false" ht="15" hidden="false" customHeight="true" outlineLevel="0" collapsed="false">
      <c r="A126" s="28" t="n">
        <v>45810</v>
      </c>
      <c r="B126" s="29" t="n">
        <f aca="false">IF(A126="","",YEAR(A126))</f>
        <v>2025</v>
      </c>
      <c r="C126" s="30" t="s">
        <v>58</v>
      </c>
      <c r="D126" s="30" t="s">
        <v>126</v>
      </c>
      <c r="E126" s="30" t="s">
        <v>139</v>
      </c>
      <c r="F126" s="30" t="s">
        <v>223</v>
      </c>
      <c r="G126" s="31" t="n">
        <v>83.7</v>
      </c>
      <c r="H126" s="32" t="str">
        <f aca="false">IF(E126="","",IFERROR(INDEX(Catégories!$B$5:$B$60,MATCH(E126,Catégories!$A$5:$A$60,0)),"?"))</f>
        <v>Recette</v>
      </c>
      <c r="I126" s="32" t="str">
        <f aca="false">IF(E126="","",IFERROR(INDEX(Catégories!$C$5:$C$60,MATCH(E126,Catégories!$A$5:$A$60,0)),"?"))</f>
        <v>Imposable</v>
      </c>
      <c r="J126" s="32" t="str">
        <f aca="false">IF(E126="","",IFERROR(INDEX(Catégories!$D$5:$D$60,MATCH(E126,Catégories!$A$5:$A$60,0)),"?"))</f>
        <v>Charges refacturées</v>
      </c>
      <c r="K126" s="33" t="n">
        <f aca="false">IF(H126="Recette",G126,IF(H126="Dépense",-G126,0))</f>
        <v>83.7</v>
      </c>
      <c r="L126" s="33" t="n">
        <f aca="false">IF(E126="",0,G126*IFERROR(INDEX(Catégories!$E$5:$E$60,MATCH(E126,Catégories!$A$5:$A$60,0)),0))</f>
        <v>83.7</v>
      </c>
      <c r="M126" s="30" t="s">
        <v>129</v>
      </c>
      <c r="N126" s="30" t="s">
        <v>130</v>
      </c>
      <c r="O126" s="30"/>
    </row>
    <row r="127" customFormat="false" ht="15" hidden="false" customHeight="true" outlineLevel="0" collapsed="false">
      <c r="A127" s="28" t="n">
        <v>45810</v>
      </c>
      <c r="B127" s="29" t="n">
        <f aca="false">IF(A127="","",YEAR(A127))</f>
        <v>2025</v>
      </c>
      <c r="C127" s="30" t="s">
        <v>58</v>
      </c>
      <c r="D127" s="30" t="s">
        <v>126</v>
      </c>
      <c r="E127" s="30" t="s">
        <v>136</v>
      </c>
      <c r="F127" s="30" t="s">
        <v>141</v>
      </c>
      <c r="G127" s="31" t="n">
        <v>5.02</v>
      </c>
      <c r="H127" s="32" t="str">
        <f aca="false">IF(E127="","",IFERROR(INDEX(Catégories!$B$5:$B$60,MATCH(E127,Catégories!$A$5:$A$60,0)),"?"))</f>
        <v>Dépense</v>
      </c>
      <c r="I127" s="32" t="str">
        <f aca="false">IF(E127="","",IFERROR(INDEX(Catégories!$C$5:$C$60,MATCH(E127,Catégories!$A$5:$A$60,0)),"?"))</f>
        <v>Déductible</v>
      </c>
      <c r="J127" s="32" t="str">
        <f aca="false">IF(E127="","",IFERROR(INDEX(Catégories!$D$5:$D$60,MATCH(E127,Catégories!$A$5:$A$60,0)),"?"))</f>
        <v>Frais de gestion</v>
      </c>
      <c r="K127" s="33" t="n">
        <f aca="false">IF(H127="Recette",G127,IF(H127="Dépense",-G127,0))</f>
        <v>-5.02</v>
      </c>
      <c r="L127" s="33" t="n">
        <f aca="false">IF(E127="",0,G127*IFERROR(INDEX(Catégories!$E$5:$E$60,MATCH(E127,Catégories!$A$5:$A$60,0)),0))</f>
        <v>-5.02</v>
      </c>
      <c r="M127" s="30" t="s">
        <v>129</v>
      </c>
      <c r="N127" s="30" t="s">
        <v>130</v>
      </c>
      <c r="O127" s="30"/>
    </row>
    <row r="128" customFormat="false" ht="15" hidden="false" customHeight="true" outlineLevel="0" collapsed="false">
      <c r="A128" s="28" t="n">
        <v>45810</v>
      </c>
      <c r="B128" s="29" t="n">
        <f aca="false">IF(A128="","",YEAR(A128))</f>
        <v>2025</v>
      </c>
      <c r="C128" s="30" t="s">
        <v>58</v>
      </c>
      <c r="D128" s="30" t="s">
        <v>126</v>
      </c>
      <c r="E128" s="30" t="s">
        <v>136</v>
      </c>
      <c r="F128" s="30" t="s">
        <v>142</v>
      </c>
      <c r="G128" s="31" t="n">
        <v>1</v>
      </c>
      <c r="H128" s="32" t="str">
        <f aca="false">IF(E128="","",IFERROR(INDEX(Catégories!$B$5:$B$60,MATCH(E128,Catégories!$A$5:$A$60,0)),"?"))</f>
        <v>Dépense</v>
      </c>
      <c r="I128" s="32" t="str">
        <f aca="false">IF(E128="","",IFERROR(INDEX(Catégories!$C$5:$C$60,MATCH(E128,Catégories!$A$5:$A$60,0)),"?"))</f>
        <v>Déductible</v>
      </c>
      <c r="J128" s="32" t="str">
        <f aca="false">IF(E128="","",IFERROR(INDEX(Catégories!$D$5:$D$60,MATCH(E128,Catégories!$A$5:$A$60,0)),"?"))</f>
        <v>Frais de gestion</v>
      </c>
      <c r="K128" s="33" t="n">
        <f aca="false">IF(H128="Recette",G128,IF(H128="Dépense",-G128,0))</f>
        <v>-1</v>
      </c>
      <c r="L128" s="33" t="n">
        <f aca="false">IF(E128="",0,G128*IFERROR(INDEX(Catégories!$E$5:$E$60,MATCH(E128,Catégories!$A$5:$A$60,0)),0))</f>
        <v>-1</v>
      </c>
      <c r="M128" s="30" t="s">
        <v>129</v>
      </c>
      <c r="N128" s="30" t="s">
        <v>130</v>
      </c>
      <c r="O128" s="30"/>
    </row>
    <row r="129" customFormat="false" ht="15" hidden="false" customHeight="true" outlineLevel="0" collapsed="false">
      <c r="A129" s="28" t="n">
        <v>45811</v>
      </c>
      <c r="B129" s="29" t="n">
        <f aca="false">IF(A129="","",YEAR(A129))</f>
        <v>2025</v>
      </c>
      <c r="C129" s="30" t="s">
        <v>58</v>
      </c>
      <c r="D129" s="30" t="s">
        <v>126</v>
      </c>
      <c r="E129" s="30" t="s">
        <v>168</v>
      </c>
      <c r="F129" s="30" t="s">
        <v>169</v>
      </c>
      <c r="G129" s="31" t="n">
        <v>1049.07</v>
      </c>
      <c r="H129" s="32" t="str">
        <f aca="false">IF(E129="","",IFERROR(INDEX(Catégories!$B$5:$B$60,MATCH(E129,Catégories!$A$5:$A$60,0)),"?"))</f>
        <v>Transfert</v>
      </c>
      <c r="I129" s="32" t="str">
        <f aca="false">IF(E129="","",IFERROR(INDEX(Catégories!$C$5:$C$60,MATCH(E129,Catégories!$A$5:$A$60,0)),"?"))</f>
        <v>Non fiscal</v>
      </c>
      <c r="J129" s="32" t="str">
        <f aca="false">IF(E129="","",IFERROR(INDEX(Catégories!$D$5:$D$60,MATCH(E129,Catégories!$A$5:$A$60,0)),"?"))</f>
        <v>Mouvements internes</v>
      </c>
      <c r="K129" s="33" t="n">
        <f aca="false">IF(H129="Recette",G129,IF(H129="Dépense",-G129,0))</f>
        <v>0</v>
      </c>
      <c r="L129" s="33" t="n">
        <f aca="false">IF(E129="",0,G129*IFERROR(INDEX(Catégories!$E$5:$E$60,MATCH(E129,Catégories!$A$5:$A$60,0)),0))</f>
        <v>-1049.07</v>
      </c>
      <c r="M129" s="30" t="s">
        <v>129</v>
      </c>
      <c r="N129" s="30" t="s">
        <v>130</v>
      </c>
      <c r="O129" s="30"/>
    </row>
    <row r="130" customFormat="false" ht="15" hidden="false" customHeight="true" outlineLevel="0" collapsed="false">
      <c r="A130" s="28" t="n">
        <v>45835</v>
      </c>
      <c r="B130" s="29" t="n">
        <f aca="false">IF(A130="","",YEAR(A130))</f>
        <v>2025</v>
      </c>
      <c r="C130" s="30" t="s">
        <v>58</v>
      </c>
      <c r="D130" s="30" t="s">
        <v>148</v>
      </c>
      <c r="E130" s="30" t="s">
        <v>180</v>
      </c>
      <c r="F130" s="30" t="s">
        <v>224</v>
      </c>
      <c r="G130" s="31" t="n">
        <v>44.26</v>
      </c>
      <c r="H130" s="32" t="str">
        <f aca="false">IF(E130="","",IFERROR(INDEX(Catégories!$B$5:$B$60,MATCH(E130,Catégories!$A$5:$A$60,0)),"?"))</f>
        <v>Dépense</v>
      </c>
      <c r="I130" s="32" t="str">
        <f aca="false">IF(E130="","",IFERROR(INDEX(Catégories!$C$5:$C$60,MATCH(E130,Catégories!$A$5:$A$60,0)),"?"))</f>
        <v>Déductible</v>
      </c>
      <c r="J130" s="32" t="str">
        <f aca="false">IF(E130="","",IFERROR(INDEX(Catégories!$D$5:$D$60,MATCH(E130,Catégories!$A$5:$A$60,0)),"?"))</f>
        <v>Copropriété</v>
      </c>
      <c r="K130" s="33" t="n">
        <f aca="false">IF(H130="Recette",G130,IF(H130="Dépense",-G130,0))</f>
        <v>-44.26</v>
      </c>
      <c r="L130" s="33" t="n">
        <f aca="false">IF(E130="",0,G130*IFERROR(INDEX(Catégories!$E$5:$E$60,MATCH(E130,Catégories!$A$5:$A$60,0)),0))</f>
        <v>-44.26</v>
      </c>
      <c r="M130" s="30" t="s">
        <v>225</v>
      </c>
      <c r="N130" s="30" t="s">
        <v>151</v>
      </c>
      <c r="O130" s="30"/>
    </row>
    <row r="131" customFormat="false" ht="15" hidden="false" customHeight="true" outlineLevel="0" collapsed="false">
      <c r="A131" s="28" t="n">
        <v>45840</v>
      </c>
      <c r="B131" s="29" t="n">
        <f aca="false">IF(A131="","",YEAR(A131))</f>
        <v>2025</v>
      </c>
      <c r="C131" s="30" t="s">
        <v>58</v>
      </c>
      <c r="D131" s="30" t="s">
        <v>126</v>
      </c>
      <c r="E131" s="30" t="s">
        <v>134</v>
      </c>
      <c r="F131" s="30" t="s">
        <v>226</v>
      </c>
      <c r="G131" s="31" t="n">
        <v>1046.76</v>
      </c>
      <c r="H131" s="32" t="str">
        <f aca="false">IF(E131="","",IFERROR(INDEX(Catégories!$B$5:$B$60,MATCH(E131,Catégories!$A$5:$A$60,0)),"?"))</f>
        <v>Recette</v>
      </c>
      <c r="I131" s="32" t="str">
        <f aca="false">IF(E131="","",IFERROR(INDEX(Catégories!$C$5:$C$60,MATCH(E131,Catégories!$A$5:$A$60,0)),"?"))</f>
        <v>Imposable</v>
      </c>
      <c r="J131" s="32" t="str">
        <f aca="false">IF(E131="","",IFERROR(INDEX(Catégories!$D$5:$D$60,MATCH(E131,Catégories!$A$5:$A$60,0)),"?"))</f>
        <v>Loyers</v>
      </c>
      <c r="K131" s="33" t="n">
        <f aca="false">IF(H131="Recette",G131,IF(H131="Dépense",-G131,0))</f>
        <v>1046.76</v>
      </c>
      <c r="L131" s="33" t="n">
        <f aca="false">IF(E131="",0,G131*IFERROR(INDEX(Catégories!$E$5:$E$60,MATCH(E131,Catégories!$A$5:$A$60,0)),0))</f>
        <v>1046.76</v>
      </c>
      <c r="M131" s="30" t="s">
        <v>129</v>
      </c>
      <c r="N131" s="30" t="s">
        <v>130</v>
      </c>
      <c r="O131" s="30"/>
    </row>
    <row r="132" customFormat="false" ht="15" hidden="false" customHeight="true" outlineLevel="0" collapsed="false">
      <c r="A132" s="28" t="n">
        <v>45840</v>
      </c>
      <c r="B132" s="29" t="n">
        <f aca="false">IF(A132="","",YEAR(A132))</f>
        <v>2025</v>
      </c>
      <c r="C132" s="30" t="s">
        <v>58</v>
      </c>
      <c r="D132" s="30" t="s">
        <v>126</v>
      </c>
      <c r="E132" s="30" t="s">
        <v>136</v>
      </c>
      <c r="F132" s="30" t="s">
        <v>137</v>
      </c>
      <c r="G132" s="31" t="n">
        <v>62.8</v>
      </c>
      <c r="H132" s="32" t="str">
        <f aca="false">IF(E132="","",IFERROR(INDEX(Catégories!$B$5:$B$60,MATCH(E132,Catégories!$A$5:$A$60,0)),"?"))</f>
        <v>Dépense</v>
      </c>
      <c r="I132" s="32" t="str">
        <f aca="false">IF(E132="","",IFERROR(INDEX(Catégories!$C$5:$C$60,MATCH(E132,Catégories!$A$5:$A$60,0)),"?"))</f>
        <v>Déductible</v>
      </c>
      <c r="J132" s="32" t="str">
        <f aca="false">IF(E132="","",IFERROR(INDEX(Catégories!$D$5:$D$60,MATCH(E132,Catégories!$A$5:$A$60,0)),"?"))</f>
        <v>Frais de gestion</v>
      </c>
      <c r="K132" s="33" t="n">
        <f aca="false">IF(H132="Recette",G132,IF(H132="Dépense",-G132,0))</f>
        <v>-62.8</v>
      </c>
      <c r="L132" s="33" t="n">
        <f aca="false">IF(E132="",0,G132*IFERROR(INDEX(Catégories!$E$5:$E$60,MATCH(E132,Catégories!$A$5:$A$60,0)),0))</f>
        <v>-62.8</v>
      </c>
      <c r="M132" s="30" t="s">
        <v>129</v>
      </c>
      <c r="N132" s="30" t="s">
        <v>130</v>
      </c>
      <c r="O132" s="30"/>
    </row>
    <row r="133" customFormat="false" ht="15" hidden="false" customHeight="true" outlineLevel="0" collapsed="false">
      <c r="A133" s="28" t="n">
        <v>45840</v>
      </c>
      <c r="B133" s="29" t="n">
        <f aca="false">IF(A133="","",YEAR(A133))</f>
        <v>2025</v>
      </c>
      <c r="C133" s="30" t="s">
        <v>58</v>
      </c>
      <c r="D133" s="30" t="s">
        <v>126</v>
      </c>
      <c r="E133" s="30" t="s">
        <v>136</v>
      </c>
      <c r="F133" s="30" t="s">
        <v>138</v>
      </c>
      <c r="G133" s="31" t="n">
        <v>12.56</v>
      </c>
      <c r="H133" s="32" t="str">
        <f aca="false">IF(E133="","",IFERROR(INDEX(Catégories!$B$5:$B$60,MATCH(E133,Catégories!$A$5:$A$60,0)),"?"))</f>
        <v>Dépense</v>
      </c>
      <c r="I133" s="32" t="str">
        <f aca="false">IF(E133="","",IFERROR(INDEX(Catégories!$C$5:$C$60,MATCH(E133,Catégories!$A$5:$A$60,0)),"?"))</f>
        <v>Déductible</v>
      </c>
      <c r="J133" s="32" t="str">
        <f aca="false">IF(E133="","",IFERROR(INDEX(Catégories!$D$5:$D$60,MATCH(E133,Catégories!$A$5:$A$60,0)),"?"))</f>
        <v>Frais de gestion</v>
      </c>
      <c r="K133" s="33" t="n">
        <f aca="false">IF(H133="Recette",G133,IF(H133="Dépense",-G133,0))</f>
        <v>-12.56</v>
      </c>
      <c r="L133" s="33" t="n">
        <f aca="false">IF(E133="",0,G133*IFERROR(INDEX(Catégories!$E$5:$E$60,MATCH(E133,Catégories!$A$5:$A$60,0)),0))</f>
        <v>-12.56</v>
      </c>
      <c r="M133" s="30" t="s">
        <v>129</v>
      </c>
      <c r="N133" s="30" t="s">
        <v>130</v>
      </c>
      <c r="O133" s="30"/>
    </row>
    <row r="134" customFormat="false" ht="15" hidden="false" customHeight="true" outlineLevel="0" collapsed="false">
      <c r="A134" s="28" t="n">
        <v>45840</v>
      </c>
      <c r="B134" s="29" t="n">
        <f aca="false">IF(A134="","",YEAR(A134))</f>
        <v>2025</v>
      </c>
      <c r="C134" s="30" t="s">
        <v>58</v>
      </c>
      <c r="D134" s="30" t="s">
        <v>126</v>
      </c>
      <c r="E134" s="30" t="s">
        <v>139</v>
      </c>
      <c r="F134" s="30" t="s">
        <v>227</v>
      </c>
      <c r="G134" s="31" t="n">
        <v>83.7</v>
      </c>
      <c r="H134" s="32" t="str">
        <f aca="false">IF(E134="","",IFERROR(INDEX(Catégories!$B$5:$B$60,MATCH(E134,Catégories!$A$5:$A$60,0)),"?"))</f>
        <v>Recette</v>
      </c>
      <c r="I134" s="32" t="str">
        <f aca="false">IF(E134="","",IFERROR(INDEX(Catégories!$C$5:$C$60,MATCH(E134,Catégories!$A$5:$A$60,0)),"?"))</f>
        <v>Imposable</v>
      </c>
      <c r="J134" s="32" t="str">
        <f aca="false">IF(E134="","",IFERROR(INDEX(Catégories!$D$5:$D$60,MATCH(E134,Catégories!$A$5:$A$60,0)),"?"))</f>
        <v>Charges refacturées</v>
      </c>
      <c r="K134" s="33" t="n">
        <f aca="false">IF(H134="Recette",G134,IF(H134="Dépense",-G134,0))</f>
        <v>83.7</v>
      </c>
      <c r="L134" s="33" t="n">
        <f aca="false">IF(E134="",0,G134*IFERROR(INDEX(Catégories!$E$5:$E$60,MATCH(E134,Catégories!$A$5:$A$60,0)),0))</f>
        <v>83.7</v>
      </c>
      <c r="M134" s="30" t="s">
        <v>129</v>
      </c>
      <c r="N134" s="30" t="s">
        <v>130</v>
      </c>
      <c r="O134" s="30"/>
    </row>
    <row r="135" customFormat="false" ht="15" hidden="false" customHeight="true" outlineLevel="0" collapsed="false">
      <c r="A135" s="28" t="n">
        <v>45840</v>
      </c>
      <c r="B135" s="29" t="n">
        <f aca="false">IF(A135="","",YEAR(A135))</f>
        <v>2025</v>
      </c>
      <c r="C135" s="30" t="s">
        <v>58</v>
      </c>
      <c r="D135" s="30" t="s">
        <v>126</v>
      </c>
      <c r="E135" s="30" t="s">
        <v>136</v>
      </c>
      <c r="F135" s="30" t="s">
        <v>141</v>
      </c>
      <c r="G135" s="31" t="n">
        <v>5.02</v>
      </c>
      <c r="H135" s="32" t="str">
        <f aca="false">IF(E135="","",IFERROR(INDEX(Catégories!$B$5:$B$60,MATCH(E135,Catégories!$A$5:$A$60,0)),"?"))</f>
        <v>Dépense</v>
      </c>
      <c r="I135" s="32" t="str">
        <f aca="false">IF(E135="","",IFERROR(INDEX(Catégories!$C$5:$C$60,MATCH(E135,Catégories!$A$5:$A$60,0)),"?"))</f>
        <v>Déductible</v>
      </c>
      <c r="J135" s="32" t="str">
        <f aca="false">IF(E135="","",IFERROR(INDEX(Catégories!$D$5:$D$60,MATCH(E135,Catégories!$A$5:$A$60,0)),"?"))</f>
        <v>Frais de gestion</v>
      </c>
      <c r="K135" s="33" t="n">
        <f aca="false">IF(H135="Recette",G135,IF(H135="Dépense",-G135,0))</f>
        <v>-5.02</v>
      </c>
      <c r="L135" s="33" t="n">
        <f aca="false">IF(E135="",0,G135*IFERROR(INDEX(Catégories!$E$5:$E$60,MATCH(E135,Catégories!$A$5:$A$60,0)),0))</f>
        <v>-5.02</v>
      </c>
      <c r="M135" s="30" t="s">
        <v>129</v>
      </c>
      <c r="N135" s="30" t="s">
        <v>130</v>
      </c>
      <c r="O135" s="30"/>
    </row>
    <row r="136" customFormat="false" ht="15" hidden="false" customHeight="true" outlineLevel="0" collapsed="false">
      <c r="A136" s="28" t="n">
        <v>45840</v>
      </c>
      <c r="B136" s="29" t="n">
        <f aca="false">IF(A136="","",YEAR(A136))</f>
        <v>2025</v>
      </c>
      <c r="C136" s="30" t="s">
        <v>58</v>
      </c>
      <c r="D136" s="30" t="s">
        <v>126</v>
      </c>
      <c r="E136" s="30" t="s">
        <v>136</v>
      </c>
      <c r="F136" s="30" t="s">
        <v>142</v>
      </c>
      <c r="G136" s="31" t="n">
        <v>1</v>
      </c>
      <c r="H136" s="32" t="str">
        <f aca="false">IF(E136="","",IFERROR(INDEX(Catégories!$B$5:$B$60,MATCH(E136,Catégories!$A$5:$A$60,0)),"?"))</f>
        <v>Dépense</v>
      </c>
      <c r="I136" s="32" t="str">
        <f aca="false">IF(E136="","",IFERROR(INDEX(Catégories!$C$5:$C$60,MATCH(E136,Catégories!$A$5:$A$60,0)),"?"))</f>
        <v>Déductible</v>
      </c>
      <c r="J136" s="32" t="str">
        <f aca="false">IF(E136="","",IFERROR(INDEX(Catégories!$D$5:$D$60,MATCH(E136,Catégories!$A$5:$A$60,0)),"?"))</f>
        <v>Frais de gestion</v>
      </c>
      <c r="K136" s="33" t="n">
        <f aca="false">IF(H136="Recette",G136,IF(H136="Dépense",-G136,0))</f>
        <v>-1</v>
      </c>
      <c r="L136" s="33" t="n">
        <f aca="false">IF(E136="",0,G136*IFERROR(INDEX(Catégories!$E$5:$E$60,MATCH(E136,Catégories!$A$5:$A$60,0)),0))</f>
        <v>-1</v>
      </c>
      <c r="M136" s="30" t="s">
        <v>129</v>
      </c>
      <c r="N136" s="30" t="s">
        <v>130</v>
      </c>
      <c r="O136" s="30"/>
    </row>
    <row r="137" customFormat="false" ht="15" hidden="false" customHeight="true" outlineLevel="0" collapsed="false">
      <c r="A137" s="28" t="n">
        <v>45841</v>
      </c>
      <c r="B137" s="29" t="n">
        <f aca="false">IF(A137="","",YEAR(A137))</f>
        <v>2025</v>
      </c>
      <c r="C137" s="30" t="s">
        <v>58</v>
      </c>
      <c r="D137" s="30" t="s">
        <v>126</v>
      </c>
      <c r="E137" s="30" t="s">
        <v>168</v>
      </c>
      <c r="F137" s="30" t="s">
        <v>169</v>
      </c>
      <c r="G137" s="31" t="n">
        <v>1049.07</v>
      </c>
      <c r="H137" s="32" t="str">
        <f aca="false">IF(E137="","",IFERROR(INDEX(Catégories!$B$5:$B$60,MATCH(E137,Catégories!$A$5:$A$60,0)),"?"))</f>
        <v>Transfert</v>
      </c>
      <c r="I137" s="32" t="str">
        <f aca="false">IF(E137="","",IFERROR(INDEX(Catégories!$C$5:$C$60,MATCH(E137,Catégories!$A$5:$A$60,0)),"?"))</f>
        <v>Non fiscal</v>
      </c>
      <c r="J137" s="32" t="str">
        <f aca="false">IF(E137="","",IFERROR(INDEX(Catégories!$D$5:$D$60,MATCH(E137,Catégories!$A$5:$A$60,0)),"?"))</f>
        <v>Mouvements internes</v>
      </c>
      <c r="K137" s="33" t="n">
        <f aca="false">IF(H137="Recette",G137,IF(H137="Dépense",-G137,0))</f>
        <v>0</v>
      </c>
      <c r="L137" s="33" t="n">
        <f aca="false">IF(E137="",0,G137*IFERROR(INDEX(Catégories!$E$5:$E$60,MATCH(E137,Catégories!$A$5:$A$60,0)),0))</f>
        <v>-1049.07</v>
      </c>
      <c r="M137" s="30" t="s">
        <v>129</v>
      </c>
      <c r="N137" s="30" t="s">
        <v>130</v>
      </c>
      <c r="O137" s="30"/>
    </row>
    <row r="138" customFormat="false" ht="15" hidden="false" customHeight="true" outlineLevel="0" collapsed="false">
      <c r="A138" s="28" t="n">
        <v>45855</v>
      </c>
      <c r="B138" s="29" t="n">
        <f aca="false">IF(A138="","",YEAR(A138))</f>
        <v>2025</v>
      </c>
      <c r="C138" s="30" t="s">
        <v>58</v>
      </c>
      <c r="D138" s="30" t="s">
        <v>126</v>
      </c>
      <c r="E138" s="30" t="s">
        <v>228</v>
      </c>
      <c r="F138" s="30" t="s">
        <v>229</v>
      </c>
      <c r="G138" s="31" t="n">
        <v>139.5</v>
      </c>
      <c r="H138" s="32" t="str">
        <f aca="false">IF(E138="","",IFERROR(INDEX(Catégories!$B$5:$B$60,MATCH(E138,Catégories!$A$5:$A$60,0)),"?"))</f>
        <v>Transfert</v>
      </c>
      <c r="I138" s="32" t="str">
        <f aca="false">IF(E138="","",IFERROR(INDEX(Catégories!$C$5:$C$60,MATCH(E138,Catégories!$A$5:$A$60,0)),"?"))</f>
        <v>Non fiscal</v>
      </c>
      <c r="J138" s="32" t="str">
        <f aca="false">IF(E138="","",IFERROR(INDEX(Catégories!$D$5:$D$60,MATCH(E138,Catégories!$A$5:$A$60,0)),"?"))</f>
        <v>Mouvements internes</v>
      </c>
      <c r="K138" s="33" t="n">
        <f aca="false">IF(H138="Recette",G138,IF(H138="Dépense",-G138,0))</f>
        <v>0</v>
      </c>
      <c r="L138" s="33" t="n">
        <f aca="false">IF(E138="",0,G138*IFERROR(INDEX(Catégories!$E$5:$E$60,MATCH(E138,Catégories!$A$5:$A$60,0)),0))</f>
        <v>139.5</v>
      </c>
      <c r="M138" s="30" t="s">
        <v>129</v>
      </c>
      <c r="N138" s="30" t="s">
        <v>130</v>
      </c>
      <c r="O138" s="30"/>
    </row>
    <row r="139" customFormat="false" ht="15" hidden="false" customHeight="true" outlineLevel="0" collapsed="false">
      <c r="A139" s="28" t="n">
        <v>45855</v>
      </c>
      <c r="B139" s="29" t="n">
        <f aca="false">IF(A139="","",YEAR(A139))</f>
        <v>2025</v>
      </c>
      <c r="C139" s="30" t="s">
        <v>58</v>
      </c>
      <c r="D139" s="30" t="s">
        <v>148</v>
      </c>
      <c r="E139" s="30" t="s">
        <v>168</v>
      </c>
      <c r="F139" s="30" t="s">
        <v>230</v>
      </c>
      <c r="G139" s="31" t="n">
        <v>139.5</v>
      </c>
      <c r="H139" s="32" t="str">
        <f aca="false">IF(E139="","",IFERROR(INDEX(Catégories!$B$5:$B$60,MATCH(E139,Catégories!$A$5:$A$60,0)),"?"))</f>
        <v>Transfert</v>
      </c>
      <c r="I139" s="32" t="str">
        <f aca="false">IF(E139="","",IFERROR(INDEX(Catégories!$C$5:$C$60,MATCH(E139,Catégories!$A$5:$A$60,0)),"?"))</f>
        <v>Non fiscal</v>
      </c>
      <c r="J139" s="32" t="str">
        <f aca="false">IF(E139="","",IFERROR(INDEX(Catégories!$D$5:$D$60,MATCH(E139,Catégories!$A$5:$A$60,0)),"?"))</f>
        <v>Mouvements internes</v>
      </c>
      <c r="K139" s="33" t="n">
        <f aca="false">IF(H139="Recette",G139,IF(H139="Dépense",-G139,0))</f>
        <v>0</v>
      </c>
      <c r="L139" s="33" t="n">
        <f aca="false">IF(E139="",0,G139*IFERROR(INDEX(Catégories!$E$5:$E$60,MATCH(E139,Catégories!$A$5:$A$60,0)),0))</f>
        <v>-139.5</v>
      </c>
      <c r="M139" s="30" t="s">
        <v>150</v>
      </c>
      <c r="N139" s="30" t="s">
        <v>151</v>
      </c>
      <c r="O139" s="30" t="s">
        <v>231</v>
      </c>
    </row>
    <row r="140" customFormat="false" ht="15" hidden="false" customHeight="true" outlineLevel="0" collapsed="false">
      <c r="A140" s="28" t="n">
        <v>45856</v>
      </c>
      <c r="B140" s="29" t="n">
        <f aca="false">IF(A140="","",YEAR(A140))</f>
        <v>2025</v>
      </c>
      <c r="C140" s="30" t="s">
        <v>58</v>
      </c>
      <c r="D140" s="30" t="s">
        <v>126</v>
      </c>
      <c r="E140" s="30" t="s">
        <v>161</v>
      </c>
      <c r="F140" s="30" t="s">
        <v>232</v>
      </c>
      <c r="G140" s="31" t="n">
        <v>139.5</v>
      </c>
      <c r="H140" s="32" t="str">
        <f aca="false">IF(E140="","",IFERROR(INDEX(Catégories!$B$5:$B$60,MATCH(E140,Catégories!$A$5:$A$60,0)),"?"))</f>
        <v>Dépense</v>
      </c>
      <c r="I140" s="32" t="str">
        <f aca="false">IF(E140="","",IFERROR(INDEX(Catégories!$C$5:$C$60,MATCH(E140,Catégories!$A$5:$A$60,0)),"?"))</f>
        <v>Déductible</v>
      </c>
      <c r="J140" s="32" t="str">
        <f aca="false">IF(E140="","",IFERROR(INDEX(Catégories!$D$5:$D$60,MATCH(E140,Catégories!$A$5:$A$60,0)),"?"))</f>
        <v>Entretien et petit équipement</v>
      </c>
      <c r="K140" s="33" t="n">
        <f aca="false">IF(H140="Recette",G140,IF(H140="Dépense",-G140,0))</f>
        <v>-139.5</v>
      </c>
      <c r="L140" s="33" t="n">
        <f aca="false">IF(E140="",0,G140*IFERROR(INDEX(Catégories!$E$5:$E$60,MATCH(E140,Catégories!$A$5:$A$60,0)),0))</f>
        <v>-139.5</v>
      </c>
      <c r="M140" s="30" t="s">
        <v>129</v>
      </c>
      <c r="N140" s="30" t="s">
        <v>130</v>
      </c>
      <c r="O140" s="30"/>
    </row>
    <row r="141" customFormat="false" ht="15" hidden="false" customHeight="true" outlineLevel="0" collapsed="false">
      <c r="A141" s="28" t="n">
        <v>45861</v>
      </c>
      <c r="B141" s="29" t="n">
        <f aca="false">IF(A141="","",YEAR(A141))</f>
        <v>2025</v>
      </c>
      <c r="C141" s="30" t="s">
        <v>58</v>
      </c>
      <c r="D141" s="30" t="s">
        <v>148</v>
      </c>
      <c r="E141" s="30" t="s">
        <v>233</v>
      </c>
      <c r="F141" s="30" t="s">
        <v>234</v>
      </c>
      <c r="G141" s="31" t="n">
        <v>558</v>
      </c>
      <c r="H141" s="32" t="str">
        <f aca="false">IF(E141="","",IFERROR(INDEX(Catégories!$B$5:$B$60,MATCH(E141,Catégories!$A$5:$A$60,0)),"?"))</f>
        <v>Dépense</v>
      </c>
      <c r="I141" s="32" t="str">
        <f aca="false">IF(E141="","",IFERROR(INDEX(Catégories!$C$5:$C$60,MATCH(E141,Catégories!$A$5:$A$60,0)),"?"))</f>
        <v>Déductible</v>
      </c>
      <c r="J141" s="32" t="str">
        <f aca="false">IF(E141="","",IFERROR(INDEX(Catégories!$D$5:$D$60,MATCH(E141,Catégories!$A$5:$A$60,0)),"?"))</f>
        <v>Frais de gestion</v>
      </c>
      <c r="K141" s="33" t="n">
        <f aca="false">IF(H141="Recette",G141,IF(H141="Dépense",-G141,0))</f>
        <v>-558</v>
      </c>
      <c r="L141" s="33" t="n">
        <f aca="false">IF(E141="",0,G141*IFERROR(INDEX(Catégories!$E$5:$E$60,MATCH(E141,Catégories!$A$5:$A$60,0)),0))</f>
        <v>-558</v>
      </c>
      <c r="M141" s="30" t="s">
        <v>150</v>
      </c>
      <c r="N141" s="30" t="s">
        <v>151</v>
      </c>
      <c r="O141" s="30" t="s">
        <v>235</v>
      </c>
    </row>
    <row r="142" customFormat="false" ht="15" hidden="false" customHeight="true" outlineLevel="0" collapsed="false">
      <c r="A142" s="28" t="n">
        <v>45870</v>
      </c>
      <c r="B142" s="29" t="n">
        <f aca="false">IF(A142="","",YEAR(A142))</f>
        <v>2025</v>
      </c>
      <c r="C142" s="30" t="s">
        <v>58</v>
      </c>
      <c r="D142" s="30" t="s">
        <v>126</v>
      </c>
      <c r="E142" s="30" t="s">
        <v>158</v>
      </c>
      <c r="F142" s="30" t="s">
        <v>236</v>
      </c>
      <c r="G142" s="31" t="n">
        <v>3.49</v>
      </c>
      <c r="H142" s="32" t="str">
        <f aca="false">IF(E142="","",IFERROR(INDEX(Catégories!$B$5:$B$60,MATCH(E142,Catégories!$A$5:$A$60,0)),"?"))</f>
        <v>Dépense</v>
      </c>
      <c r="I142" s="32" t="str">
        <f aca="false">IF(E142="","",IFERROR(INDEX(Catégories!$C$5:$C$60,MATCH(E142,Catégories!$A$5:$A$60,0)),"?"))</f>
        <v>Déductible</v>
      </c>
      <c r="J142" s="32" t="str">
        <f aca="false">IF(E142="","",IFERROR(INDEX(Catégories!$D$5:$D$60,MATCH(E142,Catégories!$A$5:$A$60,0)),"?"))</f>
        <v>Frais de gestion</v>
      </c>
      <c r="K142" s="33" t="n">
        <f aca="false">IF(H142="Recette",G142,IF(H142="Dépense",-G142,0))</f>
        <v>-3.49</v>
      </c>
      <c r="L142" s="33" t="n">
        <f aca="false">IF(E142="",0,G142*IFERROR(INDEX(Catégories!$E$5:$E$60,MATCH(E142,Catégories!$A$5:$A$60,0)),0))</f>
        <v>-3.49</v>
      </c>
      <c r="M142" s="30" t="s">
        <v>129</v>
      </c>
      <c r="N142" s="30" t="s">
        <v>130</v>
      </c>
      <c r="O142" s="30"/>
    </row>
    <row r="143" customFormat="false" ht="15" hidden="false" customHeight="true" outlineLevel="0" collapsed="false">
      <c r="A143" s="28" t="n">
        <v>45870</v>
      </c>
      <c r="B143" s="29" t="n">
        <f aca="false">IF(A143="","",YEAR(A143))</f>
        <v>2025</v>
      </c>
      <c r="C143" s="30" t="s">
        <v>58</v>
      </c>
      <c r="D143" s="30" t="s">
        <v>126</v>
      </c>
      <c r="E143" s="30" t="s">
        <v>158</v>
      </c>
      <c r="F143" s="30" t="s">
        <v>237</v>
      </c>
      <c r="G143" s="31" t="n">
        <v>0.7</v>
      </c>
      <c r="H143" s="32" t="str">
        <f aca="false">IF(E143="","",IFERROR(INDEX(Catégories!$B$5:$B$60,MATCH(E143,Catégories!$A$5:$A$60,0)),"?"))</f>
        <v>Dépense</v>
      </c>
      <c r="I143" s="32" t="str">
        <f aca="false">IF(E143="","",IFERROR(INDEX(Catégories!$C$5:$C$60,MATCH(E143,Catégories!$A$5:$A$60,0)),"?"))</f>
        <v>Déductible</v>
      </c>
      <c r="J143" s="32" t="str">
        <f aca="false">IF(E143="","",IFERROR(INDEX(Catégories!$D$5:$D$60,MATCH(E143,Catégories!$A$5:$A$60,0)),"?"))</f>
        <v>Frais de gestion</v>
      </c>
      <c r="K143" s="33" t="n">
        <f aca="false">IF(H143="Recette",G143,IF(H143="Dépense",-G143,0))</f>
        <v>-0.7</v>
      </c>
      <c r="L143" s="33" t="n">
        <f aca="false">IF(E143="",0,G143*IFERROR(INDEX(Catégories!$E$5:$E$60,MATCH(E143,Catégories!$A$5:$A$60,0)),0))</f>
        <v>-0.7</v>
      </c>
      <c r="M143" s="30" t="s">
        <v>129</v>
      </c>
      <c r="N143" s="30" t="s">
        <v>130</v>
      </c>
      <c r="O143" s="30"/>
    </row>
    <row r="144" customFormat="false" ht="15" hidden="false" customHeight="true" outlineLevel="0" collapsed="false">
      <c r="A144" s="28" t="n">
        <v>45870</v>
      </c>
      <c r="B144" s="29" t="n">
        <f aca="false">IF(A144="","",YEAR(A144))</f>
        <v>2025</v>
      </c>
      <c r="C144" s="30" t="s">
        <v>58</v>
      </c>
      <c r="D144" s="30" t="s">
        <v>126</v>
      </c>
      <c r="E144" s="30" t="s">
        <v>134</v>
      </c>
      <c r="F144" s="30" t="s">
        <v>238</v>
      </c>
      <c r="G144" s="31" t="n">
        <v>-107.46</v>
      </c>
      <c r="H144" s="32" t="str">
        <f aca="false">IF(E144="","",IFERROR(INDEX(Catégories!$B$5:$B$60,MATCH(E144,Catégories!$A$5:$A$60,0)),"?"))</f>
        <v>Recette</v>
      </c>
      <c r="I144" s="32" t="str">
        <f aca="false">IF(E144="","",IFERROR(INDEX(Catégories!$C$5:$C$60,MATCH(E144,Catégories!$A$5:$A$60,0)),"?"))</f>
        <v>Imposable</v>
      </c>
      <c r="J144" s="32" t="str">
        <f aca="false">IF(E144="","",IFERROR(INDEX(Catégories!$D$5:$D$60,MATCH(E144,Catégories!$A$5:$A$60,0)),"?"))</f>
        <v>Loyers</v>
      </c>
      <c r="K144" s="33" t="n">
        <f aca="false">IF(H144="Recette",G144,IF(H144="Dépense",-G144,0))</f>
        <v>-107.46</v>
      </c>
      <c r="L144" s="33" t="n">
        <f aca="false">IF(E144="",0,G144*IFERROR(INDEX(Catégories!$E$5:$E$60,MATCH(E144,Catégories!$A$5:$A$60,0)),0))</f>
        <v>-107.46</v>
      </c>
      <c r="M144" s="30" t="s">
        <v>129</v>
      </c>
      <c r="N144" s="30" t="s">
        <v>130</v>
      </c>
      <c r="O144" s="30" t="s">
        <v>239</v>
      </c>
    </row>
    <row r="145" customFormat="false" ht="15" hidden="false" customHeight="true" outlineLevel="0" collapsed="false">
      <c r="A145" s="28" t="n">
        <v>45870</v>
      </c>
      <c r="B145" s="29" t="n">
        <f aca="false">IF(A145="","",YEAR(A145))</f>
        <v>2025</v>
      </c>
      <c r="C145" s="30" t="s">
        <v>58</v>
      </c>
      <c r="D145" s="30" t="s">
        <v>126</v>
      </c>
      <c r="E145" s="30" t="s">
        <v>134</v>
      </c>
      <c r="F145" s="30" t="s">
        <v>240</v>
      </c>
      <c r="G145" s="31" t="n">
        <v>107.46</v>
      </c>
      <c r="H145" s="32" t="str">
        <f aca="false">IF(E145="","",IFERROR(INDEX(Catégories!$B$5:$B$60,MATCH(E145,Catégories!$A$5:$A$60,0)),"?"))</f>
        <v>Recette</v>
      </c>
      <c r="I145" s="32" t="str">
        <f aca="false">IF(E145="","",IFERROR(INDEX(Catégories!$C$5:$C$60,MATCH(E145,Catégories!$A$5:$A$60,0)),"?"))</f>
        <v>Imposable</v>
      </c>
      <c r="J145" s="32" t="str">
        <f aca="false">IF(E145="","",IFERROR(INDEX(Catégories!$D$5:$D$60,MATCH(E145,Catégories!$A$5:$A$60,0)),"?"))</f>
        <v>Loyers</v>
      </c>
      <c r="K145" s="33" t="n">
        <f aca="false">IF(H145="Recette",G145,IF(H145="Dépense",-G145,0))</f>
        <v>107.46</v>
      </c>
      <c r="L145" s="33" t="n">
        <f aca="false">IF(E145="",0,G145*IFERROR(INDEX(Catégories!$E$5:$E$60,MATCH(E145,Catégories!$A$5:$A$60,0)),0))</f>
        <v>107.46</v>
      </c>
      <c r="M145" s="30" t="s">
        <v>129</v>
      </c>
      <c r="N145" s="30" t="s">
        <v>130</v>
      </c>
      <c r="O145" s="30"/>
    </row>
    <row r="146" customFormat="false" ht="15" hidden="false" customHeight="true" outlineLevel="0" collapsed="false">
      <c r="A146" s="28" t="n">
        <v>45870</v>
      </c>
      <c r="B146" s="29" t="n">
        <f aca="false">IF(A146="","",YEAR(A146))</f>
        <v>2025</v>
      </c>
      <c r="C146" s="30" t="s">
        <v>58</v>
      </c>
      <c r="D146" s="30" t="s">
        <v>126</v>
      </c>
      <c r="E146" s="30" t="s">
        <v>136</v>
      </c>
      <c r="F146" s="30" t="s">
        <v>241</v>
      </c>
      <c r="G146" s="31" t="n">
        <v>6.44</v>
      </c>
      <c r="H146" s="32" t="str">
        <f aca="false">IF(E146="","",IFERROR(INDEX(Catégories!$B$5:$B$60,MATCH(E146,Catégories!$A$5:$A$60,0)),"?"))</f>
        <v>Dépense</v>
      </c>
      <c r="I146" s="32" t="str">
        <f aca="false">IF(E146="","",IFERROR(INDEX(Catégories!$C$5:$C$60,MATCH(E146,Catégories!$A$5:$A$60,0)),"?"))</f>
        <v>Déductible</v>
      </c>
      <c r="J146" s="32" t="str">
        <f aca="false">IF(E146="","",IFERROR(INDEX(Catégories!$D$5:$D$60,MATCH(E146,Catégories!$A$5:$A$60,0)),"?"))</f>
        <v>Frais de gestion</v>
      </c>
      <c r="K146" s="33" t="n">
        <f aca="false">IF(H146="Recette",G146,IF(H146="Dépense",-G146,0))</f>
        <v>-6.44</v>
      </c>
      <c r="L146" s="33" t="n">
        <f aca="false">IF(E146="",0,G146*IFERROR(INDEX(Catégories!$E$5:$E$60,MATCH(E146,Catégories!$A$5:$A$60,0)),0))</f>
        <v>-6.44</v>
      </c>
      <c r="M146" s="30" t="s">
        <v>129</v>
      </c>
      <c r="N146" s="30" t="s">
        <v>130</v>
      </c>
      <c r="O146" s="30"/>
    </row>
    <row r="147" customFormat="false" ht="15" hidden="false" customHeight="true" outlineLevel="0" collapsed="false">
      <c r="A147" s="28" t="n">
        <v>45870</v>
      </c>
      <c r="B147" s="29" t="n">
        <f aca="false">IF(A147="","",YEAR(A147))</f>
        <v>2025</v>
      </c>
      <c r="C147" s="30" t="s">
        <v>58</v>
      </c>
      <c r="D147" s="30" t="s">
        <v>126</v>
      </c>
      <c r="E147" s="30" t="s">
        <v>136</v>
      </c>
      <c r="F147" s="30" t="s">
        <v>242</v>
      </c>
      <c r="G147" s="31" t="n">
        <v>1.29</v>
      </c>
      <c r="H147" s="32" t="str">
        <f aca="false">IF(E147="","",IFERROR(INDEX(Catégories!$B$5:$B$60,MATCH(E147,Catégories!$A$5:$A$60,0)),"?"))</f>
        <v>Dépense</v>
      </c>
      <c r="I147" s="32" t="str">
        <f aca="false">IF(E147="","",IFERROR(INDEX(Catégories!$C$5:$C$60,MATCH(E147,Catégories!$A$5:$A$60,0)),"?"))</f>
        <v>Déductible</v>
      </c>
      <c r="J147" s="32" t="str">
        <f aca="false">IF(E147="","",IFERROR(INDEX(Catégories!$D$5:$D$60,MATCH(E147,Catégories!$A$5:$A$60,0)),"?"))</f>
        <v>Frais de gestion</v>
      </c>
      <c r="K147" s="33" t="n">
        <f aca="false">IF(H147="Recette",G147,IF(H147="Dépense",-G147,0))</f>
        <v>-1.29</v>
      </c>
      <c r="L147" s="33" t="n">
        <f aca="false">IF(E147="",0,G147*IFERROR(INDEX(Catégories!$E$5:$E$60,MATCH(E147,Catégories!$A$5:$A$60,0)),0))</f>
        <v>-1.29</v>
      </c>
      <c r="M147" s="30" t="s">
        <v>129</v>
      </c>
      <c r="N147" s="30" t="s">
        <v>130</v>
      </c>
      <c r="O147" s="30"/>
    </row>
    <row r="148" customFormat="false" ht="15" hidden="false" customHeight="true" outlineLevel="0" collapsed="false">
      <c r="A148" s="28" t="n">
        <v>45870</v>
      </c>
      <c r="B148" s="29" t="n">
        <f aca="false">IF(A148="","",YEAR(A148))</f>
        <v>2025</v>
      </c>
      <c r="C148" s="30" t="s">
        <v>58</v>
      </c>
      <c r="D148" s="30" t="s">
        <v>126</v>
      </c>
      <c r="E148" s="30" t="s">
        <v>158</v>
      </c>
      <c r="F148" s="30" t="s">
        <v>243</v>
      </c>
      <c r="G148" s="31" t="n">
        <v>6.17</v>
      </c>
      <c r="H148" s="32" t="str">
        <f aca="false">IF(E148="","",IFERROR(INDEX(Catégories!$B$5:$B$60,MATCH(E148,Catégories!$A$5:$A$60,0)),"?"))</f>
        <v>Dépense</v>
      </c>
      <c r="I148" s="32" t="str">
        <f aca="false">IF(E148="","",IFERROR(INDEX(Catégories!$C$5:$C$60,MATCH(E148,Catégories!$A$5:$A$60,0)),"?"))</f>
        <v>Déductible</v>
      </c>
      <c r="J148" s="32" t="str">
        <f aca="false">IF(E148="","",IFERROR(INDEX(Catégories!$D$5:$D$60,MATCH(E148,Catégories!$A$5:$A$60,0)),"?"))</f>
        <v>Frais de gestion</v>
      </c>
      <c r="K148" s="33" t="n">
        <f aca="false">IF(H148="Recette",G148,IF(H148="Dépense",-G148,0))</f>
        <v>-6.17</v>
      </c>
      <c r="L148" s="33" t="n">
        <f aca="false">IF(E148="",0,G148*IFERROR(INDEX(Catégories!$E$5:$E$60,MATCH(E148,Catégories!$A$5:$A$60,0)),0))</f>
        <v>-6.17</v>
      </c>
      <c r="M148" s="30" t="s">
        <v>129</v>
      </c>
      <c r="N148" s="30" t="s">
        <v>130</v>
      </c>
      <c r="O148" s="30"/>
    </row>
    <row r="149" customFormat="false" ht="15" hidden="false" customHeight="true" outlineLevel="0" collapsed="false">
      <c r="A149" s="28" t="n">
        <v>45870</v>
      </c>
      <c r="B149" s="29" t="n">
        <f aca="false">IF(A149="","",YEAR(A149))</f>
        <v>2025</v>
      </c>
      <c r="C149" s="30" t="s">
        <v>58</v>
      </c>
      <c r="D149" s="30" t="s">
        <v>126</v>
      </c>
      <c r="E149" s="30" t="s">
        <v>158</v>
      </c>
      <c r="F149" s="30" t="s">
        <v>244</v>
      </c>
      <c r="G149" s="31" t="n">
        <v>1.24</v>
      </c>
      <c r="H149" s="32" t="str">
        <f aca="false">IF(E149="","",IFERROR(INDEX(Catégories!$B$5:$B$60,MATCH(E149,Catégories!$A$5:$A$60,0)),"?"))</f>
        <v>Dépense</v>
      </c>
      <c r="I149" s="32" t="str">
        <f aca="false">IF(E149="","",IFERROR(INDEX(Catégories!$C$5:$C$60,MATCH(E149,Catégories!$A$5:$A$60,0)),"?"))</f>
        <v>Déductible</v>
      </c>
      <c r="J149" s="32" t="str">
        <f aca="false">IF(E149="","",IFERROR(INDEX(Catégories!$D$5:$D$60,MATCH(E149,Catégories!$A$5:$A$60,0)),"?"))</f>
        <v>Frais de gestion</v>
      </c>
      <c r="K149" s="33" t="n">
        <f aca="false">IF(H149="Recette",G149,IF(H149="Dépense",-G149,0))</f>
        <v>-1.24</v>
      </c>
      <c r="L149" s="33" t="n">
        <f aca="false">IF(E149="",0,G149*IFERROR(INDEX(Catégories!$E$5:$E$60,MATCH(E149,Catégories!$A$5:$A$60,0)),0))</f>
        <v>-1.24</v>
      </c>
      <c r="M149" s="30" t="s">
        <v>129</v>
      </c>
      <c r="N149" s="30" t="s">
        <v>130</v>
      </c>
      <c r="O149" s="30"/>
    </row>
    <row r="150" customFormat="false" ht="15" hidden="false" customHeight="true" outlineLevel="0" collapsed="false">
      <c r="A150" s="28" t="n">
        <v>45870</v>
      </c>
      <c r="B150" s="29" t="n">
        <f aca="false">IF(A150="","",YEAR(A150))</f>
        <v>2025</v>
      </c>
      <c r="C150" s="30" t="s">
        <v>58</v>
      </c>
      <c r="D150" s="30" t="s">
        <v>126</v>
      </c>
      <c r="E150" s="30" t="s">
        <v>158</v>
      </c>
      <c r="F150" s="30" t="s">
        <v>243</v>
      </c>
      <c r="G150" s="31" t="n">
        <v>39.75</v>
      </c>
      <c r="H150" s="32" t="str">
        <f aca="false">IF(E150="","",IFERROR(INDEX(Catégories!$B$5:$B$60,MATCH(E150,Catégories!$A$5:$A$60,0)),"?"))</f>
        <v>Dépense</v>
      </c>
      <c r="I150" s="32" t="str">
        <f aca="false">IF(E150="","",IFERROR(INDEX(Catégories!$C$5:$C$60,MATCH(E150,Catégories!$A$5:$A$60,0)),"?"))</f>
        <v>Déductible</v>
      </c>
      <c r="J150" s="32" t="str">
        <f aca="false">IF(E150="","",IFERROR(INDEX(Catégories!$D$5:$D$60,MATCH(E150,Catégories!$A$5:$A$60,0)),"?"))</f>
        <v>Frais de gestion</v>
      </c>
      <c r="K150" s="33" t="n">
        <f aca="false">IF(H150="Recette",G150,IF(H150="Dépense",-G150,0))</f>
        <v>-39.75</v>
      </c>
      <c r="L150" s="33" t="n">
        <f aca="false">IF(E150="",0,G150*IFERROR(INDEX(Catégories!$E$5:$E$60,MATCH(E150,Catégories!$A$5:$A$60,0)),0))</f>
        <v>-39.75</v>
      </c>
      <c r="M150" s="30" t="s">
        <v>129</v>
      </c>
      <c r="N150" s="30" t="s">
        <v>130</v>
      </c>
      <c r="O150" s="30"/>
    </row>
    <row r="151" customFormat="false" ht="15" hidden="false" customHeight="true" outlineLevel="0" collapsed="false">
      <c r="A151" s="28" t="n">
        <v>45870</v>
      </c>
      <c r="B151" s="29" t="n">
        <f aca="false">IF(A151="","",YEAR(A151))</f>
        <v>2025</v>
      </c>
      <c r="C151" s="30" t="s">
        <v>58</v>
      </c>
      <c r="D151" s="30" t="s">
        <v>126</v>
      </c>
      <c r="E151" s="30" t="s">
        <v>158</v>
      </c>
      <c r="F151" s="30" t="s">
        <v>244</v>
      </c>
      <c r="G151" s="31" t="n">
        <v>7.95</v>
      </c>
      <c r="H151" s="32" t="str">
        <f aca="false">IF(E151="","",IFERROR(INDEX(Catégories!$B$5:$B$60,MATCH(E151,Catégories!$A$5:$A$60,0)),"?"))</f>
        <v>Dépense</v>
      </c>
      <c r="I151" s="32" t="str">
        <f aca="false">IF(E151="","",IFERROR(INDEX(Catégories!$C$5:$C$60,MATCH(E151,Catégories!$A$5:$A$60,0)),"?"))</f>
        <v>Déductible</v>
      </c>
      <c r="J151" s="32" t="str">
        <f aca="false">IF(E151="","",IFERROR(INDEX(Catégories!$D$5:$D$60,MATCH(E151,Catégories!$A$5:$A$60,0)),"?"))</f>
        <v>Frais de gestion</v>
      </c>
      <c r="K151" s="33" t="n">
        <f aca="false">IF(H151="Recette",G151,IF(H151="Dépense",-G151,0))</f>
        <v>-7.95</v>
      </c>
      <c r="L151" s="33" t="n">
        <f aca="false">IF(E151="",0,G151*IFERROR(INDEX(Catégories!$E$5:$E$60,MATCH(E151,Catégories!$A$5:$A$60,0)),0))</f>
        <v>-7.95</v>
      </c>
      <c r="M151" s="30" t="s">
        <v>129</v>
      </c>
      <c r="N151" s="30" t="s">
        <v>130</v>
      </c>
      <c r="O151" s="30"/>
    </row>
    <row r="152" customFormat="false" ht="15" hidden="false" customHeight="true" outlineLevel="0" collapsed="false">
      <c r="A152" s="28" t="n">
        <v>45873</v>
      </c>
      <c r="B152" s="29" t="n">
        <f aca="false">IF(A152="","",YEAR(A152))</f>
        <v>2025</v>
      </c>
      <c r="C152" s="30" t="s">
        <v>58</v>
      </c>
      <c r="D152" s="30" t="s">
        <v>126</v>
      </c>
      <c r="E152" s="30" t="s">
        <v>134</v>
      </c>
      <c r="F152" s="30" t="s">
        <v>245</v>
      </c>
      <c r="G152" s="31" t="n">
        <v>939.3</v>
      </c>
      <c r="H152" s="32" t="str">
        <f aca="false">IF(E152="","",IFERROR(INDEX(Catégories!$B$5:$B$60,MATCH(E152,Catégories!$A$5:$A$60,0)),"?"))</f>
        <v>Recette</v>
      </c>
      <c r="I152" s="32" t="str">
        <f aca="false">IF(E152="","",IFERROR(INDEX(Catégories!$C$5:$C$60,MATCH(E152,Catégories!$A$5:$A$60,0)),"?"))</f>
        <v>Imposable</v>
      </c>
      <c r="J152" s="32" t="str">
        <f aca="false">IF(E152="","",IFERROR(INDEX(Catégories!$D$5:$D$60,MATCH(E152,Catégories!$A$5:$A$60,0)),"?"))</f>
        <v>Loyers</v>
      </c>
      <c r="K152" s="33" t="n">
        <f aca="false">IF(H152="Recette",G152,IF(H152="Dépense",-G152,0))</f>
        <v>939.3</v>
      </c>
      <c r="L152" s="33" t="n">
        <f aca="false">IF(E152="",0,G152*IFERROR(INDEX(Catégories!$E$5:$E$60,MATCH(E152,Catégories!$A$5:$A$60,0)),0))</f>
        <v>939.3</v>
      </c>
      <c r="M152" s="30" t="s">
        <v>129</v>
      </c>
      <c r="N152" s="30" t="s">
        <v>130</v>
      </c>
      <c r="O152" s="30"/>
    </row>
    <row r="153" customFormat="false" ht="15" hidden="false" customHeight="true" outlineLevel="0" collapsed="false">
      <c r="A153" s="28" t="n">
        <v>45873</v>
      </c>
      <c r="B153" s="29" t="n">
        <f aca="false">IF(A153="","",YEAR(A153))</f>
        <v>2025</v>
      </c>
      <c r="C153" s="30" t="s">
        <v>58</v>
      </c>
      <c r="D153" s="30" t="s">
        <v>126</v>
      </c>
      <c r="E153" s="30" t="s">
        <v>136</v>
      </c>
      <c r="F153" s="30" t="s">
        <v>137</v>
      </c>
      <c r="G153" s="31" t="n">
        <v>56.36</v>
      </c>
      <c r="H153" s="32" t="str">
        <f aca="false">IF(E153="","",IFERROR(INDEX(Catégories!$B$5:$B$60,MATCH(E153,Catégories!$A$5:$A$60,0)),"?"))</f>
        <v>Dépense</v>
      </c>
      <c r="I153" s="32" t="str">
        <f aca="false">IF(E153="","",IFERROR(INDEX(Catégories!$C$5:$C$60,MATCH(E153,Catégories!$A$5:$A$60,0)),"?"))</f>
        <v>Déductible</v>
      </c>
      <c r="J153" s="32" t="str">
        <f aca="false">IF(E153="","",IFERROR(INDEX(Catégories!$D$5:$D$60,MATCH(E153,Catégories!$A$5:$A$60,0)),"?"))</f>
        <v>Frais de gestion</v>
      </c>
      <c r="K153" s="33" t="n">
        <f aca="false">IF(H153="Recette",G153,IF(H153="Dépense",-G153,0))</f>
        <v>-56.36</v>
      </c>
      <c r="L153" s="33" t="n">
        <f aca="false">IF(E153="",0,G153*IFERROR(INDEX(Catégories!$E$5:$E$60,MATCH(E153,Catégories!$A$5:$A$60,0)),0))</f>
        <v>-56.36</v>
      </c>
      <c r="M153" s="30" t="s">
        <v>129</v>
      </c>
      <c r="N153" s="30" t="s">
        <v>130</v>
      </c>
      <c r="O153" s="30"/>
    </row>
    <row r="154" customFormat="false" ht="15" hidden="false" customHeight="true" outlineLevel="0" collapsed="false">
      <c r="A154" s="28" t="n">
        <v>45873</v>
      </c>
      <c r="B154" s="29" t="n">
        <f aca="false">IF(A154="","",YEAR(A154))</f>
        <v>2025</v>
      </c>
      <c r="C154" s="30" t="s">
        <v>58</v>
      </c>
      <c r="D154" s="30" t="s">
        <v>126</v>
      </c>
      <c r="E154" s="30" t="s">
        <v>136</v>
      </c>
      <c r="F154" s="30" t="s">
        <v>138</v>
      </c>
      <c r="G154" s="31" t="n">
        <v>11.27</v>
      </c>
      <c r="H154" s="32" t="str">
        <f aca="false">IF(E154="","",IFERROR(INDEX(Catégories!$B$5:$B$60,MATCH(E154,Catégories!$A$5:$A$60,0)),"?"))</f>
        <v>Dépense</v>
      </c>
      <c r="I154" s="32" t="str">
        <f aca="false">IF(E154="","",IFERROR(INDEX(Catégories!$C$5:$C$60,MATCH(E154,Catégories!$A$5:$A$60,0)),"?"))</f>
        <v>Déductible</v>
      </c>
      <c r="J154" s="32" t="str">
        <f aca="false">IF(E154="","",IFERROR(INDEX(Catégories!$D$5:$D$60,MATCH(E154,Catégories!$A$5:$A$60,0)),"?"))</f>
        <v>Frais de gestion</v>
      </c>
      <c r="K154" s="33" t="n">
        <f aca="false">IF(H154="Recette",G154,IF(H154="Dépense",-G154,0))</f>
        <v>-11.27</v>
      </c>
      <c r="L154" s="33" t="n">
        <f aca="false">IF(E154="",0,G154*IFERROR(INDEX(Catégories!$E$5:$E$60,MATCH(E154,Catégories!$A$5:$A$60,0)),0))</f>
        <v>-11.27</v>
      </c>
      <c r="M154" s="30" t="s">
        <v>129</v>
      </c>
      <c r="N154" s="30" t="s">
        <v>130</v>
      </c>
      <c r="O154" s="30"/>
    </row>
    <row r="155" customFormat="false" ht="15" hidden="false" customHeight="true" outlineLevel="0" collapsed="false">
      <c r="A155" s="28" t="n">
        <v>45873</v>
      </c>
      <c r="B155" s="29" t="n">
        <f aca="false">IF(A155="","",YEAR(A155))</f>
        <v>2025</v>
      </c>
      <c r="C155" s="30" t="s">
        <v>58</v>
      </c>
      <c r="D155" s="30" t="s">
        <v>126</v>
      </c>
      <c r="E155" s="30" t="s">
        <v>139</v>
      </c>
      <c r="F155" s="30" t="s">
        <v>246</v>
      </c>
      <c r="G155" s="31" t="n">
        <v>83.7</v>
      </c>
      <c r="H155" s="32" t="str">
        <f aca="false">IF(E155="","",IFERROR(INDEX(Catégories!$B$5:$B$60,MATCH(E155,Catégories!$A$5:$A$60,0)),"?"))</f>
        <v>Recette</v>
      </c>
      <c r="I155" s="32" t="str">
        <f aca="false">IF(E155="","",IFERROR(INDEX(Catégories!$C$5:$C$60,MATCH(E155,Catégories!$A$5:$A$60,0)),"?"))</f>
        <v>Imposable</v>
      </c>
      <c r="J155" s="32" t="str">
        <f aca="false">IF(E155="","",IFERROR(INDEX(Catégories!$D$5:$D$60,MATCH(E155,Catégories!$A$5:$A$60,0)),"?"))</f>
        <v>Charges refacturées</v>
      </c>
      <c r="K155" s="33" t="n">
        <f aca="false">IF(H155="Recette",G155,IF(H155="Dépense",-G155,0))</f>
        <v>83.7</v>
      </c>
      <c r="L155" s="33" t="n">
        <f aca="false">IF(E155="",0,G155*IFERROR(INDEX(Catégories!$E$5:$E$60,MATCH(E155,Catégories!$A$5:$A$60,0)),0))</f>
        <v>83.7</v>
      </c>
      <c r="M155" s="30" t="s">
        <v>129</v>
      </c>
      <c r="N155" s="30" t="s">
        <v>130</v>
      </c>
      <c r="O155" s="30"/>
    </row>
    <row r="156" customFormat="false" ht="15" hidden="false" customHeight="true" outlineLevel="0" collapsed="false">
      <c r="A156" s="28" t="n">
        <v>45873</v>
      </c>
      <c r="B156" s="29" t="n">
        <f aca="false">IF(A156="","",YEAR(A156))</f>
        <v>2025</v>
      </c>
      <c r="C156" s="30" t="s">
        <v>58</v>
      </c>
      <c r="D156" s="30" t="s">
        <v>126</v>
      </c>
      <c r="E156" s="30" t="s">
        <v>136</v>
      </c>
      <c r="F156" s="30" t="s">
        <v>141</v>
      </c>
      <c r="G156" s="31" t="n">
        <v>5.02</v>
      </c>
      <c r="H156" s="32" t="str">
        <f aca="false">IF(E156="","",IFERROR(INDEX(Catégories!$B$5:$B$60,MATCH(E156,Catégories!$A$5:$A$60,0)),"?"))</f>
        <v>Dépense</v>
      </c>
      <c r="I156" s="32" t="str">
        <f aca="false">IF(E156="","",IFERROR(INDEX(Catégories!$C$5:$C$60,MATCH(E156,Catégories!$A$5:$A$60,0)),"?"))</f>
        <v>Déductible</v>
      </c>
      <c r="J156" s="32" t="str">
        <f aca="false">IF(E156="","",IFERROR(INDEX(Catégories!$D$5:$D$60,MATCH(E156,Catégories!$A$5:$A$60,0)),"?"))</f>
        <v>Frais de gestion</v>
      </c>
      <c r="K156" s="33" t="n">
        <f aca="false">IF(H156="Recette",G156,IF(H156="Dépense",-G156,0))</f>
        <v>-5.02</v>
      </c>
      <c r="L156" s="33" t="n">
        <f aca="false">IF(E156="",0,G156*IFERROR(INDEX(Catégories!$E$5:$E$60,MATCH(E156,Catégories!$A$5:$A$60,0)),0))</f>
        <v>-5.02</v>
      </c>
      <c r="M156" s="30" t="s">
        <v>129</v>
      </c>
      <c r="N156" s="30" t="s">
        <v>130</v>
      </c>
      <c r="O156" s="30"/>
    </row>
    <row r="157" customFormat="false" ht="15" hidden="false" customHeight="true" outlineLevel="0" collapsed="false">
      <c r="A157" s="28" t="n">
        <v>45873</v>
      </c>
      <c r="B157" s="29" t="n">
        <f aca="false">IF(A157="","",YEAR(A157))</f>
        <v>2025</v>
      </c>
      <c r="C157" s="30" t="s">
        <v>58</v>
      </c>
      <c r="D157" s="30" t="s">
        <v>126</v>
      </c>
      <c r="E157" s="30" t="s">
        <v>136</v>
      </c>
      <c r="F157" s="30" t="s">
        <v>142</v>
      </c>
      <c r="G157" s="31" t="n">
        <v>1</v>
      </c>
      <c r="H157" s="32" t="str">
        <f aca="false">IF(E157="","",IFERROR(INDEX(Catégories!$B$5:$B$60,MATCH(E157,Catégories!$A$5:$A$60,0)),"?"))</f>
        <v>Dépense</v>
      </c>
      <c r="I157" s="32" t="str">
        <f aca="false">IF(E157="","",IFERROR(INDEX(Catégories!$C$5:$C$60,MATCH(E157,Catégories!$A$5:$A$60,0)),"?"))</f>
        <v>Déductible</v>
      </c>
      <c r="J157" s="32" t="str">
        <f aca="false">IF(E157="","",IFERROR(INDEX(Catégories!$D$5:$D$60,MATCH(E157,Catégories!$A$5:$A$60,0)),"?"))</f>
        <v>Frais de gestion</v>
      </c>
      <c r="K157" s="33" t="n">
        <f aca="false">IF(H157="Recette",G157,IF(H157="Dépense",-G157,0))</f>
        <v>-1</v>
      </c>
      <c r="L157" s="33" t="n">
        <f aca="false">IF(E157="",0,G157*IFERROR(INDEX(Catégories!$E$5:$E$60,MATCH(E157,Catégories!$A$5:$A$60,0)),0))</f>
        <v>-1</v>
      </c>
      <c r="M157" s="30" t="s">
        <v>129</v>
      </c>
      <c r="N157" s="30" t="s">
        <v>130</v>
      </c>
      <c r="O157" s="30"/>
    </row>
    <row r="158" customFormat="false" ht="15" hidden="false" customHeight="true" outlineLevel="0" collapsed="false">
      <c r="A158" s="28" t="n">
        <v>45873</v>
      </c>
      <c r="B158" s="29" t="n">
        <f aca="false">IF(A158="","",YEAR(A158))</f>
        <v>2025</v>
      </c>
      <c r="C158" s="30" t="s">
        <v>58</v>
      </c>
      <c r="D158" s="30" t="s">
        <v>126</v>
      </c>
      <c r="E158" s="30" t="s">
        <v>161</v>
      </c>
      <c r="F158" s="30" t="s">
        <v>247</v>
      </c>
      <c r="G158" s="31" t="n">
        <v>246.92</v>
      </c>
      <c r="H158" s="32" t="str">
        <f aca="false">IF(E158="","",IFERROR(INDEX(Catégories!$B$5:$B$60,MATCH(E158,Catégories!$A$5:$A$60,0)),"?"))</f>
        <v>Dépense</v>
      </c>
      <c r="I158" s="32" t="str">
        <f aca="false">IF(E158="","",IFERROR(INDEX(Catégories!$C$5:$C$60,MATCH(E158,Catégories!$A$5:$A$60,0)),"?"))</f>
        <v>Déductible</v>
      </c>
      <c r="J158" s="32" t="str">
        <f aca="false">IF(E158="","",IFERROR(INDEX(Catégories!$D$5:$D$60,MATCH(E158,Catégories!$A$5:$A$60,0)),"?"))</f>
        <v>Entretien et petit équipement</v>
      </c>
      <c r="K158" s="33" t="n">
        <f aca="false">IF(H158="Recette",G158,IF(H158="Dépense",-G158,0))</f>
        <v>-246.92</v>
      </c>
      <c r="L158" s="33" t="n">
        <f aca="false">IF(E158="",0,G158*IFERROR(INDEX(Catégories!$E$5:$E$60,MATCH(E158,Catégories!$A$5:$A$60,0)),0))</f>
        <v>-246.92</v>
      </c>
      <c r="M158" s="30" t="s">
        <v>129</v>
      </c>
      <c r="N158" s="30" t="s">
        <v>130</v>
      </c>
      <c r="O158" s="30"/>
    </row>
    <row r="159" customFormat="false" ht="15" hidden="false" customHeight="true" outlineLevel="0" collapsed="false">
      <c r="A159" s="28" t="n">
        <v>45873</v>
      </c>
      <c r="B159" s="29" t="n">
        <f aca="false">IF(A159="","",YEAR(A159))</f>
        <v>2025</v>
      </c>
      <c r="C159" s="30" t="s">
        <v>58</v>
      </c>
      <c r="D159" s="30" t="s">
        <v>126</v>
      </c>
      <c r="E159" s="30" t="s">
        <v>228</v>
      </c>
      <c r="F159" s="30" t="s">
        <v>248</v>
      </c>
      <c r="G159" s="31" t="n">
        <v>954.71</v>
      </c>
      <c r="H159" s="32" t="str">
        <f aca="false">IF(E159="","",IFERROR(INDEX(Catégories!$B$5:$B$60,MATCH(E159,Catégories!$A$5:$A$60,0)),"?"))</f>
        <v>Transfert</v>
      </c>
      <c r="I159" s="32" t="str">
        <f aca="false">IF(E159="","",IFERROR(INDEX(Catégories!$C$5:$C$60,MATCH(E159,Catégories!$A$5:$A$60,0)),"?"))</f>
        <v>Non fiscal</v>
      </c>
      <c r="J159" s="32" t="str">
        <f aca="false">IF(E159="","",IFERROR(INDEX(Catégories!$D$5:$D$60,MATCH(E159,Catégories!$A$5:$A$60,0)),"?"))</f>
        <v>Mouvements internes</v>
      </c>
      <c r="K159" s="33" t="n">
        <f aca="false">IF(H159="Recette",G159,IF(H159="Dépense",-G159,0))</f>
        <v>0</v>
      </c>
      <c r="L159" s="33" t="n">
        <f aca="false">IF(E159="",0,G159*IFERROR(INDEX(Catégories!$E$5:$E$60,MATCH(E159,Catégories!$A$5:$A$60,0)),0))</f>
        <v>954.71</v>
      </c>
      <c r="M159" s="30" t="s">
        <v>129</v>
      </c>
      <c r="N159" s="30" t="s">
        <v>130</v>
      </c>
      <c r="O159" s="30"/>
    </row>
    <row r="160" customFormat="false" ht="15" hidden="false" customHeight="true" outlineLevel="0" collapsed="false">
      <c r="A160" s="28" t="n">
        <v>45873</v>
      </c>
      <c r="B160" s="29" t="n">
        <f aca="false">IF(A160="","",YEAR(A160))</f>
        <v>2025</v>
      </c>
      <c r="C160" s="30" t="s">
        <v>58</v>
      </c>
      <c r="D160" s="30" t="s">
        <v>126</v>
      </c>
      <c r="E160" s="30" t="s">
        <v>170</v>
      </c>
      <c r="F160" s="30" t="s">
        <v>249</v>
      </c>
      <c r="G160" s="31" t="n">
        <v>1590.11</v>
      </c>
      <c r="H160" s="32" t="str">
        <f aca="false">IF(E160="","",IFERROR(INDEX(Catégories!$B$5:$B$60,MATCH(E160,Catégories!$A$5:$A$60,0)),"?"))</f>
        <v>Dépense</v>
      </c>
      <c r="I160" s="32" t="str">
        <f aca="false">IF(E160="","",IFERROR(INDEX(Catégories!$C$5:$C$60,MATCH(E160,Catégories!$A$5:$A$60,0)),"?"))</f>
        <v>À amortir</v>
      </c>
      <c r="J160" s="32" t="str">
        <f aca="false">IF(E160="","",IFERROR(INDEX(Catégories!$D$5:$D$60,MATCH(E160,Catégories!$A$5:$A$60,0)),"?"))</f>
        <v>Investissements</v>
      </c>
      <c r="K160" s="33" t="n">
        <f aca="false">IF(H160="Recette",G160,IF(H160="Dépense",-G160,0))</f>
        <v>-1590.11</v>
      </c>
      <c r="L160" s="33" t="n">
        <f aca="false">IF(E160="",0,G160*IFERROR(INDEX(Catégories!$E$5:$E$60,MATCH(E160,Catégories!$A$5:$A$60,0)),0))</f>
        <v>-1590.11</v>
      </c>
      <c r="M160" s="30" t="s">
        <v>129</v>
      </c>
      <c r="N160" s="30" t="s">
        <v>130</v>
      </c>
      <c r="O160" s="30" t="s">
        <v>250</v>
      </c>
    </row>
    <row r="161" customFormat="false" ht="15" hidden="false" customHeight="true" outlineLevel="0" collapsed="false">
      <c r="A161" s="28" t="n">
        <v>45873</v>
      </c>
      <c r="B161" s="29" t="n">
        <f aca="false">IF(A161="","",YEAR(A161))</f>
        <v>2025</v>
      </c>
      <c r="C161" s="30" t="s">
        <v>58</v>
      </c>
      <c r="D161" s="30" t="s">
        <v>148</v>
      </c>
      <c r="E161" s="30" t="s">
        <v>168</v>
      </c>
      <c r="F161" s="30" t="s">
        <v>251</v>
      </c>
      <c r="G161" s="31" t="n">
        <v>954.71</v>
      </c>
      <c r="H161" s="32" t="str">
        <f aca="false">IF(E161="","",IFERROR(INDEX(Catégories!$B$5:$B$60,MATCH(E161,Catégories!$A$5:$A$60,0)),"?"))</f>
        <v>Transfert</v>
      </c>
      <c r="I161" s="32" t="str">
        <f aca="false">IF(E161="","",IFERROR(INDEX(Catégories!$C$5:$C$60,MATCH(E161,Catégories!$A$5:$A$60,0)),"?"))</f>
        <v>Non fiscal</v>
      </c>
      <c r="J161" s="32" t="str">
        <f aca="false">IF(E161="","",IFERROR(INDEX(Catégories!$D$5:$D$60,MATCH(E161,Catégories!$A$5:$A$60,0)),"?"))</f>
        <v>Mouvements internes</v>
      </c>
      <c r="K161" s="33" t="n">
        <f aca="false">IF(H161="Recette",G161,IF(H161="Dépense",-G161,0))</f>
        <v>0</v>
      </c>
      <c r="L161" s="33" t="n">
        <f aca="false">IF(E161="",0,G161*IFERROR(INDEX(Catégories!$E$5:$E$60,MATCH(E161,Catégories!$A$5:$A$60,0)),0))</f>
        <v>-954.71</v>
      </c>
      <c r="M161" s="30" t="s">
        <v>150</v>
      </c>
      <c r="N161" s="30" t="s">
        <v>151</v>
      </c>
      <c r="O161" s="30" t="s">
        <v>252</v>
      </c>
    </row>
    <row r="162" customFormat="false" ht="15" hidden="false" customHeight="true" outlineLevel="0" collapsed="false">
      <c r="A162" s="28" t="n">
        <v>45902</v>
      </c>
      <c r="B162" s="29" t="n">
        <f aca="false">IF(A162="","",YEAR(A162))</f>
        <v>2025</v>
      </c>
      <c r="C162" s="30" t="s">
        <v>58</v>
      </c>
      <c r="D162" s="30" t="s">
        <v>126</v>
      </c>
      <c r="E162" s="30" t="s">
        <v>134</v>
      </c>
      <c r="F162" s="30" t="s">
        <v>253</v>
      </c>
      <c r="G162" s="31" t="n">
        <v>1046.76</v>
      </c>
      <c r="H162" s="32" t="str">
        <f aca="false">IF(E162="","",IFERROR(INDEX(Catégories!$B$5:$B$60,MATCH(E162,Catégories!$A$5:$A$60,0)),"?"))</f>
        <v>Recette</v>
      </c>
      <c r="I162" s="32" t="str">
        <f aca="false">IF(E162="","",IFERROR(INDEX(Catégories!$C$5:$C$60,MATCH(E162,Catégories!$A$5:$A$60,0)),"?"))</f>
        <v>Imposable</v>
      </c>
      <c r="J162" s="32" t="str">
        <f aca="false">IF(E162="","",IFERROR(INDEX(Catégories!$D$5:$D$60,MATCH(E162,Catégories!$A$5:$A$60,0)),"?"))</f>
        <v>Loyers</v>
      </c>
      <c r="K162" s="33" t="n">
        <f aca="false">IF(H162="Recette",G162,IF(H162="Dépense",-G162,0))</f>
        <v>1046.76</v>
      </c>
      <c r="L162" s="33" t="n">
        <f aca="false">IF(E162="",0,G162*IFERROR(INDEX(Catégories!$E$5:$E$60,MATCH(E162,Catégories!$A$5:$A$60,0)),0))</f>
        <v>1046.76</v>
      </c>
      <c r="M162" s="30" t="s">
        <v>129</v>
      </c>
      <c r="N162" s="30" t="s">
        <v>130</v>
      </c>
      <c r="O162" s="30"/>
    </row>
    <row r="163" customFormat="false" ht="15" hidden="false" customHeight="true" outlineLevel="0" collapsed="false">
      <c r="A163" s="28" t="n">
        <v>45902</v>
      </c>
      <c r="B163" s="29" t="n">
        <f aca="false">IF(A163="","",YEAR(A163))</f>
        <v>2025</v>
      </c>
      <c r="C163" s="30" t="s">
        <v>58</v>
      </c>
      <c r="D163" s="30" t="s">
        <v>126</v>
      </c>
      <c r="E163" s="30" t="s">
        <v>136</v>
      </c>
      <c r="F163" s="30" t="s">
        <v>137</v>
      </c>
      <c r="G163" s="31" t="n">
        <v>62.8</v>
      </c>
      <c r="H163" s="32" t="str">
        <f aca="false">IF(E163="","",IFERROR(INDEX(Catégories!$B$5:$B$60,MATCH(E163,Catégories!$A$5:$A$60,0)),"?"))</f>
        <v>Dépense</v>
      </c>
      <c r="I163" s="32" t="str">
        <f aca="false">IF(E163="","",IFERROR(INDEX(Catégories!$C$5:$C$60,MATCH(E163,Catégories!$A$5:$A$60,0)),"?"))</f>
        <v>Déductible</v>
      </c>
      <c r="J163" s="32" t="str">
        <f aca="false">IF(E163="","",IFERROR(INDEX(Catégories!$D$5:$D$60,MATCH(E163,Catégories!$A$5:$A$60,0)),"?"))</f>
        <v>Frais de gestion</v>
      </c>
      <c r="K163" s="33" t="n">
        <f aca="false">IF(H163="Recette",G163,IF(H163="Dépense",-G163,0))</f>
        <v>-62.8</v>
      </c>
      <c r="L163" s="33" t="n">
        <f aca="false">IF(E163="",0,G163*IFERROR(INDEX(Catégories!$E$5:$E$60,MATCH(E163,Catégories!$A$5:$A$60,0)),0))</f>
        <v>-62.8</v>
      </c>
      <c r="M163" s="30" t="s">
        <v>129</v>
      </c>
      <c r="N163" s="30" t="s">
        <v>130</v>
      </c>
      <c r="O163" s="30"/>
    </row>
    <row r="164" customFormat="false" ht="15" hidden="false" customHeight="true" outlineLevel="0" collapsed="false">
      <c r="A164" s="28" t="n">
        <v>45902</v>
      </c>
      <c r="B164" s="29" t="n">
        <f aca="false">IF(A164="","",YEAR(A164))</f>
        <v>2025</v>
      </c>
      <c r="C164" s="30" t="s">
        <v>58</v>
      </c>
      <c r="D164" s="30" t="s">
        <v>126</v>
      </c>
      <c r="E164" s="30" t="s">
        <v>136</v>
      </c>
      <c r="F164" s="30" t="s">
        <v>138</v>
      </c>
      <c r="G164" s="31" t="n">
        <v>12.56</v>
      </c>
      <c r="H164" s="32" t="str">
        <f aca="false">IF(E164="","",IFERROR(INDEX(Catégories!$B$5:$B$60,MATCH(E164,Catégories!$A$5:$A$60,0)),"?"))</f>
        <v>Dépense</v>
      </c>
      <c r="I164" s="32" t="str">
        <f aca="false">IF(E164="","",IFERROR(INDEX(Catégories!$C$5:$C$60,MATCH(E164,Catégories!$A$5:$A$60,0)),"?"))</f>
        <v>Déductible</v>
      </c>
      <c r="J164" s="32" t="str">
        <f aca="false">IF(E164="","",IFERROR(INDEX(Catégories!$D$5:$D$60,MATCH(E164,Catégories!$A$5:$A$60,0)),"?"))</f>
        <v>Frais de gestion</v>
      </c>
      <c r="K164" s="33" t="n">
        <f aca="false">IF(H164="Recette",G164,IF(H164="Dépense",-G164,0))</f>
        <v>-12.56</v>
      </c>
      <c r="L164" s="33" t="n">
        <f aca="false">IF(E164="",0,G164*IFERROR(INDEX(Catégories!$E$5:$E$60,MATCH(E164,Catégories!$A$5:$A$60,0)),0))</f>
        <v>-12.56</v>
      </c>
      <c r="M164" s="30" t="s">
        <v>129</v>
      </c>
      <c r="N164" s="30" t="s">
        <v>130</v>
      </c>
      <c r="O164" s="30"/>
    </row>
    <row r="165" customFormat="false" ht="15" hidden="false" customHeight="true" outlineLevel="0" collapsed="false">
      <c r="A165" s="28" t="n">
        <v>45902</v>
      </c>
      <c r="B165" s="29" t="n">
        <f aca="false">IF(A165="","",YEAR(A165))</f>
        <v>2025</v>
      </c>
      <c r="C165" s="30" t="s">
        <v>58</v>
      </c>
      <c r="D165" s="30" t="s">
        <v>126</v>
      </c>
      <c r="E165" s="30" t="s">
        <v>139</v>
      </c>
      <c r="F165" s="30" t="s">
        <v>254</v>
      </c>
      <c r="G165" s="31" t="n">
        <v>83.7</v>
      </c>
      <c r="H165" s="32" t="str">
        <f aca="false">IF(E165="","",IFERROR(INDEX(Catégories!$B$5:$B$60,MATCH(E165,Catégories!$A$5:$A$60,0)),"?"))</f>
        <v>Recette</v>
      </c>
      <c r="I165" s="32" t="str">
        <f aca="false">IF(E165="","",IFERROR(INDEX(Catégories!$C$5:$C$60,MATCH(E165,Catégories!$A$5:$A$60,0)),"?"))</f>
        <v>Imposable</v>
      </c>
      <c r="J165" s="32" t="str">
        <f aca="false">IF(E165="","",IFERROR(INDEX(Catégories!$D$5:$D$60,MATCH(E165,Catégories!$A$5:$A$60,0)),"?"))</f>
        <v>Charges refacturées</v>
      </c>
      <c r="K165" s="33" t="n">
        <f aca="false">IF(H165="Recette",G165,IF(H165="Dépense",-G165,0))</f>
        <v>83.7</v>
      </c>
      <c r="L165" s="33" t="n">
        <f aca="false">IF(E165="",0,G165*IFERROR(INDEX(Catégories!$E$5:$E$60,MATCH(E165,Catégories!$A$5:$A$60,0)),0))</f>
        <v>83.7</v>
      </c>
      <c r="M165" s="30" t="s">
        <v>129</v>
      </c>
      <c r="N165" s="30" t="s">
        <v>130</v>
      </c>
      <c r="O165" s="30"/>
    </row>
    <row r="166" customFormat="false" ht="15" hidden="false" customHeight="true" outlineLevel="0" collapsed="false">
      <c r="A166" s="28" t="n">
        <v>45902</v>
      </c>
      <c r="B166" s="29" t="n">
        <f aca="false">IF(A166="","",YEAR(A166))</f>
        <v>2025</v>
      </c>
      <c r="C166" s="30" t="s">
        <v>58</v>
      </c>
      <c r="D166" s="30" t="s">
        <v>126</v>
      </c>
      <c r="E166" s="30" t="s">
        <v>136</v>
      </c>
      <c r="F166" s="30" t="s">
        <v>141</v>
      </c>
      <c r="G166" s="31" t="n">
        <v>5.02</v>
      </c>
      <c r="H166" s="32" t="str">
        <f aca="false">IF(E166="","",IFERROR(INDEX(Catégories!$B$5:$B$60,MATCH(E166,Catégories!$A$5:$A$60,0)),"?"))</f>
        <v>Dépense</v>
      </c>
      <c r="I166" s="32" t="str">
        <f aca="false">IF(E166="","",IFERROR(INDEX(Catégories!$C$5:$C$60,MATCH(E166,Catégories!$A$5:$A$60,0)),"?"))</f>
        <v>Déductible</v>
      </c>
      <c r="J166" s="32" t="str">
        <f aca="false">IF(E166="","",IFERROR(INDEX(Catégories!$D$5:$D$60,MATCH(E166,Catégories!$A$5:$A$60,0)),"?"))</f>
        <v>Frais de gestion</v>
      </c>
      <c r="K166" s="33" t="n">
        <f aca="false">IF(H166="Recette",G166,IF(H166="Dépense",-G166,0))</f>
        <v>-5.02</v>
      </c>
      <c r="L166" s="33" t="n">
        <f aca="false">IF(E166="",0,G166*IFERROR(INDEX(Catégories!$E$5:$E$60,MATCH(E166,Catégories!$A$5:$A$60,0)),0))</f>
        <v>-5.02</v>
      </c>
      <c r="M166" s="30" t="s">
        <v>129</v>
      </c>
      <c r="N166" s="30" t="s">
        <v>130</v>
      </c>
      <c r="O166" s="30"/>
    </row>
    <row r="167" customFormat="false" ht="15" hidden="false" customHeight="true" outlineLevel="0" collapsed="false">
      <c r="A167" s="28" t="n">
        <v>45902</v>
      </c>
      <c r="B167" s="29" t="n">
        <f aca="false">IF(A167="","",YEAR(A167))</f>
        <v>2025</v>
      </c>
      <c r="C167" s="30" t="s">
        <v>58</v>
      </c>
      <c r="D167" s="30" t="s">
        <v>126</v>
      </c>
      <c r="E167" s="30" t="s">
        <v>136</v>
      </c>
      <c r="F167" s="30" t="s">
        <v>142</v>
      </c>
      <c r="G167" s="31" t="n">
        <v>1</v>
      </c>
      <c r="H167" s="32" t="str">
        <f aca="false">IF(E167="","",IFERROR(INDEX(Catégories!$B$5:$B$60,MATCH(E167,Catégories!$A$5:$A$60,0)),"?"))</f>
        <v>Dépense</v>
      </c>
      <c r="I167" s="32" t="str">
        <f aca="false">IF(E167="","",IFERROR(INDEX(Catégories!$C$5:$C$60,MATCH(E167,Catégories!$A$5:$A$60,0)),"?"))</f>
        <v>Déductible</v>
      </c>
      <c r="J167" s="32" t="str">
        <f aca="false">IF(E167="","",IFERROR(INDEX(Catégories!$D$5:$D$60,MATCH(E167,Catégories!$A$5:$A$60,0)),"?"))</f>
        <v>Frais de gestion</v>
      </c>
      <c r="K167" s="33" t="n">
        <f aca="false">IF(H167="Recette",G167,IF(H167="Dépense",-G167,0))</f>
        <v>-1</v>
      </c>
      <c r="L167" s="33" t="n">
        <f aca="false">IF(E167="",0,G167*IFERROR(INDEX(Catégories!$E$5:$E$60,MATCH(E167,Catégories!$A$5:$A$60,0)),0))</f>
        <v>-1</v>
      </c>
      <c r="M167" s="30" t="s">
        <v>129</v>
      </c>
      <c r="N167" s="30" t="s">
        <v>130</v>
      </c>
      <c r="O167" s="30"/>
    </row>
    <row r="168" customFormat="false" ht="15" hidden="false" customHeight="true" outlineLevel="0" collapsed="false">
      <c r="A168" s="28" t="n">
        <v>45904</v>
      </c>
      <c r="B168" s="29" t="n">
        <f aca="false">IF(A168="","",YEAR(A168))</f>
        <v>2025</v>
      </c>
      <c r="C168" s="30" t="s">
        <v>58</v>
      </c>
      <c r="D168" s="30" t="s">
        <v>126</v>
      </c>
      <c r="E168" s="30" t="s">
        <v>168</v>
      </c>
      <c r="F168" s="30" t="s">
        <v>169</v>
      </c>
      <c r="G168" s="31" t="n">
        <v>1049.07</v>
      </c>
      <c r="H168" s="32" t="str">
        <f aca="false">IF(E168="","",IFERROR(INDEX(Catégories!$B$5:$B$60,MATCH(E168,Catégories!$A$5:$A$60,0)),"?"))</f>
        <v>Transfert</v>
      </c>
      <c r="I168" s="32" t="str">
        <f aca="false">IF(E168="","",IFERROR(INDEX(Catégories!$C$5:$C$60,MATCH(E168,Catégories!$A$5:$A$60,0)),"?"))</f>
        <v>Non fiscal</v>
      </c>
      <c r="J168" s="32" t="str">
        <f aca="false">IF(E168="","",IFERROR(INDEX(Catégories!$D$5:$D$60,MATCH(E168,Catégories!$A$5:$A$60,0)),"?"))</f>
        <v>Mouvements internes</v>
      </c>
      <c r="K168" s="33" t="n">
        <f aca="false">IF(H168="Recette",G168,IF(H168="Dépense",-G168,0))</f>
        <v>0</v>
      </c>
      <c r="L168" s="33" t="n">
        <f aca="false">IF(E168="",0,G168*IFERROR(INDEX(Catégories!$E$5:$E$60,MATCH(E168,Catégories!$A$5:$A$60,0)),0))</f>
        <v>-1049.07</v>
      </c>
      <c r="M168" s="30" t="s">
        <v>129</v>
      </c>
      <c r="N168" s="30" t="s">
        <v>130</v>
      </c>
      <c r="O168" s="30"/>
    </row>
    <row r="169" customFormat="false" ht="15" hidden="false" customHeight="true" outlineLevel="0" collapsed="false">
      <c r="A169" s="28" t="n">
        <v>45932</v>
      </c>
      <c r="B169" s="29" t="n">
        <f aca="false">IF(A169="","",YEAR(A169))</f>
        <v>2025</v>
      </c>
      <c r="C169" s="30" t="s">
        <v>58</v>
      </c>
      <c r="D169" s="30" t="s">
        <v>126</v>
      </c>
      <c r="E169" s="30" t="s">
        <v>134</v>
      </c>
      <c r="F169" s="30" t="s">
        <v>255</v>
      </c>
      <c r="G169" s="31" t="n">
        <v>1046.76</v>
      </c>
      <c r="H169" s="32" t="str">
        <f aca="false">IF(E169="","",IFERROR(INDEX(Catégories!$B$5:$B$60,MATCH(E169,Catégories!$A$5:$A$60,0)),"?"))</f>
        <v>Recette</v>
      </c>
      <c r="I169" s="32" t="str">
        <f aca="false">IF(E169="","",IFERROR(INDEX(Catégories!$C$5:$C$60,MATCH(E169,Catégories!$A$5:$A$60,0)),"?"))</f>
        <v>Imposable</v>
      </c>
      <c r="J169" s="32" t="str">
        <f aca="false">IF(E169="","",IFERROR(INDEX(Catégories!$D$5:$D$60,MATCH(E169,Catégories!$A$5:$A$60,0)),"?"))</f>
        <v>Loyers</v>
      </c>
      <c r="K169" s="33" t="n">
        <f aca="false">IF(H169="Recette",G169,IF(H169="Dépense",-G169,0))</f>
        <v>1046.76</v>
      </c>
      <c r="L169" s="33" t="n">
        <f aca="false">IF(E169="",0,G169*IFERROR(INDEX(Catégories!$E$5:$E$60,MATCH(E169,Catégories!$A$5:$A$60,0)),0))</f>
        <v>1046.76</v>
      </c>
      <c r="M169" s="30" t="s">
        <v>129</v>
      </c>
      <c r="N169" s="30" t="s">
        <v>130</v>
      </c>
      <c r="O169" s="30"/>
    </row>
    <row r="170" customFormat="false" ht="15" hidden="false" customHeight="true" outlineLevel="0" collapsed="false">
      <c r="A170" s="28" t="n">
        <v>45932</v>
      </c>
      <c r="B170" s="29" t="n">
        <f aca="false">IF(A170="","",YEAR(A170))</f>
        <v>2025</v>
      </c>
      <c r="C170" s="30" t="s">
        <v>58</v>
      </c>
      <c r="D170" s="30" t="s">
        <v>126</v>
      </c>
      <c r="E170" s="30" t="s">
        <v>136</v>
      </c>
      <c r="F170" s="30" t="s">
        <v>137</v>
      </c>
      <c r="G170" s="31" t="n">
        <v>62.8</v>
      </c>
      <c r="H170" s="32" t="str">
        <f aca="false">IF(E170="","",IFERROR(INDEX(Catégories!$B$5:$B$60,MATCH(E170,Catégories!$A$5:$A$60,0)),"?"))</f>
        <v>Dépense</v>
      </c>
      <c r="I170" s="32" t="str">
        <f aca="false">IF(E170="","",IFERROR(INDEX(Catégories!$C$5:$C$60,MATCH(E170,Catégories!$A$5:$A$60,0)),"?"))</f>
        <v>Déductible</v>
      </c>
      <c r="J170" s="32" t="str">
        <f aca="false">IF(E170="","",IFERROR(INDEX(Catégories!$D$5:$D$60,MATCH(E170,Catégories!$A$5:$A$60,0)),"?"))</f>
        <v>Frais de gestion</v>
      </c>
      <c r="K170" s="33" t="n">
        <f aca="false">IF(H170="Recette",G170,IF(H170="Dépense",-G170,0))</f>
        <v>-62.8</v>
      </c>
      <c r="L170" s="33" t="n">
        <f aca="false">IF(E170="",0,G170*IFERROR(INDEX(Catégories!$E$5:$E$60,MATCH(E170,Catégories!$A$5:$A$60,0)),0))</f>
        <v>-62.8</v>
      </c>
      <c r="M170" s="30" t="s">
        <v>129</v>
      </c>
      <c r="N170" s="30" t="s">
        <v>130</v>
      </c>
      <c r="O170" s="30"/>
    </row>
    <row r="171" customFormat="false" ht="15" hidden="false" customHeight="true" outlineLevel="0" collapsed="false">
      <c r="A171" s="28" t="n">
        <v>45932</v>
      </c>
      <c r="B171" s="29" t="n">
        <f aca="false">IF(A171="","",YEAR(A171))</f>
        <v>2025</v>
      </c>
      <c r="C171" s="30" t="s">
        <v>58</v>
      </c>
      <c r="D171" s="30" t="s">
        <v>126</v>
      </c>
      <c r="E171" s="30" t="s">
        <v>136</v>
      </c>
      <c r="F171" s="30" t="s">
        <v>138</v>
      </c>
      <c r="G171" s="31" t="n">
        <v>12.56</v>
      </c>
      <c r="H171" s="32" t="str">
        <f aca="false">IF(E171="","",IFERROR(INDEX(Catégories!$B$5:$B$60,MATCH(E171,Catégories!$A$5:$A$60,0)),"?"))</f>
        <v>Dépense</v>
      </c>
      <c r="I171" s="32" t="str">
        <f aca="false">IF(E171="","",IFERROR(INDEX(Catégories!$C$5:$C$60,MATCH(E171,Catégories!$A$5:$A$60,0)),"?"))</f>
        <v>Déductible</v>
      </c>
      <c r="J171" s="32" t="str">
        <f aca="false">IF(E171="","",IFERROR(INDEX(Catégories!$D$5:$D$60,MATCH(E171,Catégories!$A$5:$A$60,0)),"?"))</f>
        <v>Frais de gestion</v>
      </c>
      <c r="K171" s="33" t="n">
        <f aca="false">IF(H171="Recette",G171,IF(H171="Dépense",-G171,0))</f>
        <v>-12.56</v>
      </c>
      <c r="L171" s="33" t="n">
        <f aca="false">IF(E171="",0,G171*IFERROR(INDEX(Catégories!$E$5:$E$60,MATCH(E171,Catégories!$A$5:$A$60,0)),0))</f>
        <v>-12.56</v>
      </c>
      <c r="M171" s="30" t="s">
        <v>129</v>
      </c>
      <c r="N171" s="30" t="s">
        <v>130</v>
      </c>
      <c r="O171" s="30"/>
    </row>
    <row r="172" customFormat="false" ht="15" hidden="false" customHeight="true" outlineLevel="0" collapsed="false">
      <c r="A172" s="28" t="n">
        <v>45932</v>
      </c>
      <c r="B172" s="29" t="n">
        <f aca="false">IF(A172="","",YEAR(A172))</f>
        <v>2025</v>
      </c>
      <c r="C172" s="30" t="s">
        <v>58</v>
      </c>
      <c r="D172" s="30" t="s">
        <v>126</v>
      </c>
      <c r="E172" s="30" t="s">
        <v>139</v>
      </c>
      <c r="F172" s="30" t="s">
        <v>256</v>
      </c>
      <c r="G172" s="31" t="n">
        <v>83.7</v>
      </c>
      <c r="H172" s="32" t="str">
        <f aca="false">IF(E172="","",IFERROR(INDEX(Catégories!$B$5:$B$60,MATCH(E172,Catégories!$A$5:$A$60,0)),"?"))</f>
        <v>Recette</v>
      </c>
      <c r="I172" s="32" t="str">
        <f aca="false">IF(E172="","",IFERROR(INDEX(Catégories!$C$5:$C$60,MATCH(E172,Catégories!$A$5:$A$60,0)),"?"))</f>
        <v>Imposable</v>
      </c>
      <c r="J172" s="32" t="str">
        <f aca="false">IF(E172="","",IFERROR(INDEX(Catégories!$D$5:$D$60,MATCH(E172,Catégories!$A$5:$A$60,0)),"?"))</f>
        <v>Charges refacturées</v>
      </c>
      <c r="K172" s="33" t="n">
        <f aca="false">IF(H172="Recette",G172,IF(H172="Dépense",-G172,0))</f>
        <v>83.7</v>
      </c>
      <c r="L172" s="33" t="n">
        <f aca="false">IF(E172="",0,G172*IFERROR(INDEX(Catégories!$E$5:$E$60,MATCH(E172,Catégories!$A$5:$A$60,0)),0))</f>
        <v>83.7</v>
      </c>
      <c r="M172" s="30" t="s">
        <v>129</v>
      </c>
      <c r="N172" s="30" t="s">
        <v>130</v>
      </c>
      <c r="O172" s="30"/>
    </row>
    <row r="173" customFormat="false" ht="15" hidden="false" customHeight="true" outlineLevel="0" collapsed="false">
      <c r="A173" s="28" t="n">
        <v>45932</v>
      </c>
      <c r="B173" s="29" t="n">
        <f aca="false">IF(A173="","",YEAR(A173))</f>
        <v>2025</v>
      </c>
      <c r="C173" s="30" t="s">
        <v>58</v>
      </c>
      <c r="D173" s="30" t="s">
        <v>126</v>
      </c>
      <c r="E173" s="30" t="s">
        <v>136</v>
      </c>
      <c r="F173" s="30" t="s">
        <v>141</v>
      </c>
      <c r="G173" s="31" t="n">
        <v>5.02</v>
      </c>
      <c r="H173" s="32" t="str">
        <f aca="false">IF(E173="","",IFERROR(INDEX(Catégories!$B$5:$B$60,MATCH(E173,Catégories!$A$5:$A$60,0)),"?"))</f>
        <v>Dépense</v>
      </c>
      <c r="I173" s="32" t="str">
        <f aca="false">IF(E173="","",IFERROR(INDEX(Catégories!$C$5:$C$60,MATCH(E173,Catégories!$A$5:$A$60,0)),"?"))</f>
        <v>Déductible</v>
      </c>
      <c r="J173" s="32" t="str">
        <f aca="false">IF(E173="","",IFERROR(INDEX(Catégories!$D$5:$D$60,MATCH(E173,Catégories!$A$5:$A$60,0)),"?"))</f>
        <v>Frais de gestion</v>
      </c>
      <c r="K173" s="33" t="n">
        <f aca="false">IF(H173="Recette",G173,IF(H173="Dépense",-G173,0))</f>
        <v>-5.02</v>
      </c>
      <c r="L173" s="33" t="n">
        <f aca="false">IF(E173="",0,G173*IFERROR(INDEX(Catégories!$E$5:$E$60,MATCH(E173,Catégories!$A$5:$A$60,0)),0))</f>
        <v>-5.02</v>
      </c>
      <c r="M173" s="30" t="s">
        <v>129</v>
      </c>
      <c r="N173" s="30" t="s">
        <v>130</v>
      </c>
      <c r="O173" s="30"/>
    </row>
    <row r="174" customFormat="false" ht="15" hidden="false" customHeight="true" outlineLevel="0" collapsed="false">
      <c r="A174" s="28" t="n">
        <v>45932</v>
      </c>
      <c r="B174" s="29" t="n">
        <f aca="false">IF(A174="","",YEAR(A174))</f>
        <v>2025</v>
      </c>
      <c r="C174" s="30" t="s">
        <v>58</v>
      </c>
      <c r="D174" s="30" t="s">
        <v>126</v>
      </c>
      <c r="E174" s="30" t="s">
        <v>136</v>
      </c>
      <c r="F174" s="30" t="s">
        <v>142</v>
      </c>
      <c r="G174" s="31" t="n">
        <v>1</v>
      </c>
      <c r="H174" s="32" t="str">
        <f aca="false">IF(E174="","",IFERROR(INDEX(Catégories!$B$5:$B$60,MATCH(E174,Catégories!$A$5:$A$60,0)),"?"))</f>
        <v>Dépense</v>
      </c>
      <c r="I174" s="32" t="str">
        <f aca="false">IF(E174="","",IFERROR(INDEX(Catégories!$C$5:$C$60,MATCH(E174,Catégories!$A$5:$A$60,0)),"?"))</f>
        <v>Déductible</v>
      </c>
      <c r="J174" s="32" t="str">
        <f aca="false">IF(E174="","",IFERROR(INDEX(Catégories!$D$5:$D$60,MATCH(E174,Catégories!$A$5:$A$60,0)),"?"))</f>
        <v>Frais de gestion</v>
      </c>
      <c r="K174" s="33" t="n">
        <f aca="false">IF(H174="Recette",G174,IF(H174="Dépense",-G174,0))</f>
        <v>-1</v>
      </c>
      <c r="L174" s="33" t="n">
        <f aca="false">IF(E174="",0,G174*IFERROR(INDEX(Catégories!$E$5:$E$60,MATCH(E174,Catégories!$A$5:$A$60,0)),0))</f>
        <v>-1</v>
      </c>
      <c r="M174" s="30" t="s">
        <v>129</v>
      </c>
      <c r="N174" s="30" t="s">
        <v>130</v>
      </c>
      <c r="O174" s="30"/>
    </row>
    <row r="175" customFormat="false" ht="15" hidden="false" customHeight="true" outlineLevel="0" collapsed="false">
      <c r="A175" s="28" t="n">
        <v>45933</v>
      </c>
      <c r="B175" s="29" t="n">
        <f aca="false">IF(A175="","",YEAR(A175))</f>
        <v>2025</v>
      </c>
      <c r="C175" s="30" t="s">
        <v>58</v>
      </c>
      <c r="D175" s="30" t="s">
        <v>126</v>
      </c>
      <c r="E175" s="30" t="s">
        <v>168</v>
      </c>
      <c r="F175" s="30" t="s">
        <v>169</v>
      </c>
      <c r="G175" s="31" t="n">
        <v>1049.07</v>
      </c>
      <c r="H175" s="32" t="str">
        <f aca="false">IF(E175="","",IFERROR(INDEX(Catégories!$B$5:$B$60,MATCH(E175,Catégories!$A$5:$A$60,0)),"?"))</f>
        <v>Transfert</v>
      </c>
      <c r="I175" s="32" t="str">
        <f aca="false">IF(E175="","",IFERROR(INDEX(Catégories!$C$5:$C$60,MATCH(E175,Catégories!$A$5:$A$60,0)),"?"))</f>
        <v>Non fiscal</v>
      </c>
      <c r="J175" s="32" t="str">
        <f aca="false">IF(E175="","",IFERROR(INDEX(Catégories!$D$5:$D$60,MATCH(E175,Catégories!$A$5:$A$60,0)),"?"))</f>
        <v>Mouvements internes</v>
      </c>
      <c r="K175" s="33" t="n">
        <f aca="false">IF(H175="Recette",G175,IF(H175="Dépense",-G175,0))</f>
        <v>0</v>
      </c>
      <c r="L175" s="33" t="n">
        <f aca="false">IF(E175="",0,G175*IFERROR(INDEX(Catégories!$E$5:$E$60,MATCH(E175,Catégories!$A$5:$A$60,0)),0))</f>
        <v>-1049.07</v>
      </c>
      <c r="M175" s="30" t="s">
        <v>129</v>
      </c>
      <c r="N175" s="30" t="s">
        <v>130</v>
      </c>
      <c r="O175" s="30"/>
    </row>
    <row r="176" customFormat="false" ht="15" hidden="false" customHeight="true" outlineLevel="0" collapsed="false">
      <c r="A176" s="28" t="n">
        <v>45933</v>
      </c>
      <c r="B176" s="29" t="n">
        <f aca="false">IF(A176="","",YEAR(A176))</f>
        <v>2025</v>
      </c>
      <c r="C176" s="30" t="s">
        <v>58</v>
      </c>
      <c r="D176" s="30" t="s">
        <v>148</v>
      </c>
      <c r="E176" s="30" t="s">
        <v>190</v>
      </c>
      <c r="F176" s="30" t="s">
        <v>191</v>
      </c>
      <c r="G176" s="31" t="n">
        <v>561.72</v>
      </c>
      <c r="H176" s="32" t="str">
        <f aca="false">IF(E176="","",IFERROR(INDEX(Catégories!$B$5:$B$60,MATCH(E176,Catégories!$A$5:$A$60,0)),"?"))</f>
        <v>Dépense</v>
      </c>
      <c r="I176" s="32" t="str">
        <f aca="false">IF(E176="","",IFERROR(INDEX(Catégories!$C$5:$C$60,MATCH(E176,Catégories!$A$5:$A$60,0)),"?"))</f>
        <v>Déductible</v>
      </c>
      <c r="J176" s="32" t="str">
        <f aca="false">IF(E176="","",IFERROR(INDEX(Catégories!$D$5:$D$60,MATCH(E176,Catégories!$A$5:$A$60,0)),"?"))</f>
        <v>Impôts et taxes</v>
      </c>
      <c r="K176" s="33" t="n">
        <f aca="false">IF(H176="Recette",G176,IF(H176="Dépense",-G176,0))</f>
        <v>-561.72</v>
      </c>
      <c r="L176" s="33" t="n">
        <f aca="false">IF(E176="",0,G176*IFERROR(INDEX(Catégories!$E$5:$E$60,MATCH(E176,Catégories!$A$5:$A$60,0)),0))</f>
        <v>-561.72</v>
      </c>
      <c r="M176" s="30" t="s">
        <v>257</v>
      </c>
      <c r="N176" s="30" t="s">
        <v>151</v>
      </c>
      <c r="O176" s="30" t="s">
        <v>258</v>
      </c>
    </row>
    <row r="177" customFormat="false" ht="15" hidden="false" customHeight="true" outlineLevel="0" collapsed="false">
      <c r="A177" s="28" t="n">
        <v>45936</v>
      </c>
      <c r="B177" s="29" t="n">
        <f aca="false">IF(A177="","",YEAR(A177))</f>
        <v>2025</v>
      </c>
      <c r="C177" s="30" t="s">
        <v>58</v>
      </c>
      <c r="D177" s="30" t="s">
        <v>148</v>
      </c>
      <c r="E177" s="30" t="s">
        <v>180</v>
      </c>
      <c r="F177" s="30" t="s">
        <v>259</v>
      </c>
      <c r="G177" s="31" t="n">
        <v>466.72</v>
      </c>
      <c r="H177" s="32" t="str">
        <f aca="false">IF(E177="","",IFERROR(INDEX(Catégories!$B$5:$B$60,MATCH(E177,Catégories!$A$5:$A$60,0)),"?"))</f>
        <v>Dépense</v>
      </c>
      <c r="I177" s="32" t="str">
        <f aca="false">IF(E177="","",IFERROR(INDEX(Catégories!$C$5:$C$60,MATCH(E177,Catégories!$A$5:$A$60,0)),"?"))</f>
        <v>Déductible</v>
      </c>
      <c r="J177" s="32" t="str">
        <f aca="false">IF(E177="","",IFERROR(INDEX(Catégories!$D$5:$D$60,MATCH(E177,Catégories!$A$5:$A$60,0)),"?"))</f>
        <v>Copropriété</v>
      </c>
      <c r="K177" s="33" t="n">
        <f aca="false">IF(H177="Recette",G177,IF(H177="Dépense",-G177,0))</f>
        <v>-466.72</v>
      </c>
      <c r="L177" s="33" t="n">
        <f aca="false">IF(E177="",0,G177*IFERROR(INDEX(Catégories!$E$5:$E$60,MATCH(E177,Catégories!$A$5:$A$60,0)),0))</f>
        <v>-466.72</v>
      </c>
      <c r="M177" s="30" t="s">
        <v>260</v>
      </c>
      <c r="N177" s="30" t="s">
        <v>151</v>
      </c>
      <c r="O177" s="30"/>
    </row>
    <row r="178" customFormat="false" ht="15" hidden="false" customHeight="true" outlineLevel="0" collapsed="false">
      <c r="A178" s="28" t="n">
        <v>45964</v>
      </c>
      <c r="B178" s="29" t="n">
        <f aca="false">IF(A178="","",YEAR(A178))</f>
        <v>2025</v>
      </c>
      <c r="C178" s="30" t="s">
        <v>58</v>
      </c>
      <c r="D178" s="30" t="s">
        <v>126</v>
      </c>
      <c r="E178" s="30" t="s">
        <v>134</v>
      </c>
      <c r="F178" s="30" t="s">
        <v>261</v>
      </c>
      <c r="G178" s="31" t="n">
        <v>1046.76</v>
      </c>
      <c r="H178" s="32" t="str">
        <f aca="false">IF(E178="","",IFERROR(INDEX(Catégories!$B$5:$B$60,MATCH(E178,Catégories!$A$5:$A$60,0)),"?"))</f>
        <v>Recette</v>
      </c>
      <c r="I178" s="32" t="str">
        <f aca="false">IF(E178="","",IFERROR(INDEX(Catégories!$C$5:$C$60,MATCH(E178,Catégories!$A$5:$A$60,0)),"?"))</f>
        <v>Imposable</v>
      </c>
      <c r="J178" s="32" t="str">
        <f aca="false">IF(E178="","",IFERROR(INDEX(Catégories!$D$5:$D$60,MATCH(E178,Catégories!$A$5:$A$60,0)),"?"))</f>
        <v>Loyers</v>
      </c>
      <c r="K178" s="33" t="n">
        <f aca="false">IF(H178="Recette",G178,IF(H178="Dépense",-G178,0))</f>
        <v>1046.76</v>
      </c>
      <c r="L178" s="33" t="n">
        <f aca="false">IF(E178="",0,G178*IFERROR(INDEX(Catégories!$E$5:$E$60,MATCH(E178,Catégories!$A$5:$A$60,0)),0))</f>
        <v>1046.76</v>
      </c>
      <c r="M178" s="30" t="s">
        <v>129</v>
      </c>
      <c r="N178" s="30" t="s">
        <v>130</v>
      </c>
      <c r="O178" s="30"/>
    </row>
    <row r="179" customFormat="false" ht="15" hidden="false" customHeight="true" outlineLevel="0" collapsed="false">
      <c r="A179" s="28" t="n">
        <v>45964</v>
      </c>
      <c r="B179" s="29" t="n">
        <f aca="false">IF(A179="","",YEAR(A179))</f>
        <v>2025</v>
      </c>
      <c r="C179" s="30" t="s">
        <v>58</v>
      </c>
      <c r="D179" s="30" t="s">
        <v>126</v>
      </c>
      <c r="E179" s="30" t="s">
        <v>136</v>
      </c>
      <c r="F179" s="30" t="s">
        <v>137</v>
      </c>
      <c r="G179" s="31" t="n">
        <v>62.8</v>
      </c>
      <c r="H179" s="32" t="str">
        <f aca="false">IF(E179="","",IFERROR(INDEX(Catégories!$B$5:$B$60,MATCH(E179,Catégories!$A$5:$A$60,0)),"?"))</f>
        <v>Dépense</v>
      </c>
      <c r="I179" s="32" t="str">
        <f aca="false">IF(E179="","",IFERROR(INDEX(Catégories!$C$5:$C$60,MATCH(E179,Catégories!$A$5:$A$60,0)),"?"))</f>
        <v>Déductible</v>
      </c>
      <c r="J179" s="32" t="str">
        <f aca="false">IF(E179="","",IFERROR(INDEX(Catégories!$D$5:$D$60,MATCH(E179,Catégories!$A$5:$A$60,0)),"?"))</f>
        <v>Frais de gestion</v>
      </c>
      <c r="K179" s="33" t="n">
        <f aca="false">IF(H179="Recette",G179,IF(H179="Dépense",-G179,0))</f>
        <v>-62.8</v>
      </c>
      <c r="L179" s="33" t="n">
        <f aca="false">IF(E179="",0,G179*IFERROR(INDEX(Catégories!$E$5:$E$60,MATCH(E179,Catégories!$A$5:$A$60,0)),0))</f>
        <v>-62.8</v>
      </c>
      <c r="M179" s="30" t="s">
        <v>129</v>
      </c>
      <c r="N179" s="30" t="s">
        <v>130</v>
      </c>
      <c r="O179" s="30"/>
    </row>
    <row r="180" customFormat="false" ht="15" hidden="false" customHeight="true" outlineLevel="0" collapsed="false">
      <c r="A180" s="28" t="n">
        <v>45964</v>
      </c>
      <c r="B180" s="29" t="n">
        <f aca="false">IF(A180="","",YEAR(A180))</f>
        <v>2025</v>
      </c>
      <c r="C180" s="30" t="s">
        <v>58</v>
      </c>
      <c r="D180" s="30" t="s">
        <v>126</v>
      </c>
      <c r="E180" s="30" t="s">
        <v>136</v>
      </c>
      <c r="F180" s="30" t="s">
        <v>138</v>
      </c>
      <c r="G180" s="31" t="n">
        <v>12.56</v>
      </c>
      <c r="H180" s="32" t="str">
        <f aca="false">IF(E180="","",IFERROR(INDEX(Catégories!$B$5:$B$60,MATCH(E180,Catégories!$A$5:$A$60,0)),"?"))</f>
        <v>Dépense</v>
      </c>
      <c r="I180" s="32" t="str">
        <f aca="false">IF(E180="","",IFERROR(INDEX(Catégories!$C$5:$C$60,MATCH(E180,Catégories!$A$5:$A$60,0)),"?"))</f>
        <v>Déductible</v>
      </c>
      <c r="J180" s="32" t="str">
        <f aca="false">IF(E180="","",IFERROR(INDEX(Catégories!$D$5:$D$60,MATCH(E180,Catégories!$A$5:$A$60,0)),"?"))</f>
        <v>Frais de gestion</v>
      </c>
      <c r="K180" s="33" t="n">
        <f aca="false">IF(H180="Recette",G180,IF(H180="Dépense",-G180,0))</f>
        <v>-12.56</v>
      </c>
      <c r="L180" s="33" t="n">
        <f aca="false">IF(E180="",0,G180*IFERROR(INDEX(Catégories!$E$5:$E$60,MATCH(E180,Catégories!$A$5:$A$60,0)),0))</f>
        <v>-12.56</v>
      </c>
      <c r="M180" s="30" t="s">
        <v>129</v>
      </c>
      <c r="N180" s="30" t="s">
        <v>130</v>
      </c>
      <c r="O180" s="30"/>
    </row>
    <row r="181" customFormat="false" ht="15" hidden="false" customHeight="true" outlineLevel="0" collapsed="false">
      <c r="A181" s="28" t="n">
        <v>45964</v>
      </c>
      <c r="B181" s="29" t="n">
        <f aca="false">IF(A181="","",YEAR(A181))</f>
        <v>2025</v>
      </c>
      <c r="C181" s="30" t="s">
        <v>58</v>
      </c>
      <c r="D181" s="30" t="s">
        <v>126</v>
      </c>
      <c r="E181" s="30" t="s">
        <v>139</v>
      </c>
      <c r="F181" s="30" t="s">
        <v>262</v>
      </c>
      <c r="G181" s="31" t="n">
        <v>83.7</v>
      </c>
      <c r="H181" s="32" t="str">
        <f aca="false">IF(E181="","",IFERROR(INDEX(Catégories!$B$5:$B$60,MATCH(E181,Catégories!$A$5:$A$60,0)),"?"))</f>
        <v>Recette</v>
      </c>
      <c r="I181" s="32" t="str">
        <f aca="false">IF(E181="","",IFERROR(INDEX(Catégories!$C$5:$C$60,MATCH(E181,Catégories!$A$5:$A$60,0)),"?"))</f>
        <v>Imposable</v>
      </c>
      <c r="J181" s="32" t="str">
        <f aca="false">IF(E181="","",IFERROR(INDEX(Catégories!$D$5:$D$60,MATCH(E181,Catégories!$A$5:$A$60,0)),"?"))</f>
        <v>Charges refacturées</v>
      </c>
      <c r="K181" s="33" t="n">
        <f aca="false">IF(H181="Recette",G181,IF(H181="Dépense",-G181,0))</f>
        <v>83.7</v>
      </c>
      <c r="L181" s="33" t="n">
        <f aca="false">IF(E181="",0,G181*IFERROR(INDEX(Catégories!$E$5:$E$60,MATCH(E181,Catégories!$A$5:$A$60,0)),0))</f>
        <v>83.7</v>
      </c>
      <c r="M181" s="30" t="s">
        <v>129</v>
      </c>
      <c r="N181" s="30" t="s">
        <v>130</v>
      </c>
      <c r="O181" s="30"/>
    </row>
    <row r="182" customFormat="false" ht="15" hidden="false" customHeight="true" outlineLevel="0" collapsed="false">
      <c r="A182" s="28" t="n">
        <v>45964</v>
      </c>
      <c r="B182" s="29" t="n">
        <f aca="false">IF(A182="","",YEAR(A182))</f>
        <v>2025</v>
      </c>
      <c r="C182" s="30" t="s">
        <v>58</v>
      </c>
      <c r="D182" s="30" t="s">
        <v>126</v>
      </c>
      <c r="E182" s="30" t="s">
        <v>136</v>
      </c>
      <c r="F182" s="30" t="s">
        <v>141</v>
      </c>
      <c r="G182" s="31" t="n">
        <v>5.02</v>
      </c>
      <c r="H182" s="32" t="str">
        <f aca="false">IF(E182="","",IFERROR(INDEX(Catégories!$B$5:$B$60,MATCH(E182,Catégories!$A$5:$A$60,0)),"?"))</f>
        <v>Dépense</v>
      </c>
      <c r="I182" s="32" t="str">
        <f aca="false">IF(E182="","",IFERROR(INDEX(Catégories!$C$5:$C$60,MATCH(E182,Catégories!$A$5:$A$60,0)),"?"))</f>
        <v>Déductible</v>
      </c>
      <c r="J182" s="32" t="str">
        <f aca="false">IF(E182="","",IFERROR(INDEX(Catégories!$D$5:$D$60,MATCH(E182,Catégories!$A$5:$A$60,0)),"?"))</f>
        <v>Frais de gestion</v>
      </c>
      <c r="K182" s="33" t="n">
        <f aca="false">IF(H182="Recette",G182,IF(H182="Dépense",-G182,0))</f>
        <v>-5.02</v>
      </c>
      <c r="L182" s="33" t="n">
        <f aca="false">IF(E182="",0,G182*IFERROR(INDEX(Catégories!$E$5:$E$60,MATCH(E182,Catégories!$A$5:$A$60,0)),0))</f>
        <v>-5.02</v>
      </c>
      <c r="M182" s="30" t="s">
        <v>129</v>
      </c>
      <c r="N182" s="30" t="s">
        <v>130</v>
      </c>
      <c r="O182" s="30"/>
    </row>
    <row r="183" customFormat="false" ht="15" hidden="false" customHeight="true" outlineLevel="0" collapsed="false">
      <c r="A183" s="28" t="n">
        <v>45964</v>
      </c>
      <c r="B183" s="29" t="n">
        <f aca="false">IF(A183="","",YEAR(A183))</f>
        <v>2025</v>
      </c>
      <c r="C183" s="30" t="s">
        <v>58</v>
      </c>
      <c r="D183" s="30" t="s">
        <v>126</v>
      </c>
      <c r="E183" s="30" t="s">
        <v>136</v>
      </c>
      <c r="F183" s="30" t="s">
        <v>142</v>
      </c>
      <c r="G183" s="31" t="n">
        <v>1</v>
      </c>
      <c r="H183" s="32" t="str">
        <f aca="false">IF(E183="","",IFERROR(INDEX(Catégories!$B$5:$B$60,MATCH(E183,Catégories!$A$5:$A$60,0)),"?"))</f>
        <v>Dépense</v>
      </c>
      <c r="I183" s="32" t="str">
        <f aca="false">IF(E183="","",IFERROR(INDEX(Catégories!$C$5:$C$60,MATCH(E183,Catégories!$A$5:$A$60,0)),"?"))</f>
        <v>Déductible</v>
      </c>
      <c r="J183" s="32" t="str">
        <f aca="false">IF(E183="","",IFERROR(INDEX(Catégories!$D$5:$D$60,MATCH(E183,Catégories!$A$5:$A$60,0)),"?"))</f>
        <v>Frais de gestion</v>
      </c>
      <c r="K183" s="33" t="n">
        <f aca="false">IF(H183="Recette",G183,IF(H183="Dépense",-G183,0))</f>
        <v>-1</v>
      </c>
      <c r="L183" s="33" t="n">
        <f aca="false">IF(E183="",0,G183*IFERROR(INDEX(Catégories!$E$5:$E$60,MATCH(E183,Catégories!$A$5:$A$60,0)),0))</f>
        <v>-1</v>
      </c>
      <c r="M183" s="30" t="s">
        <v>129</v>
      </c>
      <c r="N183" s="30" t="s">
        <v>130</v>
      </c>
      <c r="O183" s="30"/>
    </row>
    <row r="184" customFormat="false" ht="15" hidden="false" customHeight="true" outlineLevel="0" collapsed="false">
      <c r="A184" s="28" t="n">
        <v>45964</v>
      </c>
      <c r="B184" s="29" t="n">
        <f aca="false">IF(A184="","",YEAR(A184))</f>
        <v>2025</v>
      </c>
      <c r="C184" s="30" t="s">
        <v>58</v>
      </c>
      <c r="D184" s="30" t="s">
        <v>126</v>
      </c>
      <c r="E184" s="30" t="s">
        <v>193</v>
      </c>
      <c r="F184" s="30" t="s">
        <v>263</v>
      </c>
      <c r="G184" s="31" t="n">
        <v>83.7</v>
      </c>
      <c r="H184" s="32" t="str">
        <f aca="false">IF(E184="","",IFERROR(INDEX(Catégories!$B$5:$B$60,MATCH(E184,Catégories!$A$5:$A$60,0)),"?"))</f>
        <v>Recette</v>
      </c>
      <c r="I184" s="32" t="str">
        <f aca="false">IF(E184="","",IFERROR(INDEX(Catégories!$C$5:$C$60,MATCH(E184,Catégories!$A$5:$A$60,0)),"?"))</f>
        <v>Imposable</v>
      </c>
      <c r="J184" s="32" t="str">
        <f aca="false">IF(E184="","",IFERROR(INDEX(Catégories!$D$5:$D$60,MATCH(E184,Catégories!$A$5:$A$60,0)),"?"))</f>
        <v>Charges refacturées</v>
      </c>
      <c r="K184" s="33" t="n">
        <f aca="false">IF(H184="Recette",G184,IF(H184="Dépense",-G184,0))</f>
        <v>83.7</v>
      </c>
      <c r="L184" s="33" t="n">
        <f aca="false">IF(E184="",0,G184*IFERROR(INDEX(Catégories!$E$5:$E$60,MATCH(E184,Catégories!$A$5:$A$60,0)),0))</f>
        <v>83.7</v>
      </c>
      <c r="M184" s="30" t="s">
        <v>129</v>
      </c>
      <c r="N184" s="30" t="s">
        <v>130</v>
      </c>
      <c r="O184" s="30"/>
    </row>
    <row r="185" customFormat="false" ht="15" hidden="false" customHeight="true" outlineLevel="0" collapsed="false">
      <c r="A185" s="28" t="n">
        <v>45964</v>
      </c>
      <c r="B185" s="29" t="n">
        <f aca="false">IF(A185="","",YEAR(A185))</f>
        <v>2025</v>
      </c>
      <c r="C185" s="30" t="s">
        <v>58</v>
      </c>
      <c r="D185" s="30" t="s">
        <v>126</v>
      </c>
      <c r="E185" s="30" t="s">
        <v>136</v>
      </c>
      <c r="F185" s="30" t="s">
        <v>264</v>
      </c>
      <c r="G185" s="31" t="n">
        <v>5.02</v>
      </c>
      <c r="H185" s="32" t="str">
        <f aca="false">IF(E185="","",IFERROR(INDEX(Catégories!$B$5:$B$60,MATCH(E185,Catégories!$A$5:$A$60,0)),"?"))</f>
        <v>Dépense</v>
      </c>
      <c r="I185" s="32" t="str">
        <f aca="false">IF(E185="","",IFERROR(INDEX(Catégories!$C$5:$C$60,MATCH(E185,Catégories!$A$5:$A$60,0)),"?"))</f>
        <v>Déductible</v>
      </c>
      <c r="J185" s="32" t="str">
        <f aca="false">IF(E185="","",IFERROR(INDEX(Catégories!$D$5:$D$60,MATCH(E185,Catégories!$A$5:$A$60,0)),"?"))</f>
        <v>Frais de gestion</v>
      </c>
      <c r="K185" s="33" t="n">
        <f aca="false">IF(H185="Recette",G185,IF(H185="Dépense",-G185,0))</f>
        <v>-5.02</v>
      </c>
      <c r="L185" s="33" t="n">
        <f aca="false">IF(E185="",0,G185*IFERROR(INDEX(Catégories!$E$5:$E$60,MATCH(E185,Catégories!$A$5:$A$60,0)),0))</f>
        <v>-5.02</v>
      </c>
      <c r="M185" s="30" t="s">
        <v>129</v>
      </c>
      <c r="N185" s="30" t="s">
        <v>130</v>
      </c>
      <c r="O185" s="30"/>
    </row>
    <row r="186" customFormat="false" ht="15" hidden="false" customHeight="true" outlineLevel="0" collapsed="false">
      <c r="A186" s="28" t="n">
        <v>45964</v>
      </c>
      <c r="B186" s="29" t="n">
        <f aca="false">IF(A186="","",YEAR(A186))</f>
        <v>2025</v>
      </c>
      <c r="C186" s="30" t="s">
        <v>58</v>
      </c>
      <c r="D186" s="30" t="s">
        <v>126</v>
      </c>
      <c r="E186" s="30" t="s">
        <v>136</v>
      </c>
      <c r="F186" s="30" t="s">
        <v>265</v>
      </c>
      <c r="G186" s="31" t="n">
        <v>1</v>
      </c>
      <c r="H186" s="32" t="str">
        <f aca="false">IF(E186="","",IFERROR(INDEX(Catégories!$B$5:$B$60,MATCH(E186,Catégories!$A$5:$A$60,0)),"?"))</f>
        <v>Dépense</v>
      </c>
      <c r="I186" s="32" t="str">
        <f aca="false">IF(E186="","",IFERROR(INDEX(Catégories!$C$5:$C$60,MATCH(E186,Catégories!$A$5:$A$60,0)),"?"))</f>
        <v>Déductible</v>
      </c>
      <c r="J186" s="32" t="str">
        <f aca="false">IF(E186="","",IFERROR(INDEX(Catégories!$D$5:$D$60,MATCH(E186,Catégories!$A$5:$A$60,0)),"?"))</f>
        <v>Frais de gestion</v>
      </c>
      <c r="K186" s="33" t="n">
        <f aca="false">IF(H186="Recette",G186,IF(H186="Dépense",-G186,0))</f>
        <v>-1</v>
      </c>
      <c r="L186" s="33" t="n">
        <f aca="false">IF(E186="",0,G186*IFERROR(INDEX(Catégories!$E$5:$E$60,MATCH(E186,Catégories!$A$5:$A$60,0)),0))</f>
        <v>-1</v>
      </c>
      <c r="M186" s="30" t="s">
        <v>129</v>
      </c>
      <c r="N186" s="30" t="s">
        <v>130</v>
      </c>
      <c r="O186" s="30"/>
    </row>
    <row r="187" customFormat="false" ht="15" hidden="false" customHeight="true" outlineLevel="0" collapsed="false">
      <c r="A187" s="28" t="n">
        <v>45965</v>
      </c>
      <c r="B187" s="29" t="n">
        <f aca="false">IF(A187="","",YEAR(A187))</f>
        <v>2025</v>
      </c>
      <c r="C187" s="30" t="s">
        <v>58</v>
      </c>
      <c r="D187" s="30" t="s">
        <v>126</v>
      </c>
      <c r="E187" s="30" t="s">
        <v>168</v>
      </c>
      <c r="F187" s="30" t="s">
        <v>169</v>
      </c>
      <c r="G187" s="31" t="n">
        <v>1126.74</v>
      </c>
      <c r="H187" s="32" t="str">
        <f aca="false">IF(E187="","",IFERROR(INDEX(Catégories!$B$5:$B$60,MATCH(E187,Catégories!$A$5:$A$60,0)),"?"))</f>
        <v>Transfert</v>
      </c>
      <c r="I187" s="32" t="str">
        <f aca="false">IF(E187="","",IFERROR(INDEX(Catégories!$C$5:$C$60,MATCH(E187,Catégories!$A$5:$A$60,0)),"?"))</f>
        <v>Non fiscal</v>
      </c>
      <c r="J187" s="32" t="str">
        <f aca="false">IF(E187="","",IFERROR(INDEX(Catégories!$D$5:$D$60,MATCH(E187,Catégories!$A$5:$A$60,0)),"?"))</f>
        <v>Mouvements internes</v>
      </c>
      <c r="K187" s="33" t="n">
        <f aca="false">IF(H187="Recette",G187,IF(H187="Dépense",-G187,0))</f>
        <v>0</v>
      </c>
      <c r="L187" s="33" t="n">
        <f aca="false">IF(E187="",0,G187*IFERROR(INDEX(Catégories!$E$5:$E$60,MATCH(E187,Catégories!$A$5:$A$60,0)),0))</f>
        <v>-1126.74</v>
      </c>
      <c r="M187" s="30" t="s">
        <v>129</v>
      </c>
      <c r="N187" s="30" t="s">
        <v>130</v>
      </c>
      <c r="O187" s="30"/>
    </row>
    <row r="188" customFormat="false" ht="15" hidden="false" customHeight="true" outlineLevel="0" collapsed="false">
      <c r="A188" s="28" t="n">
        <v>45992</v>
      </c>
      <c r="B188" s="29" t="n">
        <f aca="false">IF(A188="","",YEAR(A188))</f>
        <v>2025</v>
      </c>
      <c r="C188" s="30" t="s">
        <v>58</v>
      </c>
      <c r="D188" s="30" t="s">
        <v>126</v>
      </c>
      <c r="E188" s="30" t="s">
        <v>266</v>
      </c>
      <c r="F188" s="30" t="s">
        <v>267</v>
      </c>
      <c r="G188" s="31" t="n">
        <v>-623.7</v>
      </c>
      <c r="H188" s="32" t="str">
        <f aca="false">IF(E188="","",IFERROR(INDEX(Catégories!$B$5:$B$60,MATCH(E188,Catégories!$A$5:$A$60,0)),"?"))</f>
        <v>Recette</v>
      </c>
      <c r="I188" s="32" t="str">
        <f aca="false">IF(E188="","",IFERROR(INDEX(Catégories!$C$5:$C$60,MATCH(E188,Catégories!$A$5:$A$60,0)),"?"))</f>
        <v>Imposable</v>
      </c>
      <c r="J188" s="32" t="str">
        <f aca="false">IF(E188="","",IFERROR(INDEX(Catégories!$D$5:$D$60,MATCH(E188,Catégories!$A$5:$A$60,0)),"?"))</f>
        <v>Charges refacturées</v>
      </c>
      <c r="K188" s="33" t="n">
        <f aca="false">IF(H188="Recette",G188,IF(H188="Dépense",-G188,0))</f>
        <v>-623.7</v>
      </c>
      <c r="L188" s="33" t="n">
        <f aca="false">IF(E188="",0,G188*IFERROR(INDEX(Catégories!$E$5:$E$60,MATCH(E188,Catégories!$A$5:$A$60,0)),0))</f>
        <v>-623.7</v>
      </c>
      <c r="M188" s="30" t="s">
        <v>129</v>
      </c>
      <c r="N188" s="30" t="s">
        <v>130</v>
      </c>
      <c r="O188" s="30"/>
    </row>
    <row r="189" customFormat="false" ht="15" hidden="false" customHeight="true" outlineLevel="0" collapsed="false">
      <c r="A189" s="28" t="n">
        <v>45992</v>
      </c>
      <c r="B189" s="29" t="n">
        <f aca="false">IF(A189="","",YEAR(A189))</f>
        <v>2025</v>
      </c>
      <c r="C189" s="30" t="s">
        <v>58</v>
      </c>
      <c r="D189" s="30" t="s">
        <v>126</v>
      </c>
      <c r="E189" s="30" t="s">
        <v>266</v>
      </c>
      <c r="F189" s="30" t="s">
        <v>268</v>
      </c>
      <c r="G189" s="31" t="n">
        <v>623.7</v>
      </c>
      <c r="H189" s="32" t="str">
        <f aca="false">IF(E189="","",IFERROR(INDEX(Catégories!$B$5:$B$60,MATCH(E189,Catégories!$A$5:$A$60,0)),"?"))</f>
        <v>Recette</v>
      </c>
      <c r="I189" s="32" t="str">
        <f aca="false">IF(E189="","",IFERROR(INDEX(Catégories!$C$5:$C$60,MATCH(E189,Catégories!$A$5:$A$60,0)),"?"))</f>
        <v>Imposable</v>
      </c>
      <c r="J189" s="32" t="str">
        <f aca="false">IF(E189="","",IFERROR(INDEX(Catégories!$D$5:$D$60,MATCH(E189,Catégories!$A$5:$A$60,0)),"?"))</f>
        <v>Charges refacturées</v>
      </c>
      <c r="K189" s="33" t="n">
        <f aca="false">IF(H189="Recette",G189,IF(H189="Dépense",-G189,0))</f>
        <v>623.7</v>
      </c>
      <c r="L189" s="33" t="n">
        <f aca="false">IF(E189="",0,G189*IFERROR(INDEX(Catégories!$E$5:$E$60,MATCH(E189,Catégories!$A$5:$A$60,0)),0))</f>
        <v>623.7</v>
      </c>
      <c r="M189" s="30" t="s">
        <v>129</v>
      </c>
      <c r="N189" s="30" t="s">
        <v>130</v>
      </c>
      <c r="O189" s="30"/>
    </row>
    <row r="190" customFormat="false" ht="15" hidden="false" customHeight="true" outlineLevel="0" collapsed="false">
      <c r="A190" s="28" t="n">
        <v>45992</v>
      </c>
      <c r="B190" s="29" t="n">
        <f aca="false">IF(A190="","",YEAR(A190))</f>
        <v>2025</v>
      </c>
      <c r="C190" s="30" t="s">
        <v>58</v>
      </c>
      <c r="D190" s="30" t="s">
        <v>126</v>
      </c>
      <c r="E190" s="30" t="s">
        <v>266</v>
      </c>
      <c r="F190" s="30" t="s">
        <v>269</v>
      </c>
      <c r="G190" s="31" t="n">
        <v>227.16</v>
      </c>
      <c r="H190" s="32" t="str">
        <f aca="false">IF(E190="","",IFERROR(INDEX(Catégories!$B$5:$B$60,MATCH(E190,Catégories!$A$5:$A$60,0)),"?"))</f>
        <v>Recette</v>
      </c>
      <c r="I190" s="32" t="str">
        <f aca="false">IF(E190="","",IFERROR(INDEX(Catégories!$C$5:$C$60,MATCH(E190,Catégories!$A$5:$A$60,0)),"?"))</f>
        <v>Imposable</v>
      </c>
      <c r="J190" s="32" t="str">
        <f aca="false">IF(E190="","",IFERROR(INDEX(Catégories!$D$5:$D$60,MATCH(E190,Catégories!$A$5:$A$60,0)),"?"))</f>
        <v>Charges refacturées</v>
      </c>
      <c r="K190" s="33" t="n">
        <f aca="false">IF(H190="Recette",G190,IF(H190="Dépense",-G190,0))</f>
        <v>227.16</v>
      </c>
      <c r="L190" s="33" t="n">
        <f aca="false">IF(E190="",0,G190*IFERROR(INDEX(Catégories!$E$5:$E$60,MATCH(E190,Catégories!$A$5:$A$60,0)),0))</f>
        <v>227.16</v>
      </c>
      <c r="M190" s="30" t="s">
        <v>129</v>
      </c>
      <c r="N190" s="30" t="s">
        <v>130</v>
      </c>
      <c r="O190" s="30"/>
    </row>
    <row r="191" customFormat="false" ht="15" hidden="false" customHeight="true" outlineLevel="0" collapsed="false">
      <c r="A191" s="28" t="n">
        <v>45992</v>
      </c>
      <c r="B191" s="29" t="n">
        <f aca="false">IF(A191="","",YEAR(A191))</f>
        <v>2025</v>
      </c>
      <c r="C191" s="30" t="s">
        <v>58</v>
      </c>
      <c r="D191" s="30" t="s">
        <v>126</v>
      </c>
      <c r="E191" s="30" t="s">
        <v>136</v>
      </c>
      <c r="F191" s="30" t="s">
        <v>270</v>
      </c>
      <c r="G191" s="31" t="n">
        <v>13.63</v>
      </c>
      <c r="H191" s="32" t="str">
        <f aca="false">IF(E191="","",IFERROR(INDEX(Catégories!$B$5:$B$60,MATCH(E191,Catégories!$A$5:$A$60,0)),"?"))</f>
        <v>Dépense</v>
      </c>
      <c r="I191" s="32" t="str">
        <f aca="false">IF(E191="","",IFERROR(INDEX(Catégories!$C$5:$C$60,MATCH(E191,Catégories!$A$5:$A$60,0)),"?"))</f>
        <v>Déductible</v>
      </c>
      <c r="J191" s="32" t="str">
        <f aca="false">IF(E191="","",IFERROR(INDEX(Catégories!$D$5:$D$60,MATCH(E191,Catégories!$A$5:$A$60,0)),"?"))</f>
        <v>Frais de gestion</v>
      </c>
      <c r="K191" s="33" t="n">
        <f aca="false">IF(H191="Recette",G191,IF(H191="Dépense",-G191,0))</f>
        <v>-13.63</v>
      </c>
      <c r="L191" s="33" t="n">
        <f aca="false">IF(E191="",0,G191*IFERROR(INDEX(Catégories!$E$5:$E$60,MATCH(E191,Catégories!$A$5:$A$60,0)),0))</f>
        <v>-13.63</v>
      </c>
      <c r="M191" s="30" t="s">
        <v>129</v>
      </c>
      <c r="N191" s="30" t="s">
        <v>130</v>
      </c>
      <c r="O191" s="30"/>
    </row>
    <row r="192" customFormat="false" ht="15" hidden="false" customHeight="true" outlineLevel="0" collapsed="false">
      <c r="A192" s="28" t="n">
        <v>45992</v>
      </c>
      <c r="B192" s="29" t="n">
        <f aca="false">IF(A192="","",YEAR(A192))</f>
        <v>2025</v>
      </c>
      <c r="C192" s="30" t="s">
        <v>58</v>
      </c>
      <c r="D192" s="30" t="s">
        <v>126</v>
      </c>
      <c r="E192" s="30" t="s">
        <v>136</v>
      </c>
      <c r="F192" s="30" t="s">
        <v>271</v>
      </c>
      <c r="G192" s="31" t="n">
        <v>2.72</v>
      </c>
      <c r="H192" s="32" t="str">
        <f aca="false">IF(E192="","",IFERROR(INDEX(Catégories!$B$5:$B$60,MATCH(E192,Catégories!$A$5:$A$60,0)),"?"))</f>
        <v>Dépense</v>
      </c>
      <c r="I192" s="32" t="str">
        <f aca="false">IF(E192="","",IFERROR(INDEX(Catégories!$C$5:$C$60,MATCH(E192,Catégories!$A$5:$A$60,0)),"?"))</f>
        <v>Déductible</v>
      </c>
      <c r="J192" s="32" t="str">
        <f aca="false">IF(E192="","",IFERROR(INDEX(Catégories!$D$5:$D$60,MATCH(E192,Catégories!$A$5:$A$60,0)),"?"))</f>
        <v>Frais de gestion</v>
      </c>
      <c r="K192" s="33" t="n">
        <f aca="false">IF(H192="Recette",G192,IF(H192="Dépense",-G192,0))</f>
        <v>-2.72</v>
      </c>
      <c r="L192" s="33" t="n">
        <f aca="false">IF(E192="",0,G192*IFERROR(INDEX(Catégories!$E$5:$E$60,MATCH(E192,Catégories!$A$5:$A$60,0)),0))</f>
        <v>-2.72</v>
      </c>
      <c r="M192" s="30" t="s">
        <v>129</v>
      </c>
      <c r="N192" s="30" t="s">
        <v>130</v>
      </c>
      <c r="O192" s="30"/>
    </row>
    <row r="193" customFormat="false" ht="15" hidden="false" customHeight="true" outlineLevel="0" collapsed="false">
      <c r="A193" s="28" t="n">
        <v>45993</v>
      </c>
      <c r="B193" s="29" t="n">
        <f aca="false">IF(A193="","",YEAR(A193))</f>
        <v>2025</v>
      </c>
      <c r="C193" s="30" t="s">
        <v>58</v>
      </c>
      <c r="D193" s="30" t="s">
        <v>126</v>
      </c>
      <c r="E193" s="30" t="s">
        <v>134</v>
      </c>
      <c r="F193" s="30" t="s">
        <v>272</v>
      </c>
      <c r="G193" s="31" t="n">
        <v>1046.76</v>
      </c>
      <c r="H193" s="32" t="str">
        <f aca="false">IF(E193="","",IFERROR(INDEX(Catégories!$B$5:$B$60,MATCH(E193,Catégories!$A$5:$A$60,0)),"?"))</f>
        <v>Recette</v>
      </c>
      <c r="I193" s="32" t="str">
        <f aca="false">IF(E193="","",IFERROR(INDEX(Catégories!$C$5:$C$60,MATCH(E193,Catégories!$A$5:$A$60,0)),"?"))</f>
        <v>Imposable</v>
      </c>
      <c r="J193" s="32" t="str">
        <f aca="false">IF(E193="","",IFERROR(INDEX(Catégories!$D$5:$D$60,MATCH(E193,Catégories!$A$5:$A$60,0)),"?"))</f>
        <v>Loyers</v>
      </c>
      <c r="K193" s="33" t="n">
        <f aca="false">IF(H193="Recette",G193,IF(H193="Dépense",-G193,0))</f>
        <v>1046.76</v>
      </c>
      <c r="L193" s="33" t="n">
        <f aca="false">IF(E193="",0,G193*IFERROR(INDEX(Catégories!$E$5:$E$60,MATCH(E193,Catégories!$A$5:$A$60,0)),0))</f>
        <v>1046.76</v>
      </c>
      <c r="M193" s="30" t="s">
        <v>129</v>
      </c>
      <c r="N193" s="30" t="s">
        <v>130</v>
      </c>
      <c r="O193" s="30"/>
    </row>
    <row r="194" customFormat="false" ht="15" hidden="false" customHeight="true" outlineLevel="0" collapsed="false">
      <c r="A194" s="28" t="n">
        <v>45993</v>
      </c>
      <c r="B194" s="29" t="n">
        <f aca="false">IF(A194="","",YEAR(A194))</f>
        <v>2025</v>
      </c>
      <c r="C194" s="30" t="s">
        <v>58</v>
      </c>
      <c r="D194" s="30" t="s">
        <v>126</v>
      </c>
      <c r="E194" s="30" t="s">
        <v>136</v>
      </c>
      <c r="F194" s="30" t="s">
        <v>137</v>
      </c>
      <c r="G194" s="31" t="n">
        <v>62.8</v>
      </c>
      <c r="H194" s="32" t="str">
        <f aca="false">IF(E194="","",IFERROR(INDEX(Catégories!$B$5:$B$60,MATCH(E194,Catégories!$A$5:$A$60,0)),"?"))</f>
        <v>Dépense</v>
      </c>
      <c r="I194" s="32" t="str">
        <f aca="false">IF(E194="","",IFERROR(INDEX(Catégories!$C$5:$C$60,MATCH(E194,Catégories!$A$5:$A$60,0)),"?"))</f>
        <v>Déductible</v>
      </c>
      <c r="J194" s="32" t="str">
        <f aca="false">IF(E194="","",IFERROR(INDEX(Catégories!$D$5:$D$60,MATCH(E194,Catégories!$A$5:$A$60,0)),"?"))</f>
        <v>Frais de gestion</v>
      </c>
      <c r="K194" s="33" t="n">
        <f aca="false">IF(H194="Recette",G194,IF(H194="Dépense",-G194,0))</f>
        <v>-62.8</v>
      </c>
      <c r="L194" s="33" t="n">
        <f aca="false">IF(E194="",0,G194*IFERROR(INDEX(Catégories!$E$5:$E$60,MATCH(E194,Catégories!$A$5:$A$60,0)),0))</f>
        <v>-62.8</v>
      </c>
      <c r="M194" s="30" t="s">
        <v>129</v>
      </c>
      <c r="N194" s="30" t="s">
        <v>130</v>
      </c>
      <c r="O194" s="30"/>
    </row>
    <row r="195" customFormat="false" ht="15" hidden="false" customHeight="true" outlineLevel="0" collapsed="false">
      <c r="A195" s="28" t="n">
        <v>45993</v>
      </c>
      <c r="B195" s="29" t="n">
        <f aca="false">IF(A195="","",YEAR(A195))</f>
        <v>2025</v>
      </c>
      <c r="C195" s="30" t="s">
        <v>58</v>
      </c>
      <c r="D195" s="30" t="s">
        <v>126</v>
      </c>
      <c r="E195" s="30" t="s">
        <v>136</v>
      </c>
      <c r="F195" s="30" t="s">
        <v>138</v>
      </c>
      <c r="G195" s="31" t="n">
        <v>12.56</v>
      </c>
      <c r="H195" s="32" t="str">
        <f aca="false">IF(E195="","",IFERROR(INDEX(Catégories!$B$5:$B$60,MATCH(E195,Catégories!$A$5:$A$60,0)),"?"))</f>
        <v>Dépense</v>
      </c>
      <c r="I195" s="32" t="str">
        <f aca="false">IF(E195="","",IFERROR(INDEX(Catégories!$C$5:$C$60,MATCH(E195,Catégories!$A$5:$A$60,0)),"?"))</f>
        <v>Déductible</v>
      </c>
      <c r="J195" s="32" t="str">
        <f aca="false">IF(E195="","",IFERROR(INDEX(Catégories!$D$5:$D$60,MATCH(E195,Catégories!$A$5:$A$60,0)),"?"))</f>
        <v>Frais de gestion</v>
      </c>
      <c r="K195" s="33" t="n">
        <f aca="false">IF(H195="Recette",G195,IF(H195="Dépense",-G195,0))</f>
        <v>-12.56</v>
      </c>
      <c r="L195" s="33" t="n">
        <f aca="false">IF(E195="",0,G195*IFERROR(INDEX(Catégories!$E$5:$E$60,MATCH(E195,Catégories!$A$5:$A$60,0)),0))</f>
        <v>-12.56</v>
      </c>
      <c r="M195" s="30" t="s">
        <v>129</v>
      </c>
      <c r="N195" s="30" t="s">
        <v>130</v>
      </c>
      <c r="O195" s="30"/>
    </row>
    <row r="196" customFormat="false" ht="15" hidden="false" customHeight="true" outlineLevel="0" collapsed="false">
      <c r="A196" s="28" t="n">
        <v>45993</v>
      </c>
      <c r="B196" s="29" t="n">
        <f aca="false">IF(A196="","",YEAR(A196))</f>
        <v>2025</v>
      </c>
      <c r="C196" s="30" t="s">
        <v>58</v>
      </c>
      <c r="D196" s="30" t="s">
        <v>126</v>
      </c>
      <c r="E196" s="30" t="s">
        <v>139</v>
      </c>
      <c r="F196" s="30" t="s">
        <v>273</v>
      </c>
      <c r="G196" s="31" t="n">
        <v>83.7</v>
      </c>
      <c r="H196" s="32" t="str">
        <f aca="false">IF(E196="","",IFERROR(INDEX(Catégories!$B$5:$B$60,MATCH(E196,Catégories!$A$5:$A$60,0)),"?"))</f>
        <v>Recette</v>
      </c>
      <c r="I196" s="32" t="str">
        <f aca="false">IF(E196="","",IFERROR(INDEX(Catégories!$C$5:$C$60,MATCH(E196,Catégories!$A$5:$A$60,0)),"?"))</f>
        <v>Imposable</v>
      </c>
      <c r="J196" s="32" t="str">
        <f aca="false">IF(E196="","",IFERROR(INDEX(Catégories!$D$5:$D$60,MATCH(E196,Catégories!$A$5:$A$60,0)),"?"))</f>
        <v>Charges refacturées</v>
      </c>
      <c r="K196" s="33" t="n">
        <f aca="false">IF(H196="Recette",G196,IF(H196="Dépense",-G196,0))</f>
        <v>83.7</v>
      </c>
      <c r="L196" s="33" t="n">
        <f aca="false">IF(E196="",0,G196*IFERROR(INDEX(Catégories!$E$5:$E$60,MATCH(E196,Catégories!$A$5:$A$60,0)),0))</f>
        <v>83.7</v>
      </c>
      <c r="M196" s="30" t="s">
        <v>129</v>
      </c>
      <c r="N196" s="30" t="s">
        <v>130</v>
      </c>
      <c r="O196" s="30"/>
    </row>
    <row r="197" customFormat="false" ht="15" hidden="false" customHeight="true" outlineLevel="0" collapsed="false">
      <c r="A197" s="28" t="n">
        <v>45993</v>
      </c>
      <c r="B197" s="29" t="n">
        <f aca="false">IF(A197="","",YEAR(A197))</f>
        <v>2025</v>
      </c>
      <c r="C197" s="30" t="s">
        <v>58</v>
      </c>
      <c r="D197" s="30" t="s">
        <v>126</v>
      </c>
      <c r="E197" s="30" t="s">
        <v>136</v>
      </c>
      <c r="F197" s="30" t="s">
        <v>141</v>
      </c>
      <c r="G197" s="31" t="n">
        <v>5.02</v>
      </c>
      <c r="H197" s="32" t="str">
        <f aca="false">IF(E197="","",IFERROR(INDEX(Catégories!$B$5:$B$60,MATCH(E197,Catégories!$A$5:$A$60,0)),"?"))</f>
        <v>Dépense</v>
      </c>
      <c r="I197" s="32" t="str">
        <f aca="false">IF(E197="","",IFERROR(INDEX(Catégories!$C$5:$C$60,MATCH(E197,Catégories!$A$5:$A$60,0)),"?"))</f>
        <v>Déductible</v>
      </c>
      <c r="J197" s="32" t="str">
        <f aca="false">IF(E197="","",IFERROR(INDEX(Catégories!$D$5:$D$60,MATCH(E197,Catégories!$A$5:$A$60,0)),"?"))</f>
        <v>Frais de gestion</v>
      </c>
      <c r="K197" s="33" t="n">
        <f aca="false">IF(H197="Recette",G197,IF(H197="Dépense",-G197,0))</f>
        <v>-5.02</v>
      </c>
      <c r="L197" s="33" t="n">
        <f aca="false">IF(E197="",0,G197*IFERROR(INDEX(Catégories!$E$5:$E$60,MATCH(E197,Catégories!$A$5:$A$60,0)),0))</f>
        <v>-5.02</v>
      </c>
      <c r="M197" s="30" t="s">
        <v>129</v>
      </c>
      <c r="N197" s="30" t="s">
        <v>130</v>
      </c>
      <c r="O197" s="30"/>
    </row>
    <row r="198" customFormat="false" ht="15" hidden="false" customHeight="true" outlineLevel="0" collapsed="false">
      <c r="A198" s="28" t="n">
        <v>45993</v>
      </c>
      <c r="B198" s="29" t="n">
        <f aca="false">IF(A198="","",YEAR(A198))</f>
        <v>2025</v>
      </c>
      <c r="C198" s="30" t="s">
        <v>58</v>
      </c>
      <c r="D198" s="30" t="s">
        <v>126</v>
      </c>
      <c r="E198" s="30" t="s">
        <v>136</v>
      </c>
      <c r="F198" s="30" t="s">
        <v>142</v>
      </c>
      <c r="G198" s="31" t="n">
        <v>1</v>
      </c>
      <c r="H198" s="32" t="str">
        <f aca="false">IF(E198="","",IFERROR(INDEX(Catégories!$B$5:$B$60,MATCH(E198,Catégories!$A$5:$A$60,0)),"?"))</f>
        <v>Dépense</v>
      </c>
      <c r="I198" s="32" t="str">
        <f aca="false">IF(E198="","",IFERROR(INDEX(Catégories!$C$5:$C$60,MATCH(E198,Catégories!$A$5:$A$60,0)),"?"))</f>
        <v>Déductible</v>
      </c>
      <c r="J198" s="32" t="str">
        <f aca="false">IF(E198="","",IFERROR(INDEX(Catégories!$D$5:$D$60,MATCH(E198,Catégories!$A$5:$A$60,0)),"?"))</f>
        <v>Frais de gestion</v>
      </c>
      <c r="K198" s="33" t="n">
        <f aca="false">IF(H198="Recette",G198,IF(H198="Dépense",-G198,0))</f>
        <v>-1</v>
      </c>
      <c r="L198" s="33" t="n">
        <f aca="false">IF(E198="",0,G198*IFERROR(INDEX(Catégories!$E$5:$E$60,MATCH(E198,Catégories!$A$5:$A$60,0)),0))</f>
        <v>-1</v>
      </c>
      <c r="M198" s="30" t="s">
        <v>129</v>
      </c>
      <c r="N198" s="30" t="s">
        <v>130</v>
      </c>
      <c r="O198" s="30"/>
    </row>
    <row r="199" customFormat="false" ht="15" hidden="false" customHeight="true" outlineLevel="0" collapsed="false">
      <c r="A199" s="28" t="n">
        <v>45995</v>
      </c>
      <c r="B199" s="29" t="n">
        <f aca="false">IF(A199="","",YEAR(A199))</f>
        <v>2025</v>
      </c>
      <c r="C199" s="30" t="s">
        <v>58</v>
      </c>
      <c r="D199" s="30" t="s">
        <v>126</v>
      </c>
      <c r="E199" s="30" t="s">
        <v>168</v>
      </c>
      <c r="F199" s="30" t="s">
        <v>169</v>
      </c>
      <c r="G199" s="31" t="n">
        <v>1259.87</v>
      </c>
      <c r="H199" s="32" t="str">
        <f aca="false">IF(E199="","",IFERROR(INDEX(Catégories!$B$5:$B$60,MATCH(E199,Catégories!$A$5:$A$60,0)),"?"))</f>
        <v>Transfert</v>
      </c>
      <c r="I199" s="32" t="str">
        <f aca="false">IF(E199="","",IFERROR(INDEX(Catégories!$C$5:$C$60,MATCH(E199,Catégories!$A$5:$A$60,0)),"?"))</f>
        <v>Non fiscal</v>
      </c>
      <c r="J199" s="32" t="str">
        <f aca="false">IF(E199="","",IFERROR(INDEX(Catégories!$D$5:$D$60,MATCH(E199,Catégories!$A$5:$A$60,0)),"?"))</f>
        <v>Mouvements internes</v>
      </c>
      <c r="K199" s="33" t="n">
        <f aca="false">IF(H199="Recette",G199,IF(H199="Dépense",-G199,0))</f>
        <v>0</v>
      </c>
      <c r="L199" s="33" t="n">
        <f aca="false">IF(E199="",0,G199*IFERROR(INDEX(Catégories!$E$5:$E$60,MATCH(E199,Catégories!$A$5:$A$60,0)),0))</f>
        <v>-1259.87</v>
      </c>
      <c r="M199" s="30" t="s">
        <v>129</v>
      </c>
      <c r="N199" s="30" t="s">
        <v>130</v>
      </c>
      <c r="O199" s="30"/>
    </row>
    <row r="200" customFormat="false" ht="15" hidden="false" customHeight="true" outlineLevel="0" collapsed="false">
      <c r="A200" s="28" t="n">
        <v>46001</v>
      </c>
      <c r="B200" s="29" t="n">
        <f aca="false">IF(A200="","",YEAR(A200))</f>
        <v>2025</v>
      </c>
      <c r="C200" s="30" t="s">
        <v>58</v>
      </c>
      <c r="D200" s="30" t="s">
        <v>148</v>
      </c>
      <c r="E200" s="30" t="s">
        <v>180</v>
      </c>
      <c r="F200" s="30" t="s">
        <v>274</v>
      </c>
      <c r="G200" s="31" t="n">
        <v>289.54</v>
      </c>
      <c r="H200" s="32" t="str">
        <f aca="false">IF(E200="","",IFERROR(INDEX(Catégories!$B$5:$B$60,MATCH(E200,Catégories!$A$5:$A$60,0)),"?"))</f>
        <v>Dépense</v>
      </c>
      <c r="I200" s="32" t="str">
        <f aca="false">IF(E200="","",IFERROR(INDEX(Catégories!$C$5:$C$60,MATCH(E200,Catégories!$A$5:$A$60,0)),"?"))</f>
        <v>Déductible</v>
      </c>
      <c r="J200" s="32" t="str">
        <f aca="false">IF(E200="","",IFERROR(INDEX(Catégories!$D$5:$D$60,MATCH(E200,Catégories!$A$5:$A$60,0)),"?"))</f>
        <v>Copropriété</v>
      </c>
      <c r="K200" s="33" t="n">
        <f aca="false">IF(H200="Recette",G200,IF(H200="Dépense",-G200,0))</f>
        <v>-289.54</v>
      </c>
      <c r="L200" s="33" t="n">
        <f aca="false">IF(E200="",0,G200*IFERROR(INDEX(Catégories!$E$5:$E$60,MATCH(E200,Catégories!$A$5:$A$60,0)),0))</f>
        <v>-289.54</v>
      </c>
      <c r="M200" s="30" t="s">
        <v>275</v>
      </c>
      <c r="N200" s="30" t="s">
        <v>151</v>
      </c>
      <c r="O200" s="30" t="s">
        <v>276</v>
      </c>
    </row>
    <row r="201" customFormat="false" ht="15" hidden="false" customHeight="true" outlineLevel="0" collapsed="false">
      <c r="A201" s="28" t="n">
        <v>46022</v>
      </c>
      <c r="B201" s="29" t="n">
        <f aca="false">IF(A201="","",YEAR(A201))</f>
        <v>2025</v>
      </c>
      <c r="C201" s="30" t="s">
        <v>58</v>
      </c>
      <c r="D201" s="30" t="s">
        <v>203</v>
      </c>
      <c r="E201" s="30" t="s">
        <v>204</v>
      </c>
      <c r="F201" s="30" t="s">
        <v>277</v>
      </c>
      <c r="G201" s="31" t="n">
        <v>114.18</v>
      </c>
      <c r="H201" s="32" t="str">
        <f aca="false">IF(E201="","",IFERROR(INDEX(Catégories!$B$5:$B$60,MATCH(E201,Catégories!$A$5:$A$60,0)),"?"))</f>
        <v>Dépense</v>
      </c>
      <c r="I201" s="32" t="str">
        <f aca="false">IF(E201="","",IFERROR(INDEX(Catégories!$C$5:$C$60,MATCH(E201,Catégories!$A$5:$A$60,0)),"?"))</f>
        <v>Déductible</v>
      </c>
      <c r="J201" s="32" t="str">
        <f aca="false">IF(E201="","",IFERROR(INDEX(Catégories!$D$5:$D$60,MATCH(E201,Catégories!$A$5:$A$60,0)),"?"))</f>
        <v>Assurances</v>
      </c>
      <c r="K201" s="33" t="n">
        <f aca="false">IF(H201="Recette",G201,IF(H201="Dépense",-G201,0))</f>
        <v>-114.18</v>
      </c>
      <c r="L201" s="33" t="n">
        <f aca="false">IF(E201="",0,G201*IFERROR(INDEX(Catégories!$E$5:$E$60,MATCH(E201,Catégories!$A$5:$A$60,0)),0))</f>
        <v>-114.18</v>
      </c>
      <c r="M201" s="30" t="s">
        <v>278</v>
      </c>
      <c r="N201" s="30" t="s">
        <v>207</v>
      </c>
      <c r="O201" s="30" t="s">
        <v>208</v>
      </c>
    </row>
    <row r="202" customFormat="false" ht="15" hidden="false" customHeight="true" outlineLevel="0" collapsed="false">
      <c r="A202" s="28" t="n">
        <v>46024</v>
      </c>
      <c r="B202" s="29" t="n">
        <f aca="false">IF(A202="","",YEAR(A202))</f>
        <v>2026</v>
      </c>
      <c r="C202" s="30" t="s">
        <v>58</v>
      </c>
      <c r="D202" s="30" t="s">
        <v>126</v>
      </c>
      <c r="E202" s="30" t="s">
        <v>134</v>
      </c>
      <c r="F202" s="30" t="s">
        <v>279</v>
      </c>
      <c r="G202" s="31" t="n">
        <v>1046.76</v>
      </c>
      <c r="H202" s="32" t="str">
        <f aca="false">IF(E202="","",IFERROR(INDEX(Catégories!$B$5:$B$60,MATCH(E202,Catégories!$A$5:$A$60,0)),"?"))</f>
        <v>Recette</v>
      </c>
      <c r="I202" s="32" t="str">
        <f aca="false">IF(E202="","",IFERROR(INDEX(Catégories!$C$5:$C$60,MATCH(E202,Catégories!$A$5:$A$60,0)),"?"))</f>
        <v>Imposable</v>
      </c>
      <c r="J202" s="32" t="str">
        <f aca="false">IF(E202="","",IFERROR(INDEX(Catégories!$D$5:$D$60,MATCH(E202,Catégories!$A$5:$A$60,0)),"?"))</f>
        <v>Loyers</v>
      </c>
      <c r="K202" s="33" t="n">
        <f aca="false">IF(H202="Recette",G202,IF(H202="Dépense",-G202,0))</f>
        <v>1046.76</v>
      </c>
      <c r="L202" s="33" t="n">
        <f aca="false">IF(E202="",0,G202*IFERROR(INDEX(Catégories!$E$5:$E$60,MATCH(E202,Catégories!$A$5:$A$60,0)),0))</f>
        <v>1046.76</v>
      </c>
      <c r="M202" s="30" t="s">
        <v>129</v>
      </c>
      <c r="N202" s="30" t="s">
        <v>130</v>
      </c>
      <c r="O202" s="30"/>
    </row>
    <row r="203" customFormat="false" ht="15" hidden="false" customHeight="true" outlineLevel="0" collapsed="false">
      <c r="A203" s="28" t="n">
        <v>46024</v>
      </c>
      <c r="B203" s="29" t="n">
        <f aca="false">IF(A203="","",YEAR(A203))</f>
        <v>2026</v>
      </c>
      <c r="C203" s="30" t="s">
        <v>58</v>
      </c>
      <c r="D203" s="30" t="s">
        <v>126</v>
      </c>
      <c r="E203" s="30" t="s">
        <v>136</v>
      </c>
      <c r="F203" s="30" t="s">
        <v>137</v>
      </c>
      <c r="G203" s="31" t="n">
        <v>62.8</v>
      </c>
      <c r="H203" s="32" t="str">
        <f aca="false">IF(E203="","",IFERROR(INDEX(Catégories!$B$5:$B$60,MATCH(E203,Catégories!$A$5:$A$60,0)),"?"))</f>
        <v>Dépense</v>
      </c>
      <c r="I203" s="32" t="str">
        <f aca="false">IF(E203="","",IFERROR(INDEX(Catégories!$C$5:$C$60,MATCH(E203,Catégories!$A$5:$A$60,0)),"?"))</f>
        <v>Déductible</v>
      </c>
      <c r="J203" s="32" t="str">
        <f aca="false">IF(E203="","",IFERROR(INDEX(Catégories!$D$5:$D$60,MATCH(E203,Catégories!$A$5:$A$60,0)),"?"))</f>
        <v>Frais de gestion</v>
      </c>
      <c r="K203" s="33" t="n">
        <f aca="false">IF(H203="Recette",G203,IF(H203="Dépense",-G203,0))</f>
        <v>-62.8</v>
      </c>
      <c r="L203" s="33" t="n">
        <f aca="false">IF(E203="",0,G203*IFERROR(INDEX(Catégories!$E$5:$E$60,MATCH(E203,Catégories!$A$5:$A$60,0)),0))</f>
        <v>-62.8</v>
      </c>
      <c r="M203" s="30" t="s">
        <v>129</v>
      </c>
      <c r="N203" s="30" t="s">
        <v>130</v>
      </c>
      <c r="O203" s="30"/>
    </row>
    <row r="204" customFormat="false" ht="15" hidden="false" customHeight="true" outlineLevel="0" collapsed="false">
      <c r="A204" s="28" t="n">
        <v>46024</v>
      </c>
      <c r="B204" s="29" t="n">
        <f aca="false">IF(A204="","",YEAR(A204))</f>
        <v>2026</v>
      </c>
      <c r="C204" s="30" t="s">
        <v>58</v>
      </c>
      <c r="D204" s="30" t="s">
        <v>126</v>
      </c>
      <c r="E204" s="30" t="s">
        <v>136</v>
      </c>
      <c r="F204" s="30" t="s">
        <v>138</v>
      </c>
      <c r="G204" s="31" t="n">
        <v>12.56</v>
      </c>
      <c r="H204" s="32" t="str">
        <f aca="false">IF(E204="","",IFERROR(INDEX(Catégories!$B$5:$B$60,MATCH(E204,Catégories!$A$5:$A$60,0)),"?"))</f>
        <v>Dépense</v>
      </c>
      <c r="I204" s="32" t="str">
        <f aca="false">IF(E204="","",IFERROR(INDEX(Catégories!$C$5:$C$60,MATCH(E204,Catégories!$A$5:$A$60,0)),"?"))</f>
        <v>Déductible</v>
      </c>
      <c r="J204" s="32" t="str">
        <f aca="false">IF(E204="","",IFERROR(INDEX(Catégories!$D$5:$D$60,MATCH(E204,Catégories!$A$5:$A$60,0)),"?"))</f>
        <v>Frais de gestion</v>
      </c>
      <c r="K204" s="33" t="n">
        <f aca="false">IF(H204="Recette",G204,IF(H204="Dépense",-G204,0))</f>
        <v>-12.56</v>
      </c>
      <c r="L204" s="33" t="n">
        <f aca="false">IF(E204="",0,G204*IFERROR(INDEX(Catégories!$E$5:$E$60,MATCH(E204,Catégories!$A$5:$A$60,0)),0))</f>
        <v>-12.56</v>
      </c>
      <c r="M204" s="30" t="s">
        <v>129</v>
      </c>
      <c r="N204" s="30" t="s">
        <v>130</v>
      </c>
      <c r="O204" s="30"/>
    </row>
    <row r="205" customFormat="false" ht="15" hidden="false" customHeight="true" outlineLevel="0" collapsed="false">
      <c r="A205" s="28" t="n">
        <v>46024</v>
      </c>
      <c r="B205" s="29" t="n">
        <f aca="false">IF(A205="","",YEAR(A205))</f>
        <v>2026</v>
      </c>
      <c r="C205" s="30" t="s">
        <v>58</v>
      </c>
      <c r="D205" s="30" t="s">
        <v>126</v>
      </c>
      <c r="E205" s="30" t="s">
        <v>139</v>
      </c>
      <c r="F205" s="30" t="s">
        <v>280</v>
      </c>
      <c r="G205" s="31" t="n">
        <v>83.7</v>
      </c>
      <c r="H205" s="32" t="str">
        <f aca="false">IF(E205="","",IFERROR(INDEX(Catégories!$B$5:$B$60,MATCH(E205,Catégories!$A$5:$A$60,0)),"?"))</f>
        <v>Recette</v>
      </c>
      <c r="I205" s="32" t="str">
        <f aca="false">IF(E205="","",IFERROR(INDEX(Catégories!$C$5:$C$60,MATCH(E205,Catégories!$A$5:$A$60,0)),"?"))</f>
        <v>Imposable</v>
      </c>
      <c r="J205" s="32" t="str">
        <f aca="false">IF(E205="","",IFERROR(INDEX(Catégories!$D$5:$D$60,MATCH(E205,Catégories!$A$5:$A$60,0)),"?"))</f>
        <v>Charges refacturées</v>
      </c>
      <c r="K205" s="33" t="n">
        <f aca="false">IF(H205="Recette",G205,IF(H205="Dépense",-G205,0))</f>
        <v>83.7</v>
      </c>
      <c r="L205" s="33" t="n">
        <f aca="false">IF(E205="",0,G205*IFERROR(INDEX(Catégories!$E$5:$E$60,MATCH(E205,Catégories!$A$5:$A$60,0)),0))</f>
        <v>83.7</v>
      </c>
      <c r="M205" s="30" t="s">
        <v>129</v>
      </c>
      <c r="N205" s="30" t="s">
        <v>130</v>
      </c>
      <c r="O205" s="30"/>
    </row>
    <row r="206" customFormat="false" ht="15" hidden="false" customHeight="true" outlineLevel="0" collapsed="false">
      <c r="A206" s="28" t="n">
        <v>46024</v>
      </c>
      <c r="B206" s="29" t="n">
        <f aca="false">IF(A206="","",YEAR(A206))</f>
        <v>2026</v>
      </c>
      <c r="C206" s="30" t="s">
        <v>58</v>
      </c>
      <c r="D206" s="30" t="s">
        <v>126</v>
      </c>
      <c r="E206" s="30" t="s">
        <v>136</v>
      </c>
      <c r="F206" s="30" t="s">
        <v>141</v>
      </c>
      <c r="G206" s="31" t="n">
        <v>5.02</v>
      </c>
      <c r="H206" s="32" t="str">
        <f aca="false">IF(E206="","",IFERROR(INDEX(Catégories!$B$5:$B$60,MATCH(E206,Catégories!$A$5:$A$60,0)),"?"))</f>
        <v>Dépense</v>
      </c>
      <c r="I206" s="32" t="str">
        <f aca="false">IF(E206="","",IFERROR(INDEX(Catégories!$C$5:$C$60,MATCH(E206,Catégories!$A$5:$A$60,0)),"?"))</f>
        <v>Déductible</v>
      </c>
      <c r="J206" s="32" t="str">
        <f aca="false">IF(E206="","",IFERROR(INDEX(Catégories!$D$5:$D$60,MATCH(E206,Catégories!$A$5:$A$60,0)),"?"))</f>
        <v>Frais de gestion</v>
      </c>
      <c r="K206" s="33" t="n">
        <f aca="false">IF(H206="Recette",G206,IF(H206="Dépense",-G206,0))</f>
        <v>-5.02</v>
      </c>
      <c r="L206" s="33" t="n">
        <f aca="false">IF(E206="",0,G206*IFERROR(INDEX(Catégories!$E$5:$E$60,MATCH(E206,Catégories!$A$5:$A$60,0)),0))</f>
        <v>-5.02</v>
      </c>
      <c r="M206" s="30" t="s">
        <v>129</v>
      </c>
      <c r="N206" s="30" t="s">
        <v>130</v>
      </c>
      <c r="O206" s="30"/>
    </row>
    <row r="207" customFormat="false" ht="15" hidden="false" customHeight="true" outlineLevel="0" collapsed="false">
      <c r="A207" s="28" t="n">
        <v>46024</v>
      </c>
      <c r="B207" s="29" t="n">
        <f aca="false">IF(A207="","",YEAR(A207))</f>
        <v>2026</v>
      </c>
      <c r="C207" s="30" t="s">
        <v>58</v>
      </c>
      <c r="D207" s="30" t="s">
        <v>126</v>
      </c>
      <c r="E207" s="30" t="s">
        <v>136</v>
      </c>
      <c r="F207" s="30" t="s">
        <v>142</v>
      </c>
      <c r="G207" s="31" t="n">
        <v>1</v>
      </c>
      <c r="H207" s="32" t="str">
        <f aca="false">IF(E207="","",IFERROR(INDEX(Catégories!$B$5:$B$60,MATCH(E207,Catégories!$A$5:$A$60,0)),"?"))</f>
        <v>Dépense</v>
      </c>
      <c r="I207" s="32" t="str">
        <f aca="false">IF(E207="","",IFERROR(INDEX(Catégories!$C$5:$C$60,MATCH(E207,Catégories!$A$5:$A$60,0)),"?"))</f>
        <v>Déductible</v>
      </c>
      <c r="J207" s="32" t="str">
        <f aca="false">IF(E207="","",IFERROR(INDEX(Catégories!$D$5:$D$60,MATCH(E207,Catégories!$A$5:$A$60,0)),"?"))</f>
        <v>Frais de gestion</v>
      </c>
      <c r="K207" s="33" t="n">
        <f aca="false">IF(H207="Recette",G207,IF(H207="Dépense",-G207,0))</f>
        <v>-1</v>
      </c>
      <c r="L207" s="33" t="n">
        <f aca="false">IF(E207="",0,G207*IFERROR(INDEX(Catégories!$E$5:$E$60,MATCH(E207,Catégories!$A$5:$A$60,0)),0))</f>
        <v>-1</v>
      </c>
      <c r="M207" s="30" t="s">
        <v>129</v>
      </c>
      <c r="N207" s="30" t="s">
        <v>130</v>
      </c>
      <c r="O207" s="30"/>
    </row>
    <row r="208" customFormat="false" ht="15" hidden="false" customHeight="true" outlineLevel="0" collapsed="false">
      <c r="A208" s="28" t="n">
        <v>46027</v>
      </c>
      <c r="B208" s="29" t="n">
        <f aca="false">IF(A208="","",YEAR(A208))</f>
        <v>2026</v>
      </c>
      <c r="C208" s="30" t="s">
        <v>58</v>
      </c>
      <c r="D208" s="30" t="s">
        <v>126</v>
      </c>
      <c r="E208" s="30" t="s">
        <v>168</v>
      </c>
      <c r="F208" s="30" t="s">
        <v>169</v>
      </c>
      <c r="G208" s="31" t="n">
        <v>1049.07</v>
      </c>
      <c r="H208" s="32" t="str">
        <f aca="false">IF(E208="","",IFERROR(INDEX(Catégories!$B$5:$B$60,MATCH(E208,Catégories!$A$5:$A$60,0)),"?"))</f>
        <v>Transfert</v>
      </c>
      <c r="I208" s="32" t="str">
        <f aca="false">IF(E208="","",IFERROR(INDEX(Catégories!$C$5:$C$60,MATCH(E208,Catégories!$A$5:$A$60,0)),"?"))</f>
        <v>Non fiscal</v>
      </c>
      <c r="J208" s="32" t="str">
        <f aca="false">IF(E208="","",IFERROR(INDEX(Catégories!$D$5:$D$60,MATCH(E208,Catégories!$A$5:$A$60,0)),"?"))</f>
        <v>Mouvements internes</v>
      </c>
      <c r="K208" s="33" t="n">
        <f aca="false">IF(H208="Recette",G208,IF(H208="Dépense",-G208,0))</f>
        <v>0</v>
      </c>
      <c r="L208" s="33" t="n">
        <f aca="false">IF(E208="",0,G208*IFERROR(INDEX(Catégories!$E$5:$E$60,MATCH(E208,Catégories!$A$5:$A$60,0)),0))</f>
        <v>-1049.07</v>
      </c>
      <c r="M208" s="30" t="s">
        <v>129</v>
      </c>
      <c r="N208" s="30" t="s">
        <v>130</v>
      </c>
      <c r="O208" s="30"/>
    </row>
    <row r="209" customFormat="false" ht="15" hidden="false" customHeight="true" outlineLevel="0" collapsed="false">
      <c r="A209" s="28" t="n">
        <v>46036</v>
      </c>
      <c r="B209" s="29" t="n">
        <f aca="false">IF(A209="","",YEAR(A209))</f>
        <v>2026</v>
      </c>
      <c r="C209" s="30" t="s">
        <v>58</v>
      </c>
      <c r="D209" s="30" t="s">
        <v>148</v>
      </c>
      <c r="E209" s="30" t="s">
        <v>180</v>
      </c>
      <c r="F209" s="30" t="s">
        <v>181</v>
      </c>
      <c r="G209" s="31" t="n">
        <v>508.2</v>
      </c>
      <c r="H209" s="32" t="str">
        <f aca="false">IF(E209="","",IFERROR(INDEX(Catégories!$B$5:$B$60,MATCH(E209,Catégories!$A$5:$A$60,0)),"?"))</f>
        <v>Dépense</v>
      </c>
      <c r="I209" s="32" t="str">
        <f aca="false">IF(E209="","",IFERROR(INDEX(Catégories!$C$5:$C$60,MATCH(E209,Catégories!$A$5:$A$60,0)),"?"))</f>
        <v>Déductible</v>
      </c>
      <c r="J209" s="32" t="str">
        <f aca="false">IF(E209="","",IFERROR(INDEX(Catégories!$D$5:$D$60,MATCH(E209,Catégories!$A$5:$A$60,0)),"?"))</f>
        <v>Copropriété</v>
      </c>
      <c r="K209" s="33" t="n">
        <f aca="false">IF(H209="Recette",G209,IF(H209="Dépense",-G209,0))</f>
        <v>-508.2</v>
      </c>
      <c r="L209" s="33" t="n">
        <f aca="false">IF(E209="",0,G209*IFERROR(INDEX(Catégories!$E$5:$E$60,MATCH(E209,Catégories!$A$5:$A$60,0)),0))</f>
        <v>-508.2</v>
      </c>
      <c r="M209" s="30" t="s">
        <v>150</v>
      </c>
      <c r="N209" s="30" t="s">
        <v>151</v>
      </c>
      <c r="O209" s="30" t="s">
        <v>281</v>
      </c>
    </row>
    <row r="210" customFormat="false" ht="15" hidden="false" customHeight="true" outlineLevel="0" collapsed="false">
      <c r="A210" s="28" t="n">
        <v>46049</v>
      </c>
      <c r="B210" s="29" t="n">
        <f aca="false">IF(A210="","",YEAR(A210))</f>
        <v>2026</v>
      </c>
      <c r="C210" s="30" t="s">
        <v>58</v>
      </c>
      <c r="D210" s="30" t="s">
        <v>148</v>
      </c>
      <c r="E210" s="30" t="s">
        <v>180</v>
      </c>
      <c r="F210" s="30" t="s">
        <v>181</v>
      </c>
      <c r="G210" s="31" t="n">
        <v>218.08</v>
      </c>
      <c r="H210" s="32" t="str">
        <f aca="false">IF(E210="","",IFERROR(INDEX(Catégories!$B$5:$B$60,MATCH(E210,Catégories!$A$5:$A$60,0)),"?"))</f>
        <v>Dépense</v>
      </c>
      <c r="I210" s="32" t="str">
        <f aca="false">IF(E210="","",IFERROR(INDEX(Catégories!$C$5:$C$60,MATCH(E210,Catégories!$A$5:$A$60,0)),"?"))</f>
        <v>Déductible</v>
      </c>
      <c r="J210" s="32" t="str">
        <f aca="false">IF(E210="","",IFERROR(INDEX(Catégories!$D$5:$D$60,MATCH(E210,Catégories!$A$5:$A$60,0)),"?"))</f>
        <v>Copropriété</v>
      </c>
      <c r="K210" s="33" t="n">
        <f aca="false">IF(H210="Recette",G210,IF(H210="Dépense",-G210,0))</f>
        <v>-218.08</v>
      </c>
      <c r="L210" s="33" t="n">
        <f aca="false">IF(E210="",0,G210*IFERROR(INDEX(Catégories!$E$5:$E$60,MATCH(E210,Catégories!$A$5:$A$60,0)),0))</f>
        <v>-218.08</v>
      </c>
      <c r="M210" s="30" t="s">
        <v>282</v>
      </c>
      <c r="N210" s="30" t="s">
        <v>151</v>
      </c>
      <c r="O210" s="30" t="s">
        <v>283</v>
      </c>
    </row>
    <row r="211" customFormat="false" ht="15" hidden="false" customHeight="true" outlineLevel="0" collapsed="false">
      <c r="A211" s="28" t="n">
        <v>46055</v>
      </c>
      <c r="B211" s="29" t="n">
        <f aca="false">IF(A211="","",YEAR(A211))</f>
        <v>2026</v>
      </c>
      <c r="C211" s="30" t="s">
        <v>58</v>
      </c>
      <c r="D211" s="30" t="s">
        <v>126</v>
      </c>
      <c r="E211" s="30" t="s">
        <v>134</v>
      </c>
      <c r="F211" s="30" t="s">
        <v>284</v>
      </c>
      <c r="G211" s="31" t="n">
        <v>1046.76</v>
      </c>
      <c r="H211" s="32" t="str">
        <f aca="false">IF(E211="","",IFERROR(INDEX(Catégories!$B$5:$B$60,MATCH(E211,Catégories!$A$5:$A$60,0)),"?"))</f>
        <v>Recette</v>
      </c>
      <c r="I211" s="32" t="str">
        <f aca="false">IF(E211="","",IFERROR(INDEX(Catégories!$C$5:$C$60,MATCH(E211,Catégories!$A$5:$A$60,0)),"?"))</f>
        <v>Imposable</v>
      </c>
      <c r="J211" s="32" t="str">
        <f aca="false">IF(E211="","",IFERROR(INDEX(Catégories!$D$5:$D$60,MATCH(E211,Catégories!$A$5:$A$60,0)),"?"))</f>
        <v>Loyers</v>
      </c>
      <c r="K211" s="33" t="n">
        <f aca="false">IF(H211="Recette",G211,IF(H211="Dépense",-G211,0))</f>
        <v>1046.76</v>
      </c>
      <c r="L211" s="33" t="n">
        <f aca="false">IF(E211="",0,G211*IFERROR(INDEX(Catégories!$E$5:$E$60,MATCH(E211,Catégories!$A$5:$A$60,0)),0))</f>
        <v>1046.76</v>
      </c>
      <c r="M211" s="30" t="s">
        <v>129</v>
      </c>
      <c r="N211" s="30" t="s">
        <v>130</v>
      </c>
      <c r="O211" s="30"/>
    </row>
    <row r="212" customFormat="false" ht="15" hidden="false" customHeight="true" outlineLevel="0" collapsed="false">
      <c r="A212" s="28" t="n">
        <v>46055</v>
      </c>
      <c r="B212" s="29" t="n">
        <f aca="false">IF(A212="","",YEAR(A212))</f>
        <v>2026</v>
      </c>
      <c r="C212" s="30" t="s">
        <v>58</v>
      </c>
      <c r="D212" s="30" t="s">
        <v>126</v>
      </c>
      <c r="E212" s="30" t="s">
        <v>136</v>
      </c>
      <c r="F212" s="30" t="s">
        <v>137</v>
      </c>
      <c r="G212" s="31" t="n">
        <v>62.8</v>
      </c>
      <c r="H212" s="32" t="str">
        <f aca="false">IF(E212="","",IFERROR(INDEX(Catégories!$B$5:$B$60,MATCH(E212,Catégories!$A$5:$A$60,0)),"?"))</f>
        <v>Dépense</v>
      </c>
      <c r="I212" s="32" t="str">
        <f aca="false">IF(E212="","",IFERROR(INDEX(Catégories!$C$5:$C$60,MATCH(E212,Catégories!$A$5:$A$60,0)),"?"))</f>
        <v>Déductible</v>
      </c>
      <c r="J212" s="32" t="str">
        <f aca="false">IF(E212="","",IFERROR(INDEX(Catégories!$D$5:$D$60,MATCH(E212,Catégories!$A$5:$A$60,0)),"?"))</f>
        <v>Frais de gestion</v>
      </c>
      <c r="K212" s="33" t="n">
        <f aca="false">IF(H212="Recette",G212,IF(H212="Dépense",-G212,0))</f>
        <v>-62.8</v>
      </c>
      <c r="L212" s="33" t="n">
        <f aca="false">IF(E212="",0,G212*IFERROR(INDEX(Catégories!$E$5:$E$60,MATCH(E212,Catégories!$A$5:$A$60,0)),0))</f>
        <v>-62.8</v>
      </c>
      <c r="M212" s="30" t="s">
        <v>129</v>
      </c>
      <c r="N212" s="30" t="s">
        <v>130</v>
      </c>
      <c r="O212" s="30"/>
    </row>
    <row r="213" customFormat="false" ht="15" hidden="false" customHeight="true" outlineLevel="0" collapsed="false">
      <c r="A213" s="28" t="n">
        <v>46055</v>
      </c>
      <c r="B213" s="29" t="n">
        <f aca="false">IF(A213="","",YEAR(A213))</f>
        <v>2026</v>
      </c>
      <c r="C213" s="30" t="s">
        <v>58</v>
      </c>
      <c r="D213" s="30" t="s">
        <v>126</v>
      </c>
      <c r="E213" s="30" t="s">
        <v>136</v>
      </c>
      <c r="F213" s="30" t="s">
        <v>138</v>
      </c>
      <c r="G213" s="31" t="n">
        <v>12.56</v>
      </c>
      <c r="H213" s="32" t="str">
        <f aca="false">IF(E213="","",IFERROR(INDEX(Catégories!$B$5:$B$60,MATCH(E213,Catégories!$A$5:$A$60,0)),"?"))</f>
        <v>Dépense</v>
      </c>
      <c r="I213" s="32" t="str">
        <f aca="false">IF(E213="","",IFERROR(INDEX(Catégories!$C$5:$C$60,MATCH(E213,Catégories!$A$5:$A$60,0)),"?"))</f>
        <v>Déductible</v>
      </c>
      <c r="J213" s="32" t="str">
        <f aca="false">IF(E213="","",IFERROR(INDEX(Catégories!$D$5:$D$60,MATCH(E213,Catégories!$A$5:$A$60,0)),"?"))</f>
        <v>Frais de gestion</v>
      </c>
      <c r="K213" s="33" t="n">
        <f aca="false">IF(H213="Recette",G213,IF(H213="Dépense",-G213,0))</f>
        <v>-12.56</v>
      </c>
      <c r="L213" s="33" t="n">
        <f aca="false">IF(E213="",0,G213*IFERROR(INDEX(Catégories!$E$5:$E$60,MATCH(E213,Catégories!$A$5:$A$60,0)),0))</f>
        <v>-12.56</v>
      </c>
      <c r="M213" s="30" t="s">
        <v>129</v>
      </c>
      <c r="N213" s="30" t="s">
        <v>130</v>
      </c>
      <c r="O213" s="30"/>
    </row>
    <row r="214" customFormat="false" ht="15" hidden="false" customHeight="true" outlineLevel="0" collapsed="false">
      <c r="A214" s="28" t="n">
        <v>46055</v>
      </c>
      <c r="B214" s="29" t="n">
        <f aca="false">IF(A214="","",YEAR(A214))</f>
        <v>2026</v>
      </c>
      <c r="C214" s="30" t="s">
        <v>58</v>
      </c>
      <c r="D214" s="30" t="s">
        <v>126</v>
      </c>
      <c r="E214" s="30" t="s">
        <v>139</v>
      </c>
      <c r="F214" s="30" t="s">
        <v>285</v>
      </c>
      <c r="G214" s="31" t="n">
        <v>83.7</v>
      </c>
      <c r="H214" s="32" t="str">
        <f aca="false">IF(E214="","",IFERROR(INDEX(Catégories!$B$5:$B$60,MATCH(E214,Catégories!$A$5:$A$60,0)),"?"))</f>
        <v>Recette</v>
      </c>
      <c r="I214" s="32" t="str">
        <f aca="false">IF(E214="","",IFERROR(INDEX(Catégories!$C$5:$C$60,MATCH(E214,Catégories!$A$5:$A$60,0)),"?"))</f>
        <v>Imposable</v>
      </c>
      <c r="J214" s="32" t="str">
        <f aca="false">IF(E214="","",IFERROR(INDEX(Catégories!$D$5:$D$60,MATCH(E214,Catégories!$A$5:$A$60,0)),"?"))</f>
        <v>Charges refacturées</v>
      </c>
      <c r="K214" s="33" t="n">
        <f aca="false">IF(H214="Recette",G214,IF(H214="Dépense",-G214,0))</f>
        <v>83.7</v>
      </c>
      <c r="L214" s="33" t="n">
        <f aca="false">IF(E214="",0,G214*IFERROR(INDEX(Catégories!$E$5:$E$60,MATCH(E214,Catégories!$A$5:$A$60,0)),0))</f>
        <v>83.7</v>
      </c>
      <c r="M214" s="30" t="s">
        <v>129</v>
      </c>
      <c r="N214" s="30" t="s">
        <v>130</v>
      </c>
      <c r="O214" s="30"/>
    </row>
    <row r="215" customFormat="false" ht="15" hidden="false" customHeight="true" outlineLevel="0" collapsed="false">
      <c r="A215" s="28" t="n">
        <v>46055</v>
      </c>
      <c r="B215" s="29" t="n">
        <f aca="false">IF(A215="","",YEAR(A215))</f>
        <v>2026</v>
      </c>
      <c r="C215" s="30" t="s">
        <v>58</v>
      </c>
      <c r="D215" s="30" t="s">
        <v>126</v>
      </c>
      <c r="E215" s="30" t="s">
        <v>136</v>
      </c>
      <c r="F215" s="30" t="s">
        <v>141</v>
      </c>
      <c r="G215" s="31" t="n">
        <v>5.02</v>
      </c>
      <c r="H215" s="32" t="str">
        <f aca="false">IF(E215="","",IFERROR(INDEX(Catégories!$B$5:$B$60,MATCH(E215,Catégories!$A$5:$A$60,0)),"?"))</f>
        <v>Dépense</v>
      </c>
      <c r="I215" s="32" t="str">
        <f aca="false">IF(E215="","",IFERROR(INDEX(Catégories!$C$5:$C$60,MATCH(E215,Catégories!$A$5:$A$60,0)),"?"))</f>
        <v>Déductible</v>
      </c>
      <c r="J215" s="32" t="str">
        <f aca="false">IF(E215="","",IFERROR(INDEX(Catégories!$D$5:$D$60,MATCH(E215,Catégories!$A$5:$A$60,0)),"?"))</f>
        <v>Frais de gestion</v>
      </c>
      <c r="K215" s="33" t="n">
        <f aca="false">IF(H215="Recette",G215,IF(H215="Dépense",-G215,0))</f>
        <v>-5.02</v>
      </c>
      <c r="L215" s="33" t="n">
        <f aca="false">IF(E215="",0,G215*IFERROR(INDEX(Catégories!$E$5:$E$60,MATCH(E215,Catégories!$A$5:$A$60,0)),0))</f>
        <v>-5.02</v>
      </c>
      <c r="M215" s="30" t="s">
        <v>129</v>
      </c>
      <c r="N215" s="30" t="s">
        <v>130</v>
      </c>
      <c r="O215" s="30"/>
    </row>
    <row r="216" customFormat="false" ht="15" hidden="false" customHeight="true" outlineLevel="0" collapsed="false">
      <c r="A216" s="28" t="n">
        <v>46055</v>
      </c>
      <c r="B216" s="29" t="n">
        <f aca="false">IF(A216="","",YEAR(A216))</f>
        <v>2026</v>
      </c>
      <c r="C216" s="30" t="s">
        <v>58</v>
      </c>
      <c r="D216" s="30" t="s">
        <v>126</v>
      </c>
      <c r="E216" s="30" t="s">
        <v>136</v>
      </c>
      <c r="F216" s="30" t="s">
        <v>142</v>
      </c>
      <c r="G216" s="31" t="n">
        <v>1</v>
      </c>
      <c r="H216" s="32" t="str">
        <f aca="false">IF(E216="","",IFERROR(INDEX(Catégories!$B$5:$B$60,MATCH(E216,Catégories!$A$5:$A$60,0)),"?"))</f>
        <v>Dépense</v>
      </c>
      <c r="I216" s="32" t="str">
        <f aca="false">IF(E216="","",IFERROR(INDEX(Catégories!$C$5:$C$60,MATCH(E216,Catégories!$A$5:$A$60,0)),"?"))</f>
        <v>Déductible</v>
      </c>
      <c r="J216" s="32" t="str">
        <f aca="false">IF(E216="","",IFERROR(INDEX(Catégories!$D$5:$D$60,MATCH(E216,Catégories!$A$5:$A$60,0)),"?"))</f>
        <v>Frais de gestion</v>
      </c>
      <c r="K216" s="33" t="n">
        <f aca="false">IF(H216="Recette",G216,IF(H216="Dépense",-G216,0))</f>
        <v>-1</v>
      </c>
      <c r="L216" s="33" t="n">
        <f aca="false">IF(E216="",0,G216*IFERROR(INDEX(Catégories!$E$5:$E$60,MATCH(E216,Catégories!$A$5:$A$60,0)),0))</f>
        <v>-1</v>
      </c>
      <c r="M216" s="30" t="s">
        <v>129</v>
      </c>
      <c r="N216" s="30" t="s">
        <v>130</v>
      </c>
      <c r="O216" s="30"/>
    </row>
    <row r="217" customFormat="false" ht="15" hidden="false" customHeight="true" outlineLevel="0" collapsed="false">
      <c r="A217" s="28" t="n">
        <v>46057</v>
      </c>
      <c r="B217" s="29" t="n">
        <f aca="false">IF(A217="","",YEAR(A217))</f>
        <v>2026</v>
      </c>
      <c r="C217" s="30" t="s">
        <v>58</v>
      </c>
      <c r="D217" s="30" t="s">
        <v>126</v>
      </c>
      <c r="E217" s="30" t="s">
        <v>168</v>
      </c>
      <c r="F217" s="30" t="s">
        <v>169</v>
      </c>
      <c r="G217" s="31" t="n">
        <v>1049.07</v>
      </c>
      <c r="H217" s="32" t="str">
        <f aca="false">IF(E217="","",IFERROR(INDEX(Catégories!$B$5:$B$60,MATCH(E217,Catégories!$A$5:$A$60,0)),"?"))</f>
        <v>Transfert</v>
      </c>
      <c r="I217" s="32" t="str">
        <f aca="false">IF(E217="","",IFERROR(INDEX(Catégories!$C$5:$C$60,MATCH(E217,Catégories!$A$5:$A$60,0)),"?"))</f>
        <v>Non fiscal</v>
      </c>
      <c r="J217" s="32" t="str">
        <f aca="false">IF(E217="","",IFERROR(INDEX(Catégories!$D$5:$D$60,MATCH(E217,Catégories!$A$5:$A$60,0)),"?"))</f>
        <v>Mouvements internes</v>
      </c>
      <c r="K217" s="33" t="n">
        <f aca="false">IF(H217="Recette",G217,IF(H217="Dépense",-G217,0))</f>
        <v>0</v>
      </c>
      <c r="L217" s="33" t="n">
        <f aca="false">IF(E217="",0,G217*IFERROR(INDEX(Catégories!$E$5:$E$60,MATCH(E217,Catégories!$A$5:$A$60,0)),0))</f>
        <v>-1049.07</v>
      </c>
      <c r="M217" s="30" t="s">
        <v>129</v>
      </c>
      <c r="N217" s="30" t="s">
        <v>130</v>
      </c>
      <c r="O217" s="30"/>
    </row>
    <row r="218" customFormat="false" ht="15" hidden="false" customHeight="true" outlineLevel="0" collapsed="false">
      <c r="A218" s="28" t="n">
        <v>46083</v>
      </c>
      <c r="B218" s="29" t="n">
        <f aca="false">IF(A218="","",YEAR(A218))</f>
        <v>2026</v>
      </c>
      <c r="C218" s="30" t="s">
        <v>58</v>
      </c>
      <c r="D218" s="30" t="s">
        <v>126</v>
      </c>
      <c r="E218" s="30" t="s">
        <v>134</v>
      </c>
      <c r="F218" s="30" t="s">
        <v>286</v>
      </c>
      <c r="G218" s="31" t="n">
        <v>1046.76</v>
      </c>
      <c r="H218" s="32" t="str">
        <f aca="false">IF(E218="","",IFERROR(INDEX(Catégories!$B$5:$B$60,MATCH(E218,Catégories!$A$5:$A$60,0)),"?"))</f>
        <v>Recette</v>
      </c>
      <c r="I218" s="32" t="str">
        <f aca="false">IF(E218="","",IFERROR(INDEX(Catégories!$C$5:$C$60,MATCH(E218,Catégories!$A$5:$A$60,0)),"?"))</f>
        <v>Imposable</v>
      </c>
      <c r="J218" s="32" t="str">
        <f aca="false">IF(E218="","",IFERROR(INDEX(Catégories!$D$5:$D$60,MATCH(E218,Catégories!$A$5:$A$60,0)),"?"))</f>
        <v>Loyers</v>
      </c>
      <c r="K218" s="33" t="n">
        <f aca="false">IF(H218="Recette",G218,IF(H218="Dépense",-G218,0))</f>
        <v>1046.76</v>
      </c>
      <c r="L218" s="33" t="n">
        <f aca="false">IF(E218="",0,G218*IFERROR(INDEX(Catégories!$E$5:$E$60,MATCH(E218,Catégories!$A$5:$A$60,0)),0))</f>
        <v>1046.76</v>
      </c>
      <c r="M218" s="30" t="s">
        <v>129</v>
      </c>
      <c r="N218" s="30" t="s">
        <v>130</v>
      </c>
      <c r="O218" s="30"/>
    </row>
    <row r="219" customFormat="false" ht="15" hidden="false" customHeight="true" outlineLevel="0" collapsed="false">
      <c r="A219" s="28" t="n">
        <v>46083</v>
      </c>
      <c r="B219" s="29" t="n">
        <f aca="false">IF(A219="","",YEAR(A219))</f>
        <v>2026</v>
      </c>
      <c r="C219" s="30" t="s">
        <v>58</v>
      </c>
      <c r="D219" s="30" t="s">
        <v>126</v>
      </c>
      <c r="E219" s="30" t="s">
        <v>136</v>
      </c>
      <c r="F219" s="30" t="s">
        <v>137</v>
      </c>
      <c r="G219" s="31" t="n">
        <v>62.8</v>
      </c>
      <c r="H219" s="32" t="str">
        <f aca="false">IF(E219="","",IFERROR(INDEX(Catégories!$B$5:$B$60,MATCH(E219,Catégories!$A$5:$A$60,0)),"?"))</f>
        <v>Dépense</v>
      </c>
      <c r="I219" s="32" t="str">
        <f aca="false">IF(E219="","",IFERROR(INDEX(Catégories!$C$5:$C$60,MATCH(E219,Catégories!$A$5:$A$60,0)),"?"))</f>
        <v>Déductible</v>
      </c>
      <c r="J219" s="32" t="str">
        <f aca="false">IF(E219="","",IFERROR(INDEX(Catégories!$D$5:$D$60,MATCH(E219,Catégories!$A$5:$A$60,0)),"?"))</f>
        <v>Frais de gestion</v>
      </c>
      <c r="K219" s="33" t="n">
        <f aca="false">IF(H219="Recette",G219,IF(H219="Dépense",-G219,0))</f>
        <v>-62.8</v>
      </c>
      <c r="L219" s="33" t="n">
        <f aca="false">IF(E219="",0,G219*IFERROR(INDEX(Catégories!$E$5:$E$60,MATCH(E219,Catégories!$A$5:$A$60,0)),0))</f>
        <v>-62.8</v>
      </c>
      <c r="M219" s="30" t="s">
        <v>129</v>
      </c>
      <c r="N219" s="30" t="s">
        <v>130</v>
      </c>
      <c r="O219" s="30"/>
    </row>
    <row r="220" customFormat="false" ht="15" hidden="false" customHeight="true" outlineLevel="0" collapsed="false">
      <c r="A220" s="28" t="n">
        <v>46083</v>
      </c>
      <c r="B220" s="29" t="n">
        <f aca="false">IF(A220="","",YEAR(A220))</f>
        <v>2026</v>
      </c>
      <c r="C220" s="30" t="s">
        <v>58</v>
      </c>
      <c r="D220" s="30" t="s">
        <v>126</v>
      </c>
      <c r="E220" s="30" t="s">
        <v>136</v>
      </c>
      <c r="F220" s="30" t="s">
        <v>138</v>
      </c>
      <c r="G220" s="31" t="n">
        <v>12.56</v>
      </c>
      <c r="H220" s="32" t="str">
        <f aca="false">IF(E220="","",IFERROR(INDEX(Catégories!$B$5:$B$60,MATCH(E220,Catégories!$A$5:$A$60,0)),"?"))</f>
        <v>Dépense</v>
      </c>
      <c r="I220" s="32" t="str">
        <f aca="false">IF(E220="","",IFERROR(INDEX(Catégories!$C$5:$C$60,MATCH(E220,Catégories!$A$5:$A$60,0)),"?"))</f>
        <v>Déductible</v>
      </c>
      <c r="J220" s="32" t="str">
        <f aca="false">IF(E220="","",IFERROR(INDEX(Catégories!$D$5:$D$60,MATCH(E220,Catégories!$A$5:$A$60,0)),"?"))</f>
        <v>Frais de gestion</v>
      </c>
      <c r="K220" s="33" t="n">
        <f aca="false">IF(H220="Recette",G220,IF(H220="Dépense",-G220,0))</f>
        <v>-12.56</v>
      </c>
      <c r="L220" s="33" t="n">
        <f aca="false">IF(E220="",0,G220*IFERROR(INDEX(Catégories!$E$5:$E$60,MATCH(E220,Catégories!$A$5:$A$60,0)),0))</f>
        <v>-12.56</v>
      </c>
      <c r="M220" s="30" t="s">
        <v>129</v>
      </c>
      <c r="N220" s="30" t="s">
        <v>130</v>
      </c>
      <c r="O220" s="30"/>
    </row>
    <row r="221" customFormat="false" ht="15" hidden="false" customHeight="true" outlineLevel="0" collapsed="false">
      <c r="A221" s="28" t="n">
        <v>46083</v>
      </c>
      <c r="B221" s="29" t="n">
        <f aca="false">IF(A221="","",YEAR(A221))</f>
        <v>2026</v>
      </c>
      <c r="C221" s="30" t="s">
        <v>58</v>
      </c>
      <c r="D221" s="30" t="s">
        <v>126</v>
      </c>
      <c r="E221" s="30" t="s">
        <v>139</v>
      </c>
      <c r="F221" s="30" t="s">
        <v>287</v>
      </c>
      <c r="G221" s="31" t="n">
        <v>83.7</v>
      </c>
      <c r="H221" s="32" t="str">
        <f aca="false">IF(E221="","",IFERROR(INDEX(Catégories!$B$5:$B$60,MATCH(E221,Catégories!$A$5:$A$60,0)),"?"))</f>
        <v>Recette</v>
      </c>
      <c r="I221" s="32" t="str">
        <f aca="false">IF(E221="","",IFERROR(INDEX(Catégories!$C$5:$C$60,MATCH(E221,Catégories!$A$5:$A$60,0)),"?"))</f>
        <v>Imposable</v>
      </c>
      <c r="J221" s="32" t="str">
        <f aca="false">IF(E221="","",IFERROR(INDEX(Catégories!$D$5:$D$60,MATCH(E221,Catégories!$A$5:$A$60,0)),"?"))</f>
        <v>Charges refacturées</v>
      </c>
      <c r="K221" s="33" t="n">
        <f aca="false">IF(H221="Recette",G221,IF(H221="Dépense",-G221,0))</f>
        <v>83.7</v>
      </c>
      <c r="L221" s="33" t="n">
        <f aca="false">IF(E221="",0,G221*IFERROR(INDEX(Catégories!$E$5:$E$60,MATCH(E221,Catégories!$A$5:$A$60,0)),0))</f>
        <v>83.7</v>
      </c>
      <c r="M221" s="30" t="s">
        <v>129</v>
      </c>
      <c r="N221" s="30" t="s">
        <v>130</v>
      </c>
      <c r="O221" s="30"/>
    </row>
    <row r="222" customFormat="false" ht="15" hidden="false" customHeight="true" outlineLevel="0" collapsed="false">
      <c r="A222" s="28" t="n">
        <v>46083</v>
      </c>
      <c r="B222" s="29" t="n">
        <f aca="false">IF(A222="","",YEAR(A222))</f>
        <v>2026</v>
      </c>
      <c r="C222" s="30" t="s">
        <v>58</v>
      </c>
      <c r="D222" s="30" t="s">
        <v>126</v>
      </c>
      <c r="E222" s="30" t="s">
        <v>136</v>
      </c>
      <c r="F222" s="30" t="s">
        <v>141</v>
      </c>
      <c r="G222" s="31" t="n">
        <v>5.02</v>
      </c>
      <c r="H222" s="32" t="str">
        <f aca="false">IF(E222="","",IFERROR(INDEX(Catégories!$B$5:$B$60,MATCH(E222,Catégories!$A$5:$A$60,0)),"?"))</f>
        <v>Dépense</v>
      </c>
      <c r="I222" s="32" t="str">
        <f aca="false">IF(E222="","",IFERROR(INDEX(Catégories!$C$5:$C$60,MATCH(E222,Catégories!$A$5:$A$60,0)),"?"))</f>
        <v>Déductible</v>
      </c>
      <c r="J222" s="32" t="str">
        <f aca="false">IF(E222="","",IFERROR(INDEX(Catégories!$D$5:$D$60,MATCH(E222,Catégories!$A$5:$A$60,0)),"?"))</f>
        <v>Frais de gestion</v>
      </c>
      <c r="K222" s="33" t="n">
        <f aca="false">IF(H222="Recette",G222,IF(H222="Dépense",-G222,0))</f>
        <v>-5.02</v>
      </c>
      <c r="L222" s="33" t="n">
        <f aca="false">IF(E222="",0,G222*IFERROR(INDEX(Catégories!$E$5:$E$60,MATCH(E222,Catégories!$A$5:$A$60,0)),0))</f>
        <v>-5.02</v>
      </c>
      <c r="M222" s="30" t="s">
        <v>129</v>
      </c>
      <c r="N222" s="30" t="s">
        <v>130</v>
      </c>
      <c r="O222" s="30"/>
    </row>
    <row r="223" customFormat="false" ht="15" hidden="false" customHeight="true" outlineLevel="0" collapsed="false">
      <c r="A223" s="28" t="n">
        <v>46083</v>
      </c>
      <c r="B223" s="29" t="n">
        <f aca="false">IF(A223="","",YEAR(A223))</f>
        <v>2026</v>
      </c>
      <c r="C223" s="30" t="s">
        <v>58</v>
      </c>
      <c r="D223" s="30" t="s">
        <v>126</v>
      </c>
      <c r="E223" s="30" t="s">
        <v>136</v>
      </c>
      <c r="F223" s="30" t="s">
        <v>142</v>
      </c>
      <c r="G223" s="31" t="n">
        <v>1</v>
      </c>
      <c r="H223" s="32" t="str">
        <f aca="false">IF(E223="","",IFERROR(INDEX(Catégories!$B$5:$B$60,MATCH(E223,Catégories!$A$5:$A$60,0)),"?"))</f>
        <v>Dépense</v>
      </c>
      <c r="I223" s="32" t="str">
        <f aca="false">IF(E223="","",IFERROR(INDEX(Catégories!$C$5:$C$60,MATCH(E223,Catégories!$A$5:$A$60,0)),"?"))</f>
        <v>Déductible</v>
      </c>
      <c r="J223" s="32" t="str">
        <f aca="false">IF(E223="","",IFERROR(INDEX(Catégories!$D$5:$D$60,MATCH(E223,Catégories!$A$5:$A$60,0)),"?"))</f>
        <v>Frais de gestion</v>
      </c>
      <c r="K223" s="33" t="n">
        <f aca="false">IF(H223="Recette",G223,IF(H223="Dépense",-G223,0))</f>
        <v>-1</v>
      </c>
      <c r="L223" s="33" t="n">
        <f aca="false">IF(E223="",0,G223*IFERROR(INDEX(Catégories!$E$5:$E$60,MATCH(E223,Catégories!$A$5:$A$60,0)),0))</f>
        <v>-1</v>
      </c>
      <c r="M223" s="30" t="s">
        <v>129</v>
      </c>
      <c r="N223" s="30" t="s">
        <v>130</v>
      </c>
      <c r="O223" s="30"/>
    </row>
    <row r="224" customFormat="false" ht="15" hidden="false" customHeight="true" outlineLevel="0" collapsed="false">
      <c r="A224" s="28" t="n">
        <v>46085</v>
      </c>
      <c r="B224" s="29" t="n">
        <f aca="false">IF(A224="","",YEAR(A224))</f>
        <v>2026</v>
      </c>
      <c r="C224" s="30" t="s">
        <v>58</v>
      </c>
      <c r="D224" s="30" t="s">
        <v>126</v>
      </c>
      <c r="E224" s="30" t="s">
        <v>168</v>
      </c>
      <c r="F224" s="30" t="s">
        <v>169</v>
      </c>
      <c r="G224" s="31" t="n">
        <v>1049.07</v>
      </c>
      <c r="H224" s="32" t="str">
        <f aca="false">IF(E224="","",IFERROR(INDEX(Catégories!$B$5:$B$60,MATCH(E224,Catégories!$A$5:$A$60,0)),"?"))</f>
        <v>Transfert</v>
      </c>
      <c r="I224" s="32" t="str">
        <f aca="false">IF(E224="","",IFERROR(INDEX(Catégories!$C$5:$C$60,MATCH(E224,Catégories!$A$5:$A$60,0)),"?"))</f>
        <v>Non fiscal</v>
      </c>
      <c r="J224" s="32" t="str">
        <f aca="false">IF(E224="","",IFERROR(INDEX(Catégories!$D$5:$D$60,MATCH(E224,Catégories!$A$5:$A$60,0)),"?"))</f>
        <v>Mouvements internes</v>
      </c>
      <c r="K224" s="33" t="n">
        <f aca="false">IF(H224="Recette",G224,IF(H224="Dépense",-G224,0))</f>
        <v>0</v>
      </c>
      <c r="L224" s="33" t="n">
        <f aca="false">IF(E224="",0,G224*IFERROR(INDEX(Catégories!$E$5:$E$60,MATCH(E224,Catégories!$A$5:$A$60,0)),0))</f>
        <v>-1049.07</v>
      </c>
      <c r="M224" s="30" t="s">
        <v>129</v>
      </c>
      <c r="N224" s="30" t="s">
        <v>130</v>
      </c>
      <c r="O224" s="30"/>
    </row>
    <row r="225" customFormat="false" ht="15" hidden="false" customHeight="true" outlineLevel="0" collapsed="false">
      <c r="A225" s="28" t="n">
        <v>46112</v>
      </c>
      <c r="B225" s="29" t="n">
        <f aca="false">IF(A225="","",YEAR(A225))</f>
        <v>2026</v>
      </c>
      <c r="C225" s="30" t="s">
        <v>58</v>
      </c>
      <c r="D225" s="30" t="s">
        <v>148</v>
      </c>
      <c r="E225" s="30" t="s">
        <v>180</v>
      </c>
      <c r="F225" s="30" t="s">
        <v>181</v>
      </c>
      <c r="G225" s="31" t="n">
        <v>1051.7</v>
      </c>
      <c r="H225" s="32" t="str">
        <f aca="false">IF(E225="","",IFERROR(INDEX(Catégories!$B$5:$B$60,MATCH(E225,Catégories!$A$5:$A$60,0)),"?"))</f>
        <v>Dépense</v>
      </c>
      <c r="I225" s="32" t="str">
        <f aca="false">IF(E225="","",IFERROR(INDEX(Catégories!$C$5:$C$60,MATCH(E225,Catégories!$A$5:$A$60,0)),"?"))</f>
        <v>Déductible</v>
      </c>
      <c r="J225" s="32" t="str">
        <f aca="false">IF(E225="","",IFERROR(INDEX(Catégories!$D$5:$D$60,MATCH(E225,Catégories!$A$5:$A$60,0)),"?"))</f>
        <v>Copropriété</v>
      </c>
      <c r="K225" s="33" t="n">
        <f aca="false">IF(H225="Recette",G225,IF(H225="Dépense",-G225,0))</f>
        <v>-1051.7</v>
      </c>
      <c r="L225" s="33" t="n">
        <f aca="false">IF(E225="",0,G225*IFERROR(INDEX(Catégories!$E$5:$E$60,MATCH(E225,Catégories!$A$5:$A$60,0)),0))</f>
        <v>-1051.7</v>
      </c>
      <c r="M225" s="30" t="s">
        <v>288</v>
      </c>
      <c r="N225" s="30" t="s">
        <v>151</v>
      </c>
      <c r="O225" s="30"/>
    </row>
    <row r="226" customFormat="false" ht="15" hidden="false" customHeight="true" outlineLevel="0" collapsed="false">
      <c r="A226" s="28" t="n">
        <v>46114</v>
      </c>
      <c r="B226" s="29" t="n">
        <f aca="false">IF(A226="","",YEAR(A226))</f>
        <v>2026</v>
      </c>
      <c r="C226" s="30" t="s">
        <v>58</v>
      </c>
      <c r="D226" s="30" t="s">
        <v>126</v>
      </c>
      <c r="E226" s="30" t="s">
        <v>134</v>
      </c>
      <c r="F226" s="30" t="s">
        <v>289</v>
      </c>
      <c r="G226" s="31" t="n">
        <v>1046.76</v>
      </c>
      <c r="H226" s="32" t="str">
        <f aca="false">IF(E226="","",IFERROR(INDEX(Catégories!$B$5:$B$60,MATCH(E226,Catégories!$A$5:$A$60,0)),"?"))</f>
        <v>Recette</v>
      </c>
      <c r="I226" s="32" t="str">
        <f aca="false">IF(E226="","",IFERROR(INDEX(Catégories!$C$5:$C$60,MATCH(E226,Catégories!$A$5:$A$60,0)),"?"))</f>
        <v>Imposable</v>
      </c>
      <c r="J226" s="32" t="str">
        <f aca="false">IF(E226="","",IFERROR(INDEX(Catégories!$D$5:$D$60,MATCH(E226,Catégories!$A$5:$A$60,0)),"?"))</f>
        <v>Loyers</v>
      </c>
      <c r="K226" s="33" t="n">
        <f aca="false">IF(H226="Recette",G226,IF(H226="Dépense",-G226,0))</f>
        <v>1046.76</v>
      </c>
      <c r="L226" s="33" t="n">
        <f aca="false">IF(E226="",0,G226*IFERROR(INDEX(Catégories!$E$5:$E$60,MATCH(E226,Catégories!$A$5:$A$60,0)),0))</f>
        <v>1046.76</v>
      </c>
      <c r="M226" s="30" t="s">
        <v>129</v>
      </c>
      <c r="N226" s="30" t="s">
        <v>130</v>
      </c>
      <c r="O226" s="30"/>
    </row>
    <row r="227" customFormat="false" ht="15" hidden="false" customHeight="true" outlineLevel="0" collapsed="false">
      <c r="A227" s="28" t="n">
        <v>46114</v>
      </c>
      <c r="B227" s="29" t="n">
        <f aca="false">IF(A227="","",YEAR(A227))</f>
        <v>2026</v>
      </c>
      <c r="C227" s="30" t="s">
        <v>58</v>
      </c>
      <c r="D227" s="30" t="s">
        <v>126</v>
      </c>
      <c r="E227" s="30" t="s">
        <v>136</v>
      </c>
      <c r="F227" s="30" t="s">
        <v>137</v>
      </c>
      <c r="G227" s="31" t="n">
        <v>62.8</v>
      </c>
      <c r="H227" s="32" t="str">
        <f aca="false">IF(E227="","",IFERROR(INDEX(Catégories!$B$5:$B$60,MATCH(E227,Catégories!$A$5:$A$60,0)),"?"))</f>
        <v>Dépense</v>
      </c>
      <c r="I227" s="32" t="str">
        <f aca="false">IF(E227="","",IFERROR(INDEX(Catégories!$C$5:$C$60,MATCH(E227,Catégories!$A$5:$A$60,0)),"?"))</f>
        <v>Déductible</v>
      </c>
      <c r="J227" s="32" t="str">
        <f aca="false">IF(E227="","",IFERROR(INDEX(Catégories!$D$5:$D$60,MATCH(E227,Catégories!$A$5:$A$60,0)),"?"))</f>
        <v>Frais de gestion</v>
      </c>
      <c r="K227" s="33" t="n">
        <f aca="false">IF(H227="Recette",G227,IF(H227="Dépense",-G227,0))</f>
        <v>-62.8</v>
      </c>
      <c r="L227" s="33" t="n">
        <f aca="false">IF(E227="",0,G227*IFERROR(INDEX(Catégories!$E$5:$E$60,MATCH(E227,Catégories!$A$5:$A$60,0)),0))</f>
        <v>-62.8</v>
      </c>
      <c r="M227" s="30" t="s">
        <v>129</v>
      </c>
      <c r="N227" s="30" t="s">
        <v>130</v>
      </c>
      <c r="O227" s="30"/>
    </row>
    <row r="228" customFormat="false" ht="15" hidden="false" customHeight="true" outlineLevel="0" collapsed="false">
      <c r="A228" s="28" t="n">
        <v>46114</v>
      </c>
      <c r="B228" s="29" t="n">
        <f aca="false">IF(A228="","",YEAR(A228))</f>
        <v>2026</v>
      </c>
      <c r="C228" s="30" t="s">
        <v>58</v>
      </c>
      <c r="D228" s="30" t="s">
        <v>126</v>
      </c>
      <c r="E228" s="30" t="s">
        <v>136</v>
      </c>
      <c r="F228" s="30" t="s">
        <v>138</v>
      </c>
      <c r="G228" s="31" t="n">
        <v>12.56</v>
      </c>
      <c r="H228" s="32" t="str">
        <f aca="false">IF(E228="","",IFERROR(INDEX(Catégories!$B$5:$B$60,MATCH(E228,Catégories!$A$5:$A$60,0)),"?"))</f>
        <v>Dépense</v>
      </c>
      <c r="I228" s="32" t="str">
        <f aca="false">IF(E228="","",IFERROR(INDEX(Catégories!$C$5:$C$60,MATCH(E228,Catégories!$A$5:$A$60,0)),"?"))</f>
        <v>Déductible</v>
      </c>
      <c r="J228" s="32" t="str">
        <f aca="false">IF(E228="","",IFERROR(INDEX(Catégories!$D$5:$D$60,MATCH(E228,Catégories!$A$5:$A$60,0)),"?"))</f>
        <v>Frais de gestion</v>
      </c>
      <c r="K228" s="33" t="n">
        <f aca="false">IF(H228="Recette",G228,IF(H228="Dépense",-G228,0))</f>
        <v>-12.56</v>
      </c>
      <c r="L228" s="33" t="n">
        <f aca="false">IF(E228="",0,G228*IFERROR(INDEX(Catégories!$E$5:$E$60,MATCH(E228,Catégories!$A$5:$A$60,0)),0))</f>
        <v>-12.56</v>
      </c>
      <c r="M228" s="30" t="s">
        <v>129</v>
      </c>
      <c r="N228" s="30" t="s">
        <v>130</v>
      </c>
      <c r="O228" s="30"/>
    </row>
    <row r="229" customFormat="false" ht="15" hidden="false" customHeight="true" outlineLevel="0" collapsed="false">
      <c r="A229" s="28" t="n">
        <v>46114</v>
      </c>
      <c r="B229" s="29" t="n">
        <f aca="false">IF(A229="","",YEAR(A229))</f>
        <v>2026</v>
      </c>
      <c r="C229" s="30" t="s">
        <v>58</v>
      </c>
      <c r="D229" s="30" t="s">
        <v>126</v>
      </c>
      <c r="E229" s="30" t="s">
        <v>139</v>
      </c>
      <c r="F229" s="30" t="s">
        <v>290</v>
      </c>
      <c r="G229" s="31" t="n">
        <v>83.7</v>
      </c>
      <c r="H229" s="32" t="str">
        <f aca="false">IF(E229="","",IFERROR(INDEX(Catégories!$B$5:$B$60,MATCH(E229,Catégories!$A$5:$A$60,0)),"?"))</f>
        <v>Recette</v>
      </c>
      <c r="I229" s="32" t="str">
        <f aca="false">IF(E229="","",IFERROR(INDEX(Catégories!$C$5:$C$60,MATCH(E229,Catégories!$A$5:$A$60,0)),"?"))</f>
        <v>Imposable</v>
      </c>
      <c r="J229" s="32" t="str">
        <f aca="false">IF(E229="","",IFERROR(INDEX(Catégories!$D$5:$D$60,MATCH(E229,Catégories!$A$5:$A$60,0)),"?"))</f>
        <v>Charges refacturées</v>
      </c>
      <c r="K229" s="33" t="n">
        <f aca="false">IF(H229="Recette",G229,IF(H229="Dépense",-G229,0))</f>
        <v>83.7</v>
      </c>
      <c r="L229" s="33" t="n">
        <f aca="false">IF(E229="",0,G229*IFERROR(INDEX(Catégories!$E$5:$E$60,MATCH(E229,Catégories!$A$5:$A$60,0)),0))</f>
        <v>83.7</v>
      </c>
      <c r="M229" s="30" t="s">
        <v>129</v>
      </c>
      <c r="N229" s="30" t="s">
        <v>130</v>
      </c>
      <c r="O229" s="30"/>
    </row>
    <row r="230" customFormat="false" ht="15" hidden="false" customHeight="true" outlineLevel="0" collapsed="false">
      <c r="A230" s="28" t="n">
        <v>46114</v>
      </c>
      <c r="B230" s="29" t="n">
        <f aca="false">IF(A230="","",YEAR(A230))</f>
        <v>2026</v>
      </c>
      <c r="C230" s="30" t="s">
        <v>58</v>
      </c>
      <c r="D230" s="30" t="s">
        <v>126</v>
      </c>
      <c r="E230" s="30" t="s">
        <v>136</v>
      </c>
      <c r="F230" s="30" t="s">
        <v>141</v>
      </c>
      <c r="G230" s="31" t="n">
        <v>5.02</v>
      </c>
      <c r="H230" s="32" t="str">
        <f aca="false">IF(E230="","",IFERROR(INDEX(Catégories!$B$5:$B$60,MATCH(E230,Catégories!$A$5:$A$60,0)),"?"))</f>
        <v>Dépense</v>
      </c>
      <c r="I230" s="32" t="str">
        <f aca="false">IF(E230="","",IFERROR(INDEX(Catégories!$C$5:$C$60,MATCH(E230,Catégories!$A$5:$A$60,0)),"?"))</f>
        <v>Déductible</v>
      </c>
      <c r="J230" s="32" t="str">
        <f aca="false">IF(E230="","",IFERROR(INDEX(Catégories!$D$5:$D$60,MATCH(E230,Catégories!$A$5:$A$60,0)),"?"))</f>
        <v>Frais de gestion</v>
      </c>
      <c r="K230" s="33" t="n">
        <f aca="false">IF(H230="Recette",G230,IF(H230="Dépense",-G230,0))</f>
        <v>-5.02</v>
      </c>
      <c r="L230" s="33" t="n">
        <f aca="false">IF(E230="",0,G230*IFERROR(INDEX(Catégories!$E$5:$E$60,MATCH(E230,Catégories!$A$5:$A$60,0)),0))</f>
        <v>-5.02</v>
      </c>
      <c r="M230" s="30" t="s">
        <v>129</v>
      </c>
      <c r="N230" s="30" t="s">
        <v>130</v>
      </c>
      <c r="O230" s="30"/>
    </row>
    <row r="231" customFormat="false" ht="15" hidden="false" customHeight="true" outlineLevel="0" collapsed="false">
      <c r="A231" s="28" t="n">
        <v>46114</v>
      </c>
      <c r="B231" s="29" t="n">
        <f aca="false">IF(A231="","",YEAR(A231))</f>
        <v>2026</v>
      </c>
      <c r="C231" s="30" t="s">
        <v>58</v>
      </c>
      <c r="D231" s="30" t="s">
        <v>126</v>
      </c>
      <c r="E231" s="30" t="s">
        <v>136</v>
      </c>
      <c r="F231" s="30" t="s">
        <v>142</v>
      </c>
      <c r="G231" s="31" t="n">
        <v>1</v>
      </c>
      <c r="H231" s="32" t="str">
        <f aca="false">IF(E231="","",IFERROR(INDEX(Catégories!$B$5:$B$60,MATCH(E231,Catégories!$A$5:$A$60,0)),"?"))</f>
        <v>Dépense</v>
      </c>
      <c r="I231" s="32" t="str">
        <f aca="false">IF(E231="","",IFERROR(INDEX(Catégories!$C$5:$C$60,MATCH(E231,Catégories!$A$5:$A$60,0)),"?"))</f>
        <v>Déductible</v>
      </c>
      <c r="J231" s="32" t="str">
        <f aca="false">IF(E231="","",IFERROR(INDEX(Catégories!$D$5:$D$60,MATCH(E231,Catégories!$A$5:$A$60,0)),"?"))</f>
        <v>Frais de gestion</v>
      </c>
      <c r="K231" s="33" t="n">
        <f aca="false">IF(H231="Recette",G231,IF(H231="Dépense",-G231,0))</f>
        <v>-1</v>
      </c>
      <c r="L231" s="33" t="n">
        <f aca="false">IF(E231="",0,G231*IFERROR(INDEX(Catégories!$E$5:$E$60,MATCH(E231,Catégories!$A$5:$A$60,0)),0))</f>
        <v>-1</v>
      </c>
      <c r="M231" s="30" t="s">
        <v>129</v>
      </c>
      <c r="N231" s="30" t="s">
        <v>130</v>
      </c>
      <c r="O231" s="30"/>
    </row>
    <row r="232" customFormat="false" ht="15" hidden="false" customHeight="true" outlineLevel="0" collapsed="false">
      <c r="A232" s="28" t="n">
        <v>46115</v>
      </c>
      <c r="B232" s="29" t="n">
        <f aca="false">IF(A232="","",YEAR(A232))</f>
        <v>2026</v>
      </c>
      <c r="C232" s="30" t="s">
        <v>58</v>
      </c>
      <c r="D232" s="30" t="s">
        <v>126</v>
      </c>
      <c r="E232" s="30" t="s">
        <v>168</v>
      </c>
      <c r="F232" s="30" t="s">
        <v>169</v>
      </c>
      <c r="G232" s="31" t="n">
        <v>1049.07</v>
      </c>
      <c r="H232" s="32" t="str">
        <f aca="false">IF(E232="","",IFERROR(INDEX(Catégories!$B$5:$B$60,MATCH(E232,Catégories!$A$5:$A$60,0)),"?"))</f>
        <v>Transfert</v>
      </c>
      <c r="I232" s="32" t="str">
        <f aca="false">IF(E232="","",IFERROR(INDEX(Catégories!$C$5:$C$60,MATCH(E232,Catégories!$A$5:$A$60,0)),"?"))</f>
        <v>Non fiscal</v>
      </c>
      <c r="J232" s="32" t="str">
        <f aca="false">IF(E232="","",IFERROR(INDEX(Catégories!$D$5:$D$60,MATCH(E232,Catégories!$A$5:$A$60,0)),"?"))</f>
        <v>Mouvements internes</v>
      </c>
      <c r="K232" s="33" t="n">
        <f aca="false">IF(H232="Recette",G232,IF(H232="Dépense",-G232,0))</f>
        <v>0</v>
      </c>
      <c r="L232" s="33" t="n">
        <f aca="false">IF(E232="",0,G232*IFERROR(INDEX(Catégories!$E$5:$E$60,MATCH(E232,Catégories!$A$5:$A$60,0)),0))</f>
        <v>-1049.07</v>
      </c>
      <c r="M232" s="30" t="s">
        <v>129</v>
      </c>
      <c r="N232" s="30" t="s">
        <v>130</v>
      </c>
      <c r="O232" s="30"/>
    </row>
    <row r="233" customFormat="false" ht="15" hidden="false" customHeight="true" outlineLevel="0" collapsed="false">
      <c r="A233" s="28" t="n">
        <v>46146</v>
      </c>
      <c r="B233" s="29" t="n">
        <f aca="false">IF(A233="","",YEAR(A233))</f>
        <v>2026</v>
      </c>
      <c r="C233" s="30" t="s">
        <v>58</v>
      </c>
      <c r="D233" s="30" t="s">
        <v>126</v>
      </c>
      <c r="E233" s="30" t="s">
        <v>134</v>
      </c>
      <c r="F233" s="30" t="s">
        <v>291</v>
      </c>
      <c r="G233" s="31" t="n">
        <v>1050.43</v>
      </c>
      <c r="H233" s="32" t="str">
        <f aca="false">IF(E233="","",IFERROR(INDEX(Catégories!$B$5:$B$60,MATCH(E233,Catégories!$A$5:$A$60,0)),"?"))</f>
        <v>Recette</v>
      </c>
      <c r="I233" s="32" t="str">
        <f aca="false">IF(E233="","",IFERROR(INDEX(Catégories!$C$5:$C$60,MATCH(E233,Catégories!$A$5:$A$60,0)),"?"))</f>
        <v>Imposable</v>
      </c>
      <c r="J233" s="32" t="str">
        <f aca="false">IF(E233="","",IFERROR(INDEX(Catégories!$D$5:$D$60,MATCH(E233,Catégories!$A$5:$A$60,0)),"?"))</f>
        <v>Loyers</v>
      </c>
      <c r="K233" s="33" t="n">
        <f aca="false">IF(H233="Recette",G233,IF(H233="Dépense",-G233,0))</f>
        <v>1050.43</v>
      </c>
      <c r="L233" s="33" t="n">
        <f aca="false">IF(E233="",0,G233*IFERROR(INDEX(Catégories!$E$5:$E$60,MATCH(E233,Catégories!$A$5:$A$60,0)),0))</f>
        <v>1050.43</v>
      </c>
      <c r="M233" s="30" t="s">
        <v>129</v>
      </c>
      <c r="N233" s="30" t="s">
        <v>130</v>
      </c>
      <c r="O233" s="30"/>
    </row>
    <row r="234" customFormat="false" ht="15" hidden="false" customHeight="true" outlineLevel="0" collapsed="false">
      <c r="A234" s="28" t="n">
        <v>46146</v>
      </c>
      <c r="B234" s="29" t="n">
        <f aca="false">IF(A234="","",YEAR(A234))</f>
        <v>2026</v>
      </c>
      <c r="C234" s="30" t="s">
        <v>58</v>
      </c>
      <c r="D234" s="30" t="s">
        <v>126</v>
      </c>
      <c r="E234" s="30" t="s">
        <v>136</v>
      </c>
      <c r="F234" s="30" t="s">
        <v>137</v>
      </c>
      <c r="G234" s="31" t="n">
        <v>63.03</v>
      </c>
      <c r="H234" s="32" t="str">
        <f aca="false">IF(E234="","",IFERROR(INDEX(Catégories!$B$5:$B$60,MATCH(E234,Catégories!$A$5:$A$60,0)),"?"))</f>
        <v>Dépense</v>
      </c>
      <c r="I234" s="32" t="str">
        <f aca="false">IF(E234="","",IFERROR(INDEX(Catégories!$C$5:$C$60,MATCH(E234,Catégories!$A$5:$A$60,0)),"?"))</f>
        <v>Déductible</v>
      </c>
      <c r="J234" s="32" t="str">
        <f aca="false">IF(E234="","",IFERROR(INDEX(Catégories!$D$5:$D$60,MATCH(E234,Catégories!$A$5:$A$60,0)),"?"))</f>
        <v>Frais de gestion</v>
      </c>
      <c r="K234" s="33" t="n">
        <f aca="false">IF(H234="Recette",G234,IF(H234="Dépense",-G234,0))</f>
        <v>-63.03</v>
      </c>
      <c r="L234" s="33" t="n">
        <f aca="false">IF(E234="",0,G234*IFERROR(INDEX(Catégories!$E$5:$E$60,MATCH(E234,Catégories!$A$5:$A$60,0)),0))</f>
        <v>-63.03</v>
      </c>
      <c r="M234" s="30" t="s">
        <v>129</v>
      </c>
      <c r="N234" s="30" t="s">
        <v>130</v>
      </c>
      <c r="O234" s="30"/>
    </row>
    <row r="235" customFormat="false" ht="15" hidden="false" customHeight="true" outlineLevel="0" collapsed="false">
      <c r="A235" s="28" t="n">
        <v>46146</v>
      </c>
      <c r="B235" s="29" t="n">
        <f aca="false">IF(A235="","",YEAR(A235))</f>
        <v>2026</v>
      </c>
      <c r="C235" s="30" t="s">
        <v>58</v>
      </c>
      <c r="D235" s="30" t="s">
        <v>126</v>
      </c>
      <c r="E235" s="30" t="s">
        <v>136</v>
      </c>
      <c r="F235" s="30" t="s">
        <v>138</v>
      </c>
      <c r="G235" s="31" t="n">
        <v>12.6</v>
      </c>
      <c r="H235" s="32" t="str">
        <f aca="false">IF(E235="","",IFERROR(INDEX(Catégories!$B$5:$B$60,MATCH(E235,Catégories!$A$5:$A$60,0)),"?"))</f>
        <v>Dépense</v>
      </c>
      <c r="I235" s="32" t="str">
        <f aca="false">IF(E235="","",IFERROR(INDEX(Catégories!$C$5:$C$60,MATCH(E235,Catégories!$A$5:$A$60,0)),"?"))</f>
        <v>Déductible</v>
      </c>
      <c r="J235" s="32" t="str">
        <f aca="false">IF(E235="","",IFERROR(INDEX(Catégories!$D$5:$D$60,MATCH(E235,Catégories!$A$5:$A$60,0)),"?"))</f>
        <v>Frais de gestion</v>
      </c>
      <c r="K235" s="33" t="n">
        <f aca="false">IF(H235="Recette",G235,IF(H235="Dépense",-G235,0))</f>
        <v>-12.6</v>
      </c>
      <c r="L235" s="33" t="n">
        <f aca="false">IF(E235="",0,G235*IFERROR(INDEX(Catégories!$E$5:$E$60,MATCH(E235,Catégories!$A$5:$A$60,0)),0))</f>
        <v>-12.6</v>
      </c>
      <c r="M235" s="30" t="s">
        <v>129</v>
      </c>
      <c r="N235" s="30" t="s">
        <v>130</v>
      </c>
      <c r="O235" s="30"/>
    </row>
    <row r="236" customFormat="false" ht="15" hidden="false" customHeight="true" outlineLevel="0" collapsed="false">
      <c r="A236" s="28" t="n">
        <v>46146</v>
      </c>
      <c r="B236" s="29" t="n">
        <f aca="false">IF(A236="","",YEAR(A236))</f>
        <v>2026</v>
      </c>
      <c r="C236" s="30" t="s">
        <v>58</v>
      </c>
      <c r="D236" s="30" t="s">
        <v>126</v>
      </c>
      <c r="E236" s="30" t="s">
        <v>139</v>
      </c>
      <c r="F236" s="30" t="s">
        <v>292</v>
      </c>
      <c r="G236" s="31" t="n">
        <v>83.7</v>
      </c>
      <c r="H236" s="32" t="str">
        <f aca="false">IF(E236="","",IFERROR(INDEX(Catégories!$B$5:$B$60,MATCH(E236,Catégories!$A$5:$A$60,0)),"?"))</f>
        <v>Recette</v>
      </c>
      <c r="I236" s="32" t="str">
        <f aca="false">IF(E236="","",IFERROR(INDEX(Catégories!$C$5:$C$60,MATCH(E236,Catégories!$A$5:$A$60,0)),"?"))</f>
        <v>Imposable</v>
      </c>
      <c r="J236" s="32" t="str">
        <f aca="false">IF(E236="","",IFERROR(INDEX(Catégories!$D$5:$D$60,MATCH(E236,Catégories!$A$5:$A$60,0)),"?"))</f>
        <v>Charges refacturées</v>
      </c>
      <c r="K236" s="33" t="n">
        <f aca="false">IF(H236="Recette",G236,IF(H236="Dépense",-G236,0))</f>
        <v>83.7</v>
      </c>
      <c r="L236" s="33" t="n">
        <f aca="false">IF(E236="",0,G236*IFERROR(INDEX(Catégories!$E$5:$E$60,MATCH(E236,Catégories!$A$5:$A$60,0)),0))</f>
        <v>83.7</v>
      </c>
      <c r="M236" s="30" t="s">
        <v>129</v>
      </c>
      <c r="N236" s="30" t="s">
        <v>130</v>
      </c>
      <c r="O236" s="30"/>
    </row>
    <row r="237" customFormat="false" ht="15" hidden="false" customHeight="true" outlineLevel="0" collapsed="false">
      <c r="A237" s="28" t="n">
        <v>46146</v>
      </c>
      <c r="B237" s="29" t="n">
        <f aca="false">IF(A237="","",YEAR(A237))</f>
        <v>2026</v>
      </c>
      <c r="C237" s="30" t="s">
        <v>58</v>
      </c>
      <c r="D237" s="30" t="s">
        <v>126</v>
      </c>
      <c r="E237" s="30" t="s">
        <v>136</v>
      </c>
      <c r="F237" s="30" t="s">
        <v>141</v>
      </c>
      <c r="G237" s="31" t="n">
        <v>5.02</v>
      </c>
      <c r="H237" s="32" t="str">
        <f aca="false">IF(E237="","",IFERROR(INDEX(Catégories!$B$5:$B$60,MATCH(E237,Catégories!$A$5:$A$60,0)),"?"))</f>
        <v>Dépense</v>
      </c>
      <c r="I237" s="32" t="str">
        <f aca="false">IF(E237="","",IFERROR(INDEX(Catégories!$C$5:$C$60,MATCH(E237,Catégories!$A$5:$A$60,0)),"?"))</f>
        <v>Déductible</v>
      </c>
      <c r="J237" s="32" t="str">
        <f aca="false">IF(E237="","",IFERROR(INDEX(Catégories!$D$5:$D$60,MATCH(E237,Catégories!$A$5:$A$60,0)),"?"))</f>
        <v>Frais de gestion</v>
      </c>
      <c r="K237" s="33" t="n">
        <f aca="false">IF(H237="Recette",G237,IF(H237="Dépense",-G237,0))</f>
        <v>-5.02</v>
      </c>
      <c r="L237" s="33" t="n">
        <f aca="false">IF(E237="",0,G237*IFERROR(INDEX(Catégories!$E$5:$E$60,MATCH(E237,Catégories!$A$5:$A$60,0)),0))</f>
        <v>-5.02</v>
      </c>
      <c r="M237" s="30" t="s">
        <v>129</v>
      </c>
      <c r="N237" s="30" t="s">
        <v>130</v>
      </c>
      <c r="O237" s="30"/>
    </row>
    <row r="238" customFormat="false" ht="15" hidden="false" customHeight="true" outlineLevel="0" collapsed="false">
      <c r="A238" s="28" t="n">
        <v>46146</v>
      </c>
      <c r="B238" s="29" t="n">
        <f aca="false">IF(A238="","",YEAR(A238))</f>
        <v>2026</v>
      </c>
      <c r="C238" s="30" t="s">
        <v>58</v>
      </c>
      <c r="D238" s="30" t="s">
        <v>126</v>
      </c>
      <c r="E238" s="30" t="s">
        <v>136</v>
      </c>
      <c r="F238" s="30" t="s">
        <v>142</v>
      </c>
      <c r="G238" s="31" t="n">
        <v>1</v>
      </c>
      <c r="H238" s="32" t="str">
        <f aca="false">IF(E238="","",IFERROR(INDEX(Catégories!$B$5:$B$60,MATCH(E238,Catégories!$A$5:$A$60,0)),"?"))</f>
        <v>Dépense</v>
      </c>
      <c r="I238" s="32" t="str">
        <f aca="false">IF(E238="","",IFERROR(INDEX(Catégories!$C$5:$C$60,MATCH(E238,Catégories!$A$5:$A$60,0)),"?"))</f>
        <v>Déductible</v>
      </c>
      <c r="J238" s="32" t="str">
        <f aca="false">IF(E238="","",IFERROR(INDEX(Catégories!$D$5:$D$60,MATCH(E238,Catégories!$A$5:$A$60,0)),"?"))</f>
        <v>Frais de gestion</v>
      </c>
      <c r="K238" s="33" t="n">
        <f aca="false">IF(H238="Recette",G238,IF(H238="Dépense",-G238,0))</f>
        <v>-1</v>
      </c>
      <c r="L238" s="33" t="n">
        <f aca="false">IF(E238="",0,G238*IFERROR(INDEX(Catégories!$E$5:$E$60,MATCH(E238,Catégories!$A$5:$A$60,0)),0))</f>
        <v>-1</v>
      </c>
      <c r="M238" s="30" t="s">
        <v>129</v>
      </c>
      <c r="N238" s="30" t="s">
        <v>130</v>
      </c>
      <c r="O238" s="30"/>
    </row>
    <row r="239" customFormat="false" ht="15" hidden="false" customHeight="true" outlineLevel="0" collapsed="false">
      <c r="A239" s="28" t="n">
        <v>46147</v>
      </c>
      <c r="B239" s="29" t="n">
        <f aca="false">IF(A239="","",YEAR(A239))</f>
        <v>2026</v>
      </c>
      <c r="C239" s="30" t="s">
        <v>58</v>
      </c>
      <c r="D239" s="30" t="s">
        <v>126</v>
      </c>
      <c r="E239" s="30" t="s">
        <v>168</v>
      </c>
      <c r="F239" s="30" t="s">
        <v>169</v>
      </c>
      <c r="G239" s="31" t="n">
        <v>1052.48</v>
      </c>
      <c r="H239" s="32" t="str">
        <f aca="false">IF(E239="","",IFERROR(INDEX(Catégories!$B$5:$B$60,MATCH(E239,Catégories!$A$5:$A$60,0)),"?"))</f>
        <v>Transfert</v>
      </c>
      <c r="I239" s="32" t="str">
        <f aca="false">IF(E239="","",IFERROR(INDEX(Catégories!$C$5:$C$60,MATCH(E239,Catégories!$A$5:$A$60,0)),"?"))</f>
        <v>Non fiscal</v>
      </c>
      <c r="J239" s="32" t="str">
        <f aca="false">IF(E239="","",IFERROR(INDEX(Catégories!$D$5:$D$60,MATCH(E239,Catégories!$A$5:$A$60,0)),"?"))</f>
        <v>Mouvements internes</v>
      </c>
      <c r="K239" s="33" t="n">
        <f aca="false">IF(H239="Recette",G239,IF(H239="Dépense",-G239,0))</f>
        <v>0</v>
      </c>
      <c r="L239" s="33" t="n">
        <f aca="false">IF(E239="",0,G239*IFERROR(INDEX(Catégories!$E$5:$E$60,MATCH(E239,Catégories!$A$5:$A$60,0)),0))</f>
        <v>-1052.48</v>
      </c>
      <c r="M239" s="30" t="s">
        <v>129</v>
      </c>
      <c r="N239" s="30" t="s">
        <v>130</v>
      </c>
      <c r="O239" s="30"/>
    </row>
    <row r="240" customFormat="false" ht="15" hidden="false" customHeight="true" outlineLevel="0" collapsed="false">
      <c r="A240" s="28" t="n">
        <v>46175</v>
      </c>
      <c r="B240" s="29" t="n">
        <f aca="false">IF(A240="","",YEAR(A240))</f>
        <v>2026</v>
      </c>
      <c r="C240" s="30" t="s">
        <v>58</v>
      </c>
      <c r="D240" s="30" t="s">
        <v>126</v>
      </c>
      <c r="E240" s="30" t="s">
        <v>134</v>
      </c>
      <c r="F240" s="30" t="s">
        <v>293</v>
      </c>
      <c r="G240" s="31" t="n">
        <v>1054.89</v>
      </c>
      <c r="H240" s="32" t="str">
        <f aca="false">IF(E240="","",IFERROR(INDEX(Catégories!$B$5:$B$60,MATCH(E240,Catégories!$A$5:$A$60,0)),"?"))</f>
        <v>Recette</v>
      </c>
      <c r="I240" s="32" t="str">
        <f aca="false">IF(E240="","",IFERROR(INDEX(Catégories!$C$5:$C$60,MATCH(E240,Catégories!$A$5:$A$60,0)),"?"))</f>
        <v>Imposable</v>
      </c>
      <c r="J240" s="32" t="str">
        <f aca="false">IF(E240="","",IFERROR(INDEX(Catégories!$D$5:$D$60,MATCH(E240,Catégories!$A$5:$A$60,0)),"?"))</f>
        <v>Loyers</v>
      </c>
      <c r="K240" s="33" t="n">
        <f aca="false">IF(H240="Recette",G240,IF(H240="Dépense",-G240,0))</f>
        <v>1054.89</v>
      </c>
      <c r="L240" s="33" t="n">
        <f aca="false">IF(E240="",0,G240*IFERROR(INDEX(Catégories!$E$5:$E$60,MATCH(E240,Catégories!$A$5:$A$60,0)),0))</f>
        <v>1054.89</v>
      </c>
      <c r="M240" s="30" t="s">
        <v>129</v>
      </c>
      <c r="N240" s="30" t="s">
        <v>130</v>
      </c>
      <c r="O240" s="30"/>
    </row>
    <row r="241" customFormat="false" ht="15" hidden="false" customHeight="true" outlineLevel="0" collapsed="false">
      <c r="A241" s="28" t="n">
        <v>46175</v>
      </c>
      <c r="B241" s="29" t="n">
        <f aca="false">IF(A241="","",YEAR(A241))</f>
        <v>2026</v>
      </c>
      <c r="C241" s="30" t="s">
        <v>58</v>
      </c>
      <c r="D241" s="30" t="s">
        <v>126</v>
      </c>
      <c r="E241" s="30" t="s">
        <v>136</v>
      </c>
      <c r="F241" s="30" t="s">
        <v>137</v>
      </c>
      <c r="G241" s="31" t="n">
        <v>63.3</v>
      </c>
      <c r="H241" s="32" t="str">
        <f aca="false">IF(E241="","",IFERROR(INDEX(Catégories!$B$5:$B$60,MATCH(E241,Catégories!$A$5:$A$60,0)),"?"))</f>
        <v>Dépense</v>
      </c>
      <c r="I241" s="32" t="str">
        <f aca="false">IF(E241="","",IFERROR(INDEX(Catégories!$C$5:$C$60,MATCH(E241,Catégories!$A$5:$A$60,0)),"?"))</f>
        <v>Déductible</v>
      </c>
      <c r="J241" s="32" t="str">
        <f aca="false">IF(E241="","",IFERROR(INDEX(Catégories!$D$5:$D$60,MATCH(E241,Catégories!$A$5:$A$60,0)),"?"))</f>
        <v>Frais de gestion</v>
      </c>
      <c r="K241" s="33" t="n">
        <f aca="false">IF(H241="Recette",G241,IF(H241="Dépense",-G241,0))</f>
        <v>-63.3</v>
      </c>
      <c r="L241" s="33" t="n">
        <f aca="false">IF(E241="",0,G241*IFERROR(INDEX(Catégories!$E$5:$E$60,MATCH(E241,Catégories!$A$5:$A$60,0)),0))</f>
        <v>-63.3</v>
      </c>
      <c r="M241" s="30" t="s">
        <v>129</v>
      </c>
      <c r="N241" s="30" t="s">
        <v>130</v>
      </c>
      <c r="O241" s="30"/>
    </row>
    <row r="242" customFormat="false" ht="15" hidden="false" customHeight="true" outlineLevel="0" collapsed="false">
      <c r="A242" s="28" t="n">
        <v>46175</v>
      </c>
      <c r="B242" s="29" t="n">
        <f aca="false">IF(A242="","",YEAR(A242))</f>
        <v>2026</v>
      </c>
      <c r="C242" s="30" t="s">
        <v>58</v>
      </c>
      <c r="D242" s="30" t="s">
        <v>126</v>
      </c>
      <c r="E242" s="30" t="s">
        <v>136</v>
      </c>
      <c r="F242" s="30" t="s">
        <v>138</v>
      </c>
      <c r="G242" s="31" t="n">
        <v>12.66</v>
      </c>
      <c r="H242" s="32" t="str">
        <f aca="false">IF(E242="","",IFERROR(INDEX(Catégories!$B$5:$B$60,MATCH(E242,Catégories!$A$5:$A$60,0)),"?"))</f>
        <v>Dépense</v>
      </c>
      <c r="I242" s="32" t="str">
        <f aca="false">IF(E242="","",IFERROR(INDEX(Catégories!$C$5:$C$60,MATCH(E242,Catégories!$A$5:$A$60,0)),"?"))</f>
        <v>Déductible</v>
      </c>
      <c r="J242" s="32" t="str">
        <f aca="false">IF(E242="","",IFERROR(INDEX(Catégories!$D$5:$D$60,MATCH(E242,Catégories!$A$5:$A$60,0)),"?"))</f>
        <v>Frais de gestion</v>
      </c>
      <c r="K242" s="33" t="n">
        <f aca="false">IF(H242="Recette",G242,IF(H242="Dépense",-G242,0))</f>
        <v>-12.66</v>
      </c>
      <c r="L242" s="33" t="n">
        <f aca="false">IF(E242="",0,G242*IFERROR(INDEX(Catégories!$E$5:$E$60,MATCH(E242,Catégories!$A$5:$A$60,0)),0))</f>
        <v>-12.66</v>
      </c>
      <c r="M242" s="30" t="s">
        <v>129</v>
      </c>
      <c r="N242" s="30" t="s">
        <v>130</v>
      </c>
      <c r="O242" s="30"/>
    </row>
    <row r="243" customFormat="false" ht="15" hidden="false" customHeight="true" outlineLevel="0" collapsed="false">
      <c r="A243" s="28" t="n">
        <v>46175</v>
      </c>
      <c r="B243" s="29" t="n">
        <f aca="false">IF(A243="","",YEAR(A243))</f>
        <v>2026</v>
      </c>
      <c r="C243" s="30" t="s">
        <v>58</v>
      </c>
      <c r="D243" s="30" t="s">
        <v>126</v>
      </c>
      <c r="E243" s="30" t="s">
        <v>139</v>
      </c>
      <c r="F243" s="30" t="s">
        <v>294</v>
      </c>
      <c r="G243" s="31" t="n">
        <v>83.7</v>
      </c>
      <c r="H243" s="32" t="str">
        <f aca="false">IF(E243="","",IFERROR(INDEX(Catégories!$B$5:$B$60,MATCH(E243,Catégories!$A$5:$A$60,0)),"?"))</f>
        <v>Recette</v>
      </c>
      <c r="I243" s="32" t="str">
        <f aca="false">IF(E243="","",IFERROR(INDEX(Catégories!$C$5:$C$60,MATCH(E243,Catégories!$A$5:$A$60,0)),"?"))</f>
        <v>Imposable</v>
      </c>
      <c r="J243" s="32" t="str">
        <f aca="false">IF(E243="","",IFERROR(INDEX(Catégories!$D$5:$D$60,MATCH(E243,Catégories!$A$5:$A$60,0)),"?"))</f>
        <v>Charges refacturées</v>
      </c>
      <c r="K243" s="33" t="n">
        <f aca="false">IF(H243="Recette",G243,IF(H243="Dépense",-G243,0))</f>
        <v>83.7</v>
      </c>
      <c r="L243" s="33" t="n">
        <f aca="false">IF(E243="",0,G243*IFERROR(INDEX(Catégories!$E$5:$E$60,MATCH(E243,Catégories!$A$5:$A$60,0)),0))</f>
        <v>83.7</v>
      </c>
      <c r="M243" s="30" t="s">
        <v>129</v>
      </c>
      <c r="N243" s="30" t="s">
        <v>130</v>
      </c>
      <c r="O243" s="30"/>
    </row>
    <row r="244" customFormat="false" ht="15" hidden="false" customHeight="true" outlineLevel="0" collapsed="false">
      <c r="A244" s="28" t="n">
        <v>46175</v>
      </c>
      <c r="B244" s="29" t="n">
        <f aca="false">IF(A244="","",YEAR(A244))</f>
        <v>2026</v>
      </c>
      <c r="C244" s="30" t="s">
        <v>58</v>
      </c>
      <c r="D244" s="30" t="s">
        <v>126</v>
      </c>
      <c r="E244" s="30" t="s">
        <v>136</v>
      </c>
      <c r="F244" s="30" t="s">
        <v>141</v>
      </c>
      <c r="G244" s="31" t="n">
        <v>5.02</v>
      </c>
      <c r="H244" s="32" t="str">
        <f aca="false">IF(E244="","",IFERROR(INDEX(Catégories!$B$5:$B$60,MATCH(E244,Catégories!$A$5:$A$60,0)),"?"))</f>
        <v>Dépense</v>
      </c>
      <c r="I244" s="32" t="str">
        <f aca="false">IF(E244="","",IFERROR(INDEX(Catégories!$C$5:$C$60,MATCH(E244,Catégories!$A$5:$A$60,0)),"?"))</f>
        <v>Déductible</v>
      </c>
      <c r="J244" s="32" t="str">
        <f aca="false">IF(E244="","",IFERROR(INDEX(Catégories!$D$5:$D$60,MATCH(E244,Catégories!$A$5:$A$60,0)),"?"))</f>
        <v>Frais de gestion</v>
      </c>
      <c r="K244" s="33" t="n">
        <f aca="false">IF(H244="Recette",G244,IF(H244="Dépense",-G244,0))</f>
        <v>-5.02</v>
      </c>
      <c r="L244" s="33" t="n">
        <f aca="false">IF(E244="",0,G244*IFERROR(INDEX(Catégories!$E$5:$E$60,MATCH(E244,Catégories!$A$5:$A$60,0)),0))</f>
        <v>-5.02</v>
      </c>
      <c r="M244" s="30" t="s">
        <v>129</v>
      </c>
      <c r="N244" s="30" t="s">
        <v>130</v>
      </c>
      <c r="O244" s="30"/>
    </row>
    <row r="245" customFormat="false" ht="15" hidden="false" customHeight="true" outlineLevel="0" collapsed="false">
      <c r="A245" s="28" t="n">
        <v>46175</v>
      </c>
      <c r="B245" s="29" t="n">
        <f aca="false">IF(A245="","",YEAR(A245))</f>
        <v>2026</v>
      </c>
      <c r="C245" s="30" t="s">
        <v>58</v>
      </c>
      <c r="D245" s="30" t="s">
        <v>126</v>
      </c>
      <c r="E245" s="30" t="s">
        <v>136</v>
      </c>
      <c r="F245" s="30" t="s">
        <v>142</v>
      </c>
      <c r="G245" s="31" t="n">
        <v>1</v>
      </c>
      <c r="H245" s="32" t="str">
        <f aca="false">IF(E245="","",IFERROR(INDEX(Catégories!$B$5:$B$60,MATCH(E245,Catégories!$A$5:$A$60,0)),"?"))</f>
        <v>Dépense</v>
      </c>
      <c r="I245" s="32" t="str">
        <f aca="false">IF(E245="","",IFERROR(INDEX(Catégories!$C$5:$C$60,MATCH(E245,Catégories!$A$5:$A$60,0)),"?"))</f>
        <v>Déductible</v>
      </c>
      <c r="J245" s="32" t="str">
        <f aca="false">IF(E245="","",IFERROR(INDEX(Catégories!$D$5:$D$60,MATCH(E245,Catégories!$A$5:$A$60,0)),"?"))</f>
        <v>Frais de gestion</v>
      </c>
      <c r="K245" s="33" t="n">
        <f aca="false">IF(H245="Recette",G245,IF(H245="Dépense",-G245,0))</f>
        <v>-1</v>
      </c>
      <c r="L245" s="33" t="n">
        <f aca="false">IF(E245="",0,G245*IFERROR(INDEX(Catégories!$E$5:$E$60,MATCH(E245,Catégories!$A$5:$A$60,0)),0))</f>
        <v>-1</v>
      </c>
      <c r="M245" s="30" t="s">
        <v>129</v>
      </c>
      <c r="N245" s="30" t="s">
        <v>130</v>
      </c>
      <c r="O245" s="30"/>
    </row>
    <row r="246" customFormat="false" ht="15" hidden="false" customHeight="true" outlineLevel="0" collapsed="false">
      <c r="A246" s="28" t="n">
        <v>46177</v>
      </c>
      <c r="B246" s="29" t="n">
        <f aca="false">IF(A246="","",YEAR(A246))</f>
        <v>2026</v>
      </c>
      <c r="C246" s="30" t="s">
        <v>58</v>
      </c>
      <c r="D246" s="30" t="s">
        <v>126</v>
      </c>
      <c r="E246" s="30" t="s">
        <v>168</v>
      </c>
      <c r="F246" s="30" t="s">
        <v>169</v>
      </c>
      <c r="G246" s="31" t="n">
        <v>1056.61</v>
      </c>
      <c r="H246" s="32" t="str">
        <f aca="false">IF(E246="","",IFERROR(INDEX(Catégories!$B$5:$B$60,MATCH(E246,Catégories!$A$5:$A$60,0)),"?"))</f>
        <v>Transfert</v>
      </c>
      <c r="I246" s="32" t="str">
        <f aca="false">IF(E246="","",IFERROR(INDEX(Catégories!$C$5:$C$60,MATCH(E246,Catégories!$A$5:$A$60,0)),"?"))</f>
        <v>Non fiscal</v>
      </c>
      <c r="J246" s="32" t="str">
        <f aca="false">IF(E246="","",IFERROR(INDEX(Catégories!$D$5:$D$60,MATCH(E246,Catégories!$A$5:$A$60,0)),"?"))</f>
        <v>Mouvements internes</v>
      </c>
      <c r="K246" s="33" t="n">
        <f aca="false">IF(H246="Recette",G246,IF(H246="Dépense",-G246,0))</f>
        <v>0</v>
      </c>
      <c r="L246" s="33" t="n">
        <f aca="false">IF(E246="",0,G246*IFERROR(INDEX(Catégories!$E$5:$E$60,MATCH(E246,Catégories!$A$5:$A$60,0)),0))</f>
        <v>-1056.61</v>
      </c>
      <c r="M246" s="30" t="s">
        <v>129</v>
      </c>
      <c r="N246" s="30" t="s">
        <v>130</v>
      </c>
      <c r="O246" s="30"/>
    </row>
    <row r="247" customFormat="false" ht="15" hidden="false" customHeight="true" outlineLevel="0" collapsed="false">
      <c r="A247" s="28" t="n">
        <v>46205</v>
      </c>
      <c r="B247" s="29" t="n">
        <f aca="false">IF(A247="","",YEAR(A247))</f>
        <v>2026</v>
      </c>
      <c r="C247" s="30" t="s">
        <v>58</v>
      </c>
      <c r="D247" s="30" t="s">
        <v>126</v>
      </c>
      <c r="E247" s="30" t="s">
        <v>134</v>
      </c>
      <c r="F247" s="30" t="s">
        <v>295</v>
      </c>
      <c r="G247" s="31" t="n">
        <v>1054.89</v>
      </c>
      <c r="H247" s="32" t="str">
        <f aca="false">IF(E247="","",IFERROR(INDEX(Catégories!$B$5:$B$60,MATCH(E247,Catégories!$A$5:$A$60,0)),"?"))</f>
        <v>Recette</v>
      </c>
      <c r="I247" s="32" t="str">
        <f aca="false">IF(E247="","",IFERROR(INDEX(Catégories!$C$5:$C$60,MATCH(E247,Catégories!$A$5:$A$60,0)),"?"))</f>
        <v>Imposable</v>
      </c>
      <c r="J247" s="32" t="str">
        <f aca="false">IF(E247="","",IFERROR(INDEX(Catégories!$D$5:$D$60,MATCH(E247,Catégories!$A$5:$A$60,0)),"?"))</f>
        <v>Loyers</v>
      </c>
      <c r="K247" s="33" t="n">
        <f aca="false">IF(H247="Recette",G247,IF(H247="Dépense",-G247,0))</f>
        <v>1054.89</v>
      </c>
      <c r="L247" s="33" t="n">
        <f aca="false">IF(E247="",0,G247*IFERROR(INDEX(Catégories!$E$5:$E$60,MATCH(E247,Catégories!$A$5:$A$60,0)),0))</f>
        <v>1054.89</v>
      </c>
      <c r="M247" s="30" t="s">
        <v>129</v>
      </c>
      <c r="N247" s="30" t="s">
        <v>130</v>
      </c>
      <c r="O247" s="30"/>
    </row>
    <row r="248" customFormat="false" ht="15" hidden="false" customHeight="true" outlineLevel="0" collapsed="false">
      <c r="A248" s="28" t="n">
        <v>46205</v>
      </c>
      <c r="B248" s="29" t="n">
        <f aca="false">IF(A248="","",YEAR(A248))</f>
        <v>2026</v>
      </c>
      <c r="C248" s="30" t="s">
        <v>58</v>
      </c>
      <c r="D248" s="30" t="s">
        <v>126</v>
      </c>
      <c r="E248" s="30" t="s">
        <v>136</v>
      </c>
      <c r="F248" s="30" t="s">
        <v>137</v>
      </c>
      <c r="G248" s="31" t="n">
        <v>63.3</v>
      </c>
      <c r="H248" s="32" t="str">
        <f aca="false">IF(E248="","",IFERROR(INDEX(Catégories!$B$5:$B$60,MATCH(E248,Catégories!$A$5:$A$60,0)),"?"))</f>
        <v>Dépense</v>
      </c>
      <c r="I248" s="32" t="str">
        <f aca="false">IF(E248="","",IFERROR(INDEX(Catégories!$C$5:$C$60,MATCH(E248,Catégories!$A$5:$A$60,0)),"?"))</f>
        <v>Déductible</v>
      </c>
      <c r="J248" s="32" t="str">
        <f aca="false">IF(E248="","",IFERROR(INDEX(Catégories!$D$5:$D$60,MATCH(E248,Catégories!$A$5:$A$60,0)),"?"))</f>
        <v>Frais de gestion</v>
      </c>
      <c r="K248" s="33" t="n">
        <f aca="false">IF(H248="Recette",G248,IF(H248="Dépense",-G248,0))</f>
        <v>-63.3</v>
      </c>
      <c r="L248" s="33" t="n">
        <f aca="false">IF(E248="",0,G248*IFERROR(INDEX(Catégories!$E$5:$E$60,MATCH(E248,Catégories!$A$5:$A$60,0)),0))</f>
        <v>-63.3</v>
      </c>
      <c r="M248" s="30" t="s">
        <v>129</v>
      </c>
      <c r="N248" s="30" t="s">
        <v>130</v>
      </c>
      <c r="O248" s="30"/>
    </row>
    <row r="249" customFormat="false" ht="15" hidden="false" customHeight="true" outlineLevel="0" collapsed="false">
      <c r="A249" s="28" t="n">
        <v>46205</v>
      </c>
      <c r="B249" s="29" t="n">
        <f aca="false">IF(A249="","",YEAR(A249))</f>
        <v>2026</v>
      </c>
      <c r="C249" s="30" t="s">
        <v>58</v>
      </c>
      <c r="D249" s="30" t="s">
        <v>126</v>
      </c>
      <c r="E249" s="30" t="s">
        <v>136</v>
      </c>
      <c r="F249" s="30" t="s">
        <v>138</v>
      </c>
      <c r="G249" s="31" t="n">
        <v>12.66</v>
      </c>
      <c r="H249" s="32" t="str">
        <f aca="false">IF(E249="","",IFERROR(INDEX(Catégories!$B$5:$B$60,MATCH(E249,Catégories!$A$5:$A$60,0)),"?"))</f>
        <v>Dépense</v>
      </c>
      <c r="I249" s="32" t="str">
        <f aca="false">IF(E249="","",IFERROR(INDEX(Catégories!$C$5:$C$60,MATCH(E249,Catégories!$A$5:$A$60,0)),"?"))</f>
        <v>Déductible</v>
      </c>
      <c r="J249" s="32" t="str">
        <f aca="false">IF(E249="","",IFERROR(INDEX(Catégories!$D$5:$D$60,MATCH(E249,Catégories!$A$5:$A$60,0)),"?"))</f>
        <v>Frais de gestion</v>
      </c>
      <c r="K249" s="33" t="n">
        <f aca="false">IF(H249="Recette",G249,IF(H249="Dépense",-G249,0))</f>
        <v>-12.66</v>
      </c>
      <c r="L249" s="33" t="n">
        <f aca="false">IF(E249="",0,G249*IFERROR(INDEX(Catégories!$E$5:$E$60,MATCH(E249,Catégories!$A$5:$A$60,0)),0))</f>
        <v>-12.66</v>
      </c>
      <c r="M249" s="30" t="s">
        <v>129</v>
      </c>
      <c r="N249" s="30" t="s">
        <v>130</v>
      </c>
      <c r="O249" s="30"/>
    </row>
    <row r="250" customFormat="false" ht="15" hidden="false" customHeight="true" outlineLevel="0" collapsed="false">
      <c r="A250" s="28" t="n">
        <v>46205</v>
      </c>
      <c r="B250" s="29" t="n">
        <f aca="false">IF(A250="","",YEAR(A250))</f>
        <v>2026</v>
      </c>
      <c r="C250" s="30" t="s">
        <v>58</v>
      </c>
      <c r="D250" s="30" t="s">
        <v>126</v>
      </c>
      <c r="E250" s="30" t="s">
        <v>139</v>
      </c>
      <c r="F250" s="30" t="s">
        <v>296</v>
      </c>
      <c r="G250" s="31" t="n">
        <v>83.7</v>
      </c>
      <c r="H250" s="32" t="str">
        <f aca="false">IF(E250="","",IFERROR(INDEX(Catégories!$B$5:$B$60,MATCH(E250,Catégories!$A$5:$A$60,0)),"?"))</f>
        <v>Recette</v>
      </c>
      <c r="I250" s="32" t="str">
        <f aca="false">IF(E250="","",IFERROR(INDEX(Catégories!$C$5:$C$60,MATCH(E250,Catégories!$A$5:$A$60,0)),"?"))</f>
        <v>Imposable</v>
      </c>
      <c r="J250" s="32" t="str">
        <f aca="false">IF(E250="","",IFERROR(INDEX(Catégories!$D$5:$D$60,MATCH(E250,Catégories!$A$5:$A$60,0)),"?"))</f>
        <v>Charges refacturées</v>
      </c>
      <c r="K250" s="33" t="n">
        <f aca="false">IF(H250="Recette",G250,IF(H250="Dépense",-G250,0))</f>
        <v>83.7</v>
      </c>
      <c r="L250" s="33" t="n">
        <f aca="false">IF(E250="",0,G250*IFERROR(INDEX(Catégories!$E$5:$E$60,MATCH(E250,Catégories!$A$5:$A$60,0)),0))</f>
        <v>83.7</v>
      </c>
      <c r="M250" s="30" t="s">
        <v>129</v>
      </c>
      <c r="N250" s="30" t="s">
        <v>130</v>
      </c>
      <c r="O250" s="30"/>
    </row>
    <row r="251" customFormat="false" ht="15" hidden="false" customHeight="true" outlineLevel="0" collapsed="false">
      <c r="A251" s="28" t="n">
        <v>46205</v>
      </c>
      <c r="B251" s="29" t="n">
        <f aca="false">IF(A251="","",YEAR(A251))</f>
        <v>2026</v>
      </c>
      <c r="C251" s="30" t="s">
        <v>58</v>
      </c>
      <c r="D251" s="30" t="s">
        <v>126</v>
      </c>
      <c r="E251" s="30" t="s">
        <v>136</v>
      </c>
      <c r="F251" s="30" t="s">
        <v>141</v>
      </c>
      <c r="G251" s="31" t="n">
        <v>5.02</v>
      </c>
      <c r="H251" s="32" t="str">
        <f aca="false">IF(E251="","",IFERROR(INDEX(Catégories!$B$5:$B$60,MATCH(E251,Catégories!$A$5:$A$60,0)),"?"))</f>
        <v>Dépense</v>
      </c>
      <c r="I251" s="32" t="str">
        <f aca="false">IF(E251="","",IFERROR(INDEX(Catégories!$C$5:$C$60,MATCH(E251,Catégories!$A$5:$A$60,0)),"?"))</f>
        <v>Déductible</v>
      </c>
      <c r="J251" s="32" t="str">
        <f aca="false">IF(E251="","",IFERROR(INDEX(Catégories!$D$5:$D$60,MATCH(E251,Catégories!$A$5:$A$60,0)),"?"))</f>
        <v>Frais de gestion</v>
      </c>
      <c r="K251" s="33" t="n">
        <f aca="false">IF(H251="Recette",G251,IF(H251="Dépense",-G251,0))</f>
        <v>-5.02</v>
      </c>
      <c r="L251" s="33" t="n">
        <f aca="false">IF(E251="",0,G251*IFERROR(INDEX(Catégories!$E$5:$E$60,MATCH(E251,Catégories!$A$5:$A$60,0)),0))</f>
        <v>-5.02</v>
      </c>
      <c r="M251" s="30" t="s">
        <v>129</v>
      </c>
      <c r="N251" s="30" t="s">
        <v>130</v>
      </c>
      <c r="O251" s="30"/>
    </row>
    <row r="252" customFormat="false" ht="15" hidden="false" customHeight="true" outlineLevel="0" collapsed="false">
      <c r="A252" s="28" t="n">
        <v>46205</v>
      </c>
      <c r="B252" s="29" t="n">
        <f aca="false">IF(A252="","",YEAR(A252))</f>
        <v>2026</v>
      </c>
      <c r="C252" s="30" t="s">
        <v>58</v>
      </c>
      <c r="D252" s="30" t="s">
        <v>126</v>
      </c>
      <c r="E252" s="30" t="s">
        <v>136</v>
      </c>
      <c r="F252" s="30" t="s">
        <v>142</v>
      </c>
      <c r="G252" s="31" t="n">
        <v>1</v>
      </c>
      <c r="H252" s="32" t="str">
        <f aca="false">IF(E252="","",IFERROR(INDEX(Catégories!$B$5:$B$60,MATCH(E252,Catégories!$A$5:$A$60,0)),"?"))</f>
        <v>Dépense</v>
      </c>
      <c r="I252" s="32" t="str">
        <f aca="false">IF(E252="","",IFERROR(INDEX(Catégories!$C$5:$C$60,MATCH(E252,Catégories!$A$5:$A$60,0)),"?"))</f>
        <v>Déductible</v>
      </c>
      <c r="J252" s="32" t="str">
        <f aca="false">IF(E252="","",IFERROR(INDEX(Catégories!$D$5:$D$60,MATCH(E252,Catégories!$A$5:$A$60,0)),"?"))</f>
        <v>Frais de gestion</v>
      </c>
      <c r="K252" s="33" t="n">
        <f aca="false">IF(H252="Recette",G252,IF(H252="Dépense",-G252,0))</f>
        <v>-1</v>
      </c>
      <c r="L252" s="33" t="n">
        <f aca="false">IF(E252="",0,G252*IFERROR(INDEX(Catégories!$E$5:$E$60,MATCH(E252,Catégories!$A$5:$A$60,0)),0))</f>
        <v>-1</v>
      </c>
      <c r="M252" s="30" t="s">
        <v>129</v>
      </c>
      <c r="N252" s="30" t="s">
        <v>130</v>
      </c>
      <c r="O252" s="30"/>
    </row>
    <row r="253" customFormat="false" ht="15" hidden="false" customHeight="true" outlineLevel="0" collapsed="false">
      <c r="A253" s="28" t="n">
        <v>46209</v>
      </c>
      <c r="B253" s="29" t="n">
        <f aca="false">IF(A253="","",YEAR(A253))</f>
        <v>2026</v>
      </c>
      <c r="C253" s="30" t="s">
        <v>58</v>
      </c>
      <c r="D253" s="30" t="s">
        <v>126</v>
      </c>
      <c r="E253" s="30" t="s">
        <v>168</v>
      </c>
      <c r="F253" s="30" t="s">
        <v>169</v>
      </c>
      <c r="G253" s="31" t="n">
        <v>1056.61</v>
      </c>
      <c r="H253" s="32" t="str">
        <f aca="false">IF(E253="","",IFERROR(INDEX(Catégories!$B$5:$B$60,MATCH(E253,Catégories!$A$5:$A$60,0)),"?"))</f>
        <v>Transfert</v>
      </c>
      <c r="I253" s="32" t="str">
        <f aca="false">IF(E253="","",IFERROR(INDEX(Catégories!$C$5:$C$60,MATCH(E253,Catégories!$A$5:$A$60,0)),"?"))</f>
        <v>Non fiscal</v>
      </c>
      <c r="J253" s="32" t="str">
        <f aca="false">IF(E253="","",IFERROR(INDEX(Catégories!$D$5:$D$60,MATCH(E253,Catégories!$A$5:$A$60,0)),"?"))</f>
        <v>Mouvements internes</v>
      </c>
      <c r="K253" s="33" t="n">
        <f aca="false">IF(H253="Recette",G253,IF(H253="Dépense",-G253,0))</f>
        <v>0</v>
      </c>
      <c r="L253" s="33" t="n">
        <f aca="false">IF(E253="",0,G253*IFERROR(INDEX(Catégories!$E$5:$E$60,MATCH(E253,Catégories!$A$5:$A$60,0)),0))</f>
        <v>-1056.61</v>
      </c>
      <c r="M253" s="30" t="s">
        <v>129</v>
      </c>
      <c r="N253" s="30" t="s">
        <v>130</v>
      </c>
      <c r="O253" s="30"/>
    </row>
    <row r="254" customFormat="false" ht="15" hidden="false" customHeight="true" outlineLevel="0" collapsed="false">
      <c r="A254" s="28" t="n">
        <v>46209</v>
      </c>
      <c r="B254" s="29" t="n">
        <f aca="false">IF(A254="","",YEAR(A254))</f>
        <v>2026</v>
      </c>
      <c r="C254" s="30" t="s">
        <v>58</v>
      </c>
      <c r="D254" s="30" t="s">
        <v>148</v>
      </c>
      <c r="E254" s="30" t="s">
        <v>180</v>
      </c>
      <c r="F254" s="30" t="s">
        <v>297</v>
      </c>
      <c r="G254" s="31" t="n">
        <v>1006.81</v>
      </c>
      <c r="H254" s="32" t="str">
        <f aca="false">IF(E254="","",IFERROR(INDEX(Catégories!$B$5:$B$60,MATCH(E254,Catégories!$A$5:$A$60,0)),"?"))</f>
        <v>Dépense</v>
      </c>
      <c r="I254" s="32" t="str">
        <f aca="false">IF(E254="","",IFERROR(INDEX(Catégories!$C$5:$C$60,MATCH(E254,Catégories!$A$5:$A$60,0)),"?"))</f>
        <v>Déductible</v>
      </c>
      <c r="J254" s="32" t="str">
        <f aca="false">IF(E254="","",IFERROR(INDEX(Catégories!$D$5:$D$60,MATCH(E254,Catégories!$A$5:$A$60,0)),"?"))</f>
        <v>Copropriété</v>
      </c>
      <c r="K254" s="33" t="n">
        <f aca="false">IF(H254="Recette",G254,IF(H254="Dépense",-G254,0))</f>
        <v>-1006.81</v>
      </c>
      <c r="L254" s="33" t="n">
        <f aca="false">IF(E254="",0,G254*IFERROR(INDEX(Catégories!$E$5:$E$60,MATCH(E254,Catégories!$A$5:$A$60,0)),0))</f>
        <v>-1006.81</v>
      </c>
      <c r="M254" s="30" t="s">
        <v>298</v>
      </c>
      <c r="N254" s="30" t="s">
        <v>151</v>
      </c>
      <c r="O254" s="30"/>
    </row>
    <row r="255" customFormat="false" ht="15" hidden="false" customHeight="true" outlineLevel="0" collapsed="false">
      <c r="A255" s="28" t="n">
        <v>46224</v>
      </c>
      <c r="B255" s="29" t="n">
        <f aca="false">IF(A255="","",YEAR(A255))</f>
        <v>2026</v>
      </c>
      <c r="C255" s="30" t="s">
        <v>58</v>
      </c>
      <c r="D255" s="30" t="s">
        <v>148</v>
      </c>
      <c r="E255" s="30" t="s">
        <v>299</v>
      </c>
      <c r="F255" s="30" t="s">
        <v>300</v>
      </c>
      <c r="G255" s="31" t="n">
        <v>318.99</v>
      </c>
      <c r="H255" s="32" t="str">
        <f aca="false">IF(E255="","",IFERROR(INDEX(Catégories!$B$5:$B$60,MATCH(E255,Catégories!$A$5:$A$60,0)),"?"))</f>
        <v>Dépense</v>
      </c>
      <c r="I255" s="32" t="str">
        <f aca="false">IF(E255="","",IFERROR(INDEX(Catégories!$C$5:$C$60,MATCH(E255,Catégories!$A$5:$A$60,0)),"?"))</f>
        <v>Déductible</v>
      </c>
      <c r="J255" s="32" t="str">
        <f aca="false">IF(E255="","",IFERROR(INDEX(Catégories!$D$5:$D$60,MATCH(E255,Catégories!$A$5:$A$60,0)),"?"))</f>
        <v>Impôts et taxes</v>
      </c>
      <c r="K255" s="33" t="n">
        <f aca="false">IF(H255="Recette",G255,IF(H255="Dépense",-G255,0))</f>
        <v>-318.99</v>
      </c>
      <c r="L255" s="33" t="n">
        <f aca="false">IF(E255="",0,G255*IFERROR(INDEX(Catégories!$E$5:$E$60,MATCH(E255,Catégories!$A$5:$A$60,0)),0))</f>
        <v>-318.99</v>
      </c>
      <c r="M255" s="30" t="s">
        <v>301</v>
      </c>
      <c r="N255" s="30" t="s">
        <v>151</v>
      </c>
      <c r="O255" s="30" t="s">
        <v>302</v>
      </c>
    </row>
    <row r="256" customFormat="false" ht="15" hidden="false" customHeight="true" outlineLevel="0" collapsed="false">
      <c r="A256" s="28" t="n">
        <v>46237</v>
      </c>
      <c r="B256" s="29" t="n">
        <f aca="false">IF(A256="","",YEAR(A256))</f>
        <v>2026</v>
      </c>
      <c r="C256" s="30" t="s">
        <v>58</v>
      </c>
      <c r="D256" s="30" t="s">
        <v>126</v>
      </c>
      <c r="E256" s="30" t="s">
        <v>134</v>
      </c>
      <c r="F256" s="30" t="s">
        <v>303</v>
      </c>
      <c r="G256" s="31" t="n">
        <v>1054.89</v>
      </c>
      <c r="H256" s="32" t="str">
        <f aca="false">IF(E256="","",IFERROR(INDEX(Catégories!$B$5:$B$60,MATCH(E256,Catégories!$A$5:$A$60,0)),"?"))</f>
        <v>Recette</v>
      </c>
      <c r="I256" s="32" t="str">
        <f aca="false">IF(E256="","",IFERROR(INDEX(Catégories!$C$5:$C$60,MATCH(E256,Catégories!$A$5:$A$60,0)),"?"))</f>
        <v>Imposable</v>
      </c>
      <c r="J256" s="32" t="str">
        <f aca="false">IF(E256="","",IFERROR(INDEX(Catégories!$D$5:$D$60,MATCH(E256,Catégories!$A$5:$A$60,0)),"?"))</f>
        <v>Loyers</v>
      </c>
      <c r="K256" s="33" t="n">
        <f aca="false">IF(H256="Recette",G256,IF(H256="Dépense",-G256,0))</f>
        <v>1054.89</v>
      </c>
      <c r="L256" s="33" t="n">
        <f aca="false">IF(E256="",0,G256*IFERROR(INDEX(Catégories!$E$5:$E$60,MATCH(E256,Catégories!$A$5:$A$60,0)),0))</f>
        <v>1054.89</v>
      </c>
      <c r="M256" s="30" t="s">
        <v>129</v>
      </c>
      <c r="N256" s="30" t="s">
        <v>130</v>
      </c>
      <c r="O256" s="30"/>
    </row>
    <row r="257" customFormat="false" ht="15" hidden="false" customHeight="true" outlineLevel="0" collapsed="false">
      <c r="A257" s="28" t="n">
        <v>46237</v>
      </c>
      <c r="B257" s="29" t="n">
        <f aca="false">IF(A257="","",YEAR(A257))</f>
        <v>2026</v>
      </c>
      <c r="C257" s="30" t="s">
        <v>58</v>
      </c>
      <c r="D257" s="30" t="s">
        <v>126</v>
      </c>
      <c r="E257" s="30" t="s">
        <v>136</v>
      </c>
      <c r="F257" s="30" t="s">
        <v>137</v>
      </c>
      <c r="G257" s="31" t="n">
        <v>63.3</v>
      </c>
      <c r="H257" s="32" t="str">
        <f aca="false">IF(E257="","",IFERROR(INDEX(Catégories!$B$5:$B$60,MATCH(E257,Catégories!$A$5:$A$60,0)),"?"))</f>
        <v>Dépense</v>
      </c>
      <c r="I257" s="32" t="str">
        <f aca="false">IF(E257="","",IFERROR(INDEX(Catégories!$C$5:$C$60,MATCH(E257,Catégories!$A$5:$A$60,0)),"?"))</f>
        <v>Déductible</v>
      </c>
      <c r="J257" s="32" t="str">
        <f aca="false">IF(E257="","",IFERROR(INDEX(Catégories!$D$5:$D$60,MATCH(E257,Catégories!$A$5:$A$60,0)),"?"))</f>
        <v>Frais de gestion</v>
      </c>
      <c r="K257" s="33" t="n">
        <f aca="false">IF(H257="Recette",G257,IF(H257="Dépense",-G257,0))</f>
        <v>-63.3</v>
      </c>
      <c r="L257" s="33" t="n">
        <f aca="false">IF(E257="",0,G257*IFERROR(INDEX(Catégories!$E$5:$E$60,MATCH(E257,Catégories!$A$5:$A$60,0)),0))</f>
        <v>-63.3</v>
      </c>
      <c r="M257" s="30" t="s">
        <v>129</v>
      </c>
      <c r="N257" s="30" t="s">
        <v>130</v>
      </c>
      <c r="O257" s="30"/>
    </row>
    <row r="258" customFormat="false" ht="15" hidden="false" customHeight="true" outlineLevel="0" collapsed="false">
      <c r="A258" s="28" t="n">
        <v>46237</v>
      </c>
      <c r="B258" s="29" t="n">
        <f aca="false">IF(A258="","",YEAR(A258))</f>
        <v>2026</v>
      </c>
      <c r="C258" s="30" t="s">
        <v>58</v>
      </c>
      <c r="D258" s="30" t="s">
        <v>126</v>
      </c>
      <c r="E258" s="30" t="s">
        <v>136</v>
      </c>
      <c r="F258" s="30" t="s">
        <v>138</v>
      </c>
      <c r="G258" s="31" t="n">
        <v>12.66</v>
      </c>
      <c r="H258" s="32" t="str">
        <f aca="false">IF(E258="","",IFERROR(INDEX(Catégories!$B$5:$B$60,MATCH(E258,Catégories!$A$5:$A$60,0)),"?"))</f>
        <v>Dépense</v>
      </c>
      <c r="I258" s="32" t="str">
        <f aca="false">IF(E258="","",IFERROR(INDEX(Catégories!$C$5:$C$60,MATCH(E258,Catégories!$A$5:$A$60,0)),"?"))</f>
        <v>Déductible</v>
      </c>
      <c r="J258" s="32" t="str">
        <f aca="false">IF(E258="","",IFERROR(INDEX(Catégories!$D$5:$D$60,MATCH(E258,Catégories!$A$5:$A$60,0)),"?"))</f>
        <v>Frais de gestion</v>
      </c>
      <c r="K258" s="33" t="n">
        <f aca="false">IF(H258="Recette",G258,IF(H258="Dépense",-G258,0))</f>
        <v>-12.66</v>
      </c>
      <c r="L258" s="33" t="n">
        <f aca="false">IF(E258="",0,G258*IFERROR(INDEX(Catégories!$E$5:$E$60,MATCH(E258,Catégories!$A$5:$A$60,0)),0))</f>
        <v>-12.66</v>
      </c>
      <c r="M258" s="30" t="s">
        <v>129</v>
      </c>
      <c r="N258" s="30" t="s">
        <v>130</v>
      </c>
      <c r="O258" s="30"/>
    </row>
    <row r="259" customFormat="false" ht="15" hidden="false" customHeight="true" outlineLevel="0" collapsed="false">
      <c r="A259" s="28" t="n">
        <v>46237</v>
      </c>
      <c r="B259" s="29" t="n">
        <f aca="false">IF(A259="","",YEAR(A259))</f>
        <v>2026</v>
      </c>
      <c r="C259" s="30" t="s">
        <v>58</v>
      </c>
      <c r="D259" s="30" t="s">
        <v>126</v>
      </c>
      <c r="E259" s="30" t="s">
        <v>139</v>
      </c>
      <c r="F259" s="30" t="s">
        <v>304</v>
      </c>
      <c r="G259" s="31" t="n">
        <v>83.7</v>
      </c>
      <c r="H259" s="32" t="str">
        <f aca="false">IF(E259="","",IFERROR(INDEX(Catégories!$B$5:$B$60,MATCH(E259,Catégories!$A$5:$A$60,0)),"?"))</f>
        <v>Recette</v>
      </c>
      <c r="I259" s="32" t="str">
        <f aca="false">IF(E259="","",IFERROR(INDEX(Catégories!$C$5:$C$60,MATCH(E259,Catégories!$A$5:$A$60,0)),"?"))</f>
        <v>Imposable</v>
      </c>
      <c r="J259" s="32" t="str">
        <f aca="false">IF(E259="","",IFERROR(INDEX(Catégories!$D$5:$D$60,MATCH(E259,Catégories!$A$5:$A$60,0)),"?"))</f>
        <v>Charges refacturées</v>
      </c>
      <c r="K259" s="33" t="n">
        <f aca="false">IF(H259="Recette",G259,IF(H259="Dépense",-G259,0))</f>
        <v>83.7</v>
      </c>
      <c r="L259" s="33" t="n">
        <f aca="false">IF(E259="",0,G259*IFERROR(INDEX(Catégories!$E$5:$E$60,MATCH(E259,Catégories!$A$5:$A$60,0)),0))</f>
        <v>83.7</v>
      </c>
      <c r="M259" s="30" t="s">
        <v>129</v>
      </c>
      <c r="N259" s="30" t="s">
        <v>130</v>
      </c>
      <c r="O259" s="30"/>
    </row>
    <row r="260" customFormat="false" ht="15" hidden="false" customHeight="true" outlineLevel="0" collapsed="false">
      <c r="A260" s="28" t="n">
        <v>46237</v>
      </c>
      <c r="B260" s="29" t="n">
        <f aca="false">IF(A260="","",YEAR(A260))</f>
        <v>2026</v>
      </c>
      <c r="C260" s="30" t="s">
        <v>58</v>
      </c>
      <c r="D260" s="30" t="s">
        <v>126</v>
      </c>
      <c r="E260" s="30" t="s">
        <v>136</v>
      </c>
      <c r="F260" s="30" t="s">
        <v>141</v>
      </c>
      <c r="G260" s="31" t="n">
        <v>5.02</v>
      </c>
      <c r="H260" s="32" t="str">
        <f aca="false">IF(E260="","",IFERROR(INDEX(Catégories!$B$5:$B$60,MATCH(E260,Catégories!$A$5:$A$60,0)),"?"))</f>
        <v>Dépense</v>
      </c>
      <c r="I260" s="32" t="str">
        <f aca="false">IF(E260="","",IFERROR(INDEX(Catégories!$C$5:$C$60,MATCH(E260,Catégories!$A$5:$A$60,0)),"?"))</f>
        <v>Déductible</v>
      </c>
      <c r="J260" s="32" t="str">
        <f aca="false">IF(E260="","",IFERROR(INDEX(Catégories!$D$5:$D$60,MATCH(E260,Catégories!$A$5:$A$60,0)),"?"))</f>
        <v>Frais de gestion</v>
      </c>
      <c r="K260" s="33" t="n">
        <f aca="false">IF(H260="Recette",G260,IF(H260="Dépense",-G260,0))</f>
        <v>-5.02</v>
      </c>
      <c r="L260" s="33" t="n">
        <f aca="false">IF(E260="",0,G260*IFERROR(INDEX(Catégories!$E$5:$E$60,MATCH(E260,Catégories!$A$5:$A$60,0)),0))</f>
        <v>-5.02</v>
      </c>
      <c r="M260" s="30" t="s">
        <v>129</v>
      </c>
      <c r="N260" s="30" t="s">
        <v>130</v>
      </c>
      <c r="O260" s="30"/>
    </row>
    <row r="261" customFormat="false" ht="15" hidden="false" customHeight="true" outlineLevel="0" collapsed="false">
      <c r="A261" s="28" t="n">
        <v>46237</v>
      </c>
      <c r="B261" s="29" t="n">
        <f aca="false">IF(A261="","",YEAR(A261))</f>
        <v>2026</v>
      </c>
      <c r="C261" s="30" t="s">
        <v>58</v>
      </c>
      <c r="D261" s="30" t="s">
        <v>126</v>
      </c>
      <c r="E261" s="30" t="s">
        <v>136</v>
      </c>
      <c r="F261" s="30" t="s">
        <v>142</v>
      </c>
      <c r="G261" s="31" t="n">
        <v>1</v>
      </c>
      <c r="H261" s="32" t="str">
        <f aca="false">IF(E261="","",IFERROR(INDEX(Catégories!$B$5:$B$60,MATCH(E261,Catégories!$A$5:$A$60,0)),"?"))</f>
        <v>Dépense</v>
      </c>
      <c r="I261" s="32" t="str">
        <f aca="false">IF(E261="","",IFERROR(INDEX(Catégories!$C$5:$C$60,MATCH(E261,Catégories!$A$5:$A$60,0)),"?"))</f>
        <v>Déductible</v>
      </c>
      <c r="J261" s="32" t="str">
        <f aca="false">IF(E261="","",IFERROR(INDEX(Catégories!$D$5:$D$60,MATCH(E261,Catégories!$A$5:$A$60,0)),"?"))</f>
        <v>Frais de gestion</v>
      </c>
      <c r="K261" s="33" t="n">
        <f aca="false">IF(H261="Recette",G261,IF(H261="Dépense",-G261,0))</f>
        <v>-1</v>
      </c>
      <c r="L261" s="33" t="n">
        <f aca="false">IF(E261="",0,G261*IFERROR(INDEX(Catégories!$E$5:$E$60,MATCH(E261,Catégories!$A$5:$A$60,0)),0))</f>
        <v>-1</v>
      </c>
      <c r="M261" s="30" t="s">
        <v>129</v>
      </c>
      <c r="N261" s="30" t="s">
        <v>130</v>
      </c>
      <c r="O261" s="30"/>
    </row>
    <row r="262" customFormat="false" ht="15" hidden="false" customHeight="true" outlineLevel="0" collapsed="false">
      <c r="A262" s="28" t="n">
        <v>46240</v>
      </c>
      <c r="B262" s="29" t="n">
        <f aca="false">IF(A262="","",YEAR(A262))</f>
        <v>2026</v>
      </c>
      <c r="C262" s="30" t="s">
        <v>58</v>
      </c>
      <c r="D262" s="30" t="s">
        <v>126</v>
      </c>
      <c r="E262" s="30" t="s">
        <v>168</v>
      </c>
      <c r="F262" s="30" t="s">
        <v>169</v>
      </c>
      <c r="G262" s="31" t="n">
        <v>1056.61</v>
      </c>
      <c r="H262" s="32" t="str">
        <f aca="false">IF(E262="","",IFERROR(INDEX(Catégories!$B$5:$B$60,MATCH(E262,Catégories!$A$5:$A$60,0)),"?"))</f>
        <v>Transfert</v>
      </c>
      <c r="I262" s="32" t="str">
        <f aca="false">IF(E262="","",IFERROR(INDEX(Catégories!$C$5:$C$60,MATCH(E262,Catégories!$A$5:$A$60,0)),"?"))</f>
        <v>Non fiscal</v>
      </c>
      <c r="J262" s="32" t="str">
        <f aca="false">IF(E262="","",IFERROR(INDEX(Catégories!$D$5:$D$60,MATCH(E262,Catégories!$A$5:$A$60,0)),"?"))</f>
        <v>Mouvements internes</v>
      </c>
      <c r="K262" s="33" t="n">
        <f aca="false">IF(H262="Recette",G262,IF(H262="Dépense",-G262,0))</f>
        <v>0</v>
      </c>
      <c r="L262" s="33" t="n">
        <f aca="false">IF(E262="",0,G262*IFERROR(INDEX(Catégories!$E$5:$E$60,MATCH(E262,Catégories!$A$5:$A$60,0)),0))</f>
        <v>-1056.61</v>
      </c>
      <c r="M262" s="30" t="s">
        <v>129</v>
      </c>
      <c r="N262" s="30" t="s">
        <v>130</v>
      </c>
      <c r="O262" s="30"/>
    </row>
    <row r="263" customFormat="false" ht="15" hidden="false" customHeight="true" outlineLevel="0" collapsed="false">
      <c r="A263" s="28" t="n">
        <v>46267</v>
      </c>
      <c r="B263" s="29" t="n">
        <f aca="false">IF(A263="","",YEAR(A263))</f>
        <v>2026</v>
      </c>
      <c r="C263" s="30" t="s">
        <v>58</v>
      </c>
      <c r="D263" s="30" t="s">
        <v>126</v>
      </c>
      <c r="E263" s="30" t="s">
        <v>134</v>
      </c>
      <c r="F263" s="30" t="s">
        <v>305</v>
      </c>
      <c r="G263" s="31" t="n">
        <v>1054.89</v>
      </c>
      <c r="H263" s="32" t="str">
        <f aca="false">IF(E263="","",IFERROR(INDEX(Catégories!$B$5:$B$60,MATCH(E263,Catégories!$A$5:$A$60,0)),"?"))</f>
        <v>Recette</v>
      </c>
      <c r="I263" s="32" t="str">
        <f aca="false">IF(E263="","",IFERROR(INDEX(Catégories!$C$5:$C$60,MATCH(E263,Catégories!$A$5:$A$60,0)),"?"))</f>
        <v>Imposable</v>
      </c>
      <c r="J263" s="32" t="str">
        <f aca="false">IF(E263="","",IFERROR(INDEX(Catégories!$D$5:$D$60,MATCH(E263,Catégories!$A$5:$A$60,0)),"?"))</f>
        <v>Loyers</v>
      </c>
      <c r="K263" s="33" t="n">
        <f aca="false">IF(H263="Recette",G263,IF(H263="Dépense",-G263,0))</f>
        <v>1054.89</v>
      </c>
      <c r="L263" s="33" t="n">
        <f aca="false">IF(E263="",0,G263*IFERROR(INDEX(Catégories!$E$5:$E$60,MATCH(E263,Catégories!$A$5:$A$60,0)),0))</f>
        <v>1054.89</v>
      </c>
      <c r="M263" s="30" t="s">
        <v>129</v>
      </c>
      <c r="N263" s="30" t="s">
        <v>130</v>
      </c>
      <c r="O263" s="30"/>
    </row>
    <row r="264" customFormat="false" ht="15" hidden="false" customHeight="true" outlineLevel="0" collapsed="false">
      <c r="A264" s="28" t="n">
        <v>46267</v>
      </c>
      <c r="B264" s="29" t="n">
        <f aca="false">IF(A264="","",YEAR(A264))</f>
        <v>2026</v>
      </c>
      <c r="C264" s="30" t="s">
        <v>58</v>
      </c>
      <c r="D264" s="30" t="s">
        <v>126</v>
      </c>
      <c r="E264" s="30" t="s">
        <v>136</v>
      </c>
      <c r="F264" s="30" t="s">
        <v>137</v>
      </c>
      <c r="G264" s="31" t="n">
        <v>63.3</v>
      </c>
      <c r="H264" s="32" t="str">
        <f aca="false">IF(E264="","",IFERROR(INDEX(Catégories!$B$5:$B$60,MATCH(E264,Catégories!$A$5:$A$60,0)),"?"))</f>
        <v>Dépense</v>
      </c>
      <c r="I264" s="32" t="str">
        <f aca="false">IF(E264="","",IFERROR(INDEX(Catégories!$C$5:$C$60,MATCH(E264,Catégories!$A$5:$A$60,0)),"?"))</f>
        <v>Déductible</v>
      </c>
      <c r="J264" s="32" t="str">
        <f aca="false">IF(E264="","",IFERROR(INDEX(Catégories!$D$5:$D$60,MATCH(E264,Catégories!$A$5:$A$60,0)),"?"))</f>
        <v>Frais de gestion</v>
      </c>
      <c r="K264" s="33" t="n">
        <f aca="false">IF(H264="Recette",G264,IF(H264="Dépense",-G264,0))</f>
        <v>-63.3</v>
      </c>
      <c r="L264" s="33" t="n">
        <f aca="false">IF(E264="",0,G264*IFERROR(INDEX(Catégories!$E$5:$E$60,MATCH(E264,Catégories!$A$5:$A$60,0)),0))</f>
        <v>-63.3</v>
      </c>
      <c r="M264" s="30" t="s">
        <v>129</v>
      </c>
      <c r="N264" s="30" t="s">
        <v>130</v>
      </c>
      <c r="O264" s="30"/>
    </row>
    <row r="265" customFormat="false" ht="15" hidden="false" customHeight="true" outlineLevel="0" collapsed="false">
      <c r="A265" s="28" t="n">
        <v>46267</v>
      </c>
      <c r="B265" s="29" t="n">
        <f aca="false">IF(A265="","",YEAR(A265))</f>
        <v>2026</v>
      </c>
      <c r="C265" s="30" t="s">
        <v>58</v>
      </c>
      <c r="D265" s="30" t="s">
        <v>126</v>
      </c>
      <c r="E265" s="30" t="s">
        <v>136</v>
      </c>
      <c r="F265" s="30" t="s">
        <v>138</v>
      </c>
      <c r="G265" s="31" t="n">
        <v>12.66</v>
      </c>
      <c r="H265" s="32" t="str">
        <f aca="false">IF(E265="","",IFERROR(INDEX(Catégories!$B$5:$B$60,MATCH(E265,Catégories!$A$5:$A$60,0)),"?"))</f>
        <v>Dépense</v>
      </c>
      <c r="I265" s="32" t="str">
        <f aca="false">IF(E265="","",IFERROR(INDEX(Catégories!$C$5:$C$60,MATCH(E265,Catégories!$A$5:$A$60,0)),"?"))</f>
        <v>Déductible</v>
      </c>
      <c r="J265" s="32" t="str">
        <f aca="false">IF(E265="","",IFERROR(INDEX(Catégories!$D$5:$D$60,MATCH(E265,Catégories!$A$5:$A$60,0)),"?"))</f>
        <v>Frais de gestion</v>
      </c>
      <c r="K265" s="33" t="n">
        <f aca="false">IF(H265="Recette",G265,IF(H265="Dépense",-G265,0))</f>
        <v>-12.66</v>
      </c>
      <c r="L265" s="33" t="n">
        <f aca="false">IF(E265="",0,G265*IFERROR(INDEX(Catégories!$E$5:$E$60,MATCH(E265,Catégories!$A$5:$A$60,0)),0))</f>
        <v>-12.66</v>
      </c>
      <c r="M265" s="30" t="s">
        <v>129</v>
      </c>
      <c r="N265" s="30" t="s">
        <v>130</v>
      </c>
      <c r="O265" s="30"/>
    </row>
    <row r="266" customFormat="false" ht="15" hidden="false" customHeight="true" outlineLevel="0" collapsed="false">
      <c r="A266" s="28" t="n">
        <v>46267</v>
      </c>
      <c r="B266" s="29" t="n">
        <f aca="false">IF(A266="","",YEAR(A266))</f>
        <v>2026</v>
      </c>
      <c r="C266" s="30" t="s">
        <v>58</v>
      </c>
      <c r="D266" s="30" t="s">
        <v>126</v>
      </c>
      <c r="E266" s="30" t="s">
        <v>139</v>
      </c>
      <c r="F266" s="30" t="s">
        <v>306</v>
      </c>
      <c r="G266" s="31" t="n">
        <v>83.7</v>
      </c>
      <c r="H266" s="32" t="str">
        <f aca="false">IF(E266="","",IFERROR(INDEX(Catégories!$B$5:$B$60,MATCH(E266,Catégories!$A$5:$A$60,0)),"?"))</f>
        <v>Recette</v>
      </c>
      <c r="I266" s="32" t="str">
        <f aca="false">IF(E266="","",IFERROR(INDEX(Catégories!$C$5:$C$60,MATCH(E266,Catégories!$A$5:$A$60,0)),"?"))</f>
        <v>Imposable</v>
      </c>
      <c r="J266" s="32" t="str">
        <f aca="false">IF(E266="","",IFERROR(INDEX(Catégories!$D$5:$D$60,MATCH(E266,Catégories!$A$5:$A$60,0)),"?"))</f>
        <v>Charges refacturées</v>
      </c>
      <c r="K266" s="33" t="n">
        <f aca="false">IF(H266="Recette",G266,IF(H266="Dépense",-G266,0))</f>
        <v>83.7</v>
      </c>
      <c r="L266" s="33" t="n">
        <f aca="false">IF(E266="",0,G266*IFERROR(INDEX(Catégories!$E$5:$E$60,MATCH(E266,Catégories!$A$5:$A$60,0)),0))</f>
        <v>83.7</v>
      </c>
      <c r="M266" s="30" t="s">
        <v>129</v>
      </c>
      <c r="N266" s="30" t="s">
        <v>130</v>
      </c>
      <c r="O266" s="30"/>
    </row>
    <row r="267" customFormat="false" ht="15" hidden="false" customHeight="true" outlineLevel="0" collapsed="false">
      <c r="A267" s="28" t="n">
        <v>46267</v>
      </c>
      <c r="B267" s="29" t="n">
        <f aca="false">IF(A267="","",YEAR(A267))</f>
        <v>2026</v>
      </c>
      <c r="C267" s="30" t="s">
        <v>58</v>
      </c>
      <c r="D267" s="30" t="s">
        <v>126</v>
      </c>
      <c r="E267" s="30" t="s">
        <v>136</v>
      </c>
      <c r="F267" s="30" t="s">
        <v>141</v>
      </c>
      <c r="G267" s="31" t="n">
        <v>5.02</v>
      </c>
      <c r="H267" s="32" t="str">
        <f aca="false">IF(E267="","",IFERROR(INDEX(Catégories!$B$5:$B$60,MATCH(E267,Catégories!$A$5:$A$60,0)),"?"))</f>
        <v>Dépense</v>
      </c>
      <c r="I267" s="32" t="str">
        <f aca="false">IF(E267="","",IFERROR(INDEX(Catégories!$C$5:$C$60,MATCH(E267,Catégories!$A$5:$A$60,0)),"?"))</f>
        <v>Déductible</v>
      </c>
      <c r="J267" s="32" t="str">
        <f aca="false">IF(E267="","",IFERROR(INDEX(Catégories!$D$5:$D$60,MATCH(E267,Catégories!$A$5:$A$60,0)),"?"))</f>
        <v>Frais de gestion</v>
      </c>
      <c r="K267" s="33" t="n">
        <f aca="false">IF(H267="Recette",G267,IF(H267="Dépense",-G267,0))</f>
        <v>-5.02</v>
      </c>
      <c r="L267" s="33" t="n">
        <f aca="false">IF(E267="",0,G267*IFERROR(INDEX(Catégories!$E$5:$E$60,MATCH(E267,Catégories!$A$5:$A$60,0)),0))</f>
        <v>-5.02</v>
      </c>
      <c r="M267" s="30" t="s">
        <v>129</v>
      </c>
      <c r="N267" s="30" t="s">
        <v>130</v>
      </c>
      <c r="O267" s="30"/>
    </row>
    <row r="268" customFormat="false" ht="15" hidden="false" customHeight="true" outlineLevel="0" collapsed="false">
      <c r="A268" s="28" t="n">
        <v>46267</v>
      </c>
      <c r="B268" s="29" t="n">
        <f aca="false">IF(A268="","",YEAR(A268))</f>
        <v>2026</v>
      </c>
      <c r="C268" s="30" t="s">
        <v>58</v>
      </c>
      <c r="D268" s="30" t="s">
        <v>126</v>
      </c>
      <c r="E268" s="30" t="s">
        <v>136</v>
      </c>
      <c r="F268" s="30" t="s">
        <v>142</v>
      </c>
      <c r="G268" s="31" t="n">
        <v>1</v>
      </c>
      <c r="H268" s="32" t="str">
        <f aca="false">IF(E268="","",IFERROR(INDEX(Catégories!$B$5:$B$60,MATCH(E268,Catégories!$A$5:$A$60,0)),"?"))</f>
        <v>Dépense</v>
      </c>
      <c r="I268" s="32" t="str">
        <f aca="false">IF(E268="","",IFERROR(INDEX(Catégories!$C$5:$C$60,MATCH(E268,Catégories!$A$5:$A$60,0)),"?"))</f>
        <v>Déductible</v>
      </c>
      <c r="J268" s="32" t="str">
        <f aca="false">IF(E268="","",IFERROR(INDEX(Catégories!$D$5:$D$60,MATCH(E268,Catégories!$A$5:$A$60,0)),"?"))</f>
        <v>Frais de gestion</v>
      </c>
      <c r="K268" s="33" t="n">
        <f aca="false">IF(H268="Recette",G268,IF(H268="Dépense",-G268,0))</f>
        <v>-1</v>
      </c>
      <c r="L268" s="33" t="n">
        <f aca="false">IF(E268="",0,G268*IFERROR(INDEX(Catégories!$E$5:$E$60,MATCH(E268,Catégories!$A$5:$A$60,0)),0))</f>
        <v>-1</v>
      </c>
      <c r="M268" s="30" t="s">
        <v>129</v>
      </c>
      <c r="N268" s="30" t="s">
        <v>130</v>
      </c>
      <c r="O268" s="30"/>
    </row>
    <row r="269" customFormat="false" ht="15" hidden="false" customHeight="true" outlineLevel="0" collapsed="false">
      <c r="A269" s="28" t="n">
        <v>46267</v>
      </c>
      <c r="B269" s="29" t="n">
        <f aca="false">IF(A269="","",YEAR(A269))</f>
        <v>2026</v>
      </c>
      <c r="C269" s="30" t="s">
        <v>58</v>
      </c>
      <c r="D269" s="30" t="s">
        <v>126</v>
      </c>
      <c r="E269" s="30" t="s">
        <v>161</v>
      </c>
      <c r="F269" s="30" t="s">
        <v>307</v>
      </c>
      <c r="G269" s="31" t="n">
        <v>143.22</v>
      </c>
      <c r="H269" s="32" t="str">
        <f aca="false">IF(E269="","",IFERROR(INDEX(Catégories!$B$5:$B$60,MATCH(E269,Catégories!$A$5:$A$60,0)),"?"))</f>
        <v>Dépense</v>
      </c>
      <c r="I269" s="32" t="str">
        <f aca="false">IF(E269="","",IFERROR(INDEX(Catégories!$C$5:$C$60,MATCH(E269,Catégories!$A$5:$A$60,0)),"?"))</f>
        <v>Déductible</v>
      </c>
      <c r="J269" s="32" t="str">
        <f aca="false">IF(E269="","",IFERROR(INDEX(Catégories!$D$5:$D$60,MATCH(E269,Catégories!$A$5:$A$60,0)),"?"))</f>
        <v>Entretien et petit équipement</v>
      </c>
      <c r="K269" s="33" t="n">
        <f aca="false">IF(H269="Recette",G269,IF(H269="Dépense",-G269,0))</f>
        <v>-143.22</v>
      </c>
      <c r="L269" s="33" t="n">
        <f aca="false">IF(E269="",0,G269*IFERROR(INDEX(Catégories!$E$5:$E$60,MATCH(E269,Catégories!$A$5:$A$60,0)),0))</f>
        <v>-143.22</v>
      </c>
      <c r="M269" s="30" t="s">
        <v>129</v>
      </c>
      <c r="N269" s="30" t="s">
        <v>130</v>
      </c>
      <c r="O269" s="30"/>
    </row>
    <row r="270" customFormat="false" ht="15" hidden="false" customHeight="true" outlineLevel="0" collapsed="false">
      <c r="A270" s="28" t="n">
        <v>46269</v>
      </c>
      <c r="B270" s="29" t="n">
        <f aca="false">IF(A270="","",YEAR(A270))</f>
        <v>2026</v>
      </c>
      <c r="C270" s="30" t="s">
        <v>58</v>
      </c>
      <c r="D270" s="30" t="s">
        <v>126</v>
      </c>
      <c r="E270" s="30" t="s">
        <v>168</v>
      </c>
      <c r="F270" s="30" t="s">
        <v>308</v>
      </c>
      <c r="G270" s="31" t="n">
        <v>659.6</v>
      </c>
      <c r="H270" s="32" t="str">
        <f aca="false">IF(E270="","",IFERROR(INDEX(Catégories!$B$5:$B$60,MATCH(E270,Catégories!$A$5:$A$60,0)),"?"))</f>
        <v>Transfert</v>
      </c>
      <c r="I270" s="32" t="str">
        <f aca="false">IF(E270="","",IFERROR(INDEX(Catégories!$C$5:$C$60,MATCH(E270,Catégories!$A$5:$A$60,0)),"?"))</f>
        <v>Non fiscal</v>
      </c>
      <c r="J270" s="32" t="str">
        <f aca="false">IF(E270="","",IFERROR(INDEX(Catégories!$D$5:$D$60,MATCH(E270,Catégories!$A$5:$A$60,0)),"?"))</f>
        <v>Mouvements internes</v>
      </c>
      <c r="K270" s="33" t="n">
        <f aca="false">IF(H270="Recette",G270,IF(H270="Dépense",-G270,0))</f>
        <v>0</v>
      </c>
      <c r="L270" s="33" t="n">
        <f aca="false">IF(E270="",0,G270*IFERROR(INDEX(Catégories!$E$5:$E$60,MATCH(E270,Catégories!$A$5:$A$60,0)),0))</f>
        <v>-659.6</v>
      </c>
      <c r="M270" s="30" t="s">
        <v>129</v>
      </c>
      <c r="N270" s="30" t="s">
        <v>130</v>
      </c>
      <c r="O270" s="30" t="s">
        <v>309</v>
      </c>
    </row>
    <row r="271" customFormat="false" ht="15" hidden="false" customHeight="true" outlineLevel="0" collapsed="false">
      <c r="A271" s="28" t="n">
        <v>46273</v>
      </c>
      <c r="B271" s="29" t="n">
        <f aca="false">IF(A271="","",YEAR(A271))</f>
        <v>2026</v>
      </c>
      <c r="C271" s="30" t="s">
        <v>58</v>
      </c>
      <c r="D271" s="30" t="s">
        <v>126</v>
      </c>
      <c r="E271" s="30" t="s">
        <v>228</v>
      </c>
      <c r="F271" s="30" t="s">
        <v>310</v>
      </c>
      <c r="G271" s="31" t="n">
        <v>659.6</v>
      </c>
      <c r="H271" s="32" t="str">
        <f aca="false">IF(E271="","",IFERROR(INDEX(Catégories!$B$5:$B$60,MATCH(E271,Catégories!$A$5:$A$60,0)),"?"))</f>
        <v>Transfert</v>
      </c>
      <c r="I271" s="32" t="str">
        <f aca="false">IF(E271="","",IFERROR(INDEX(Catégories!$C$5:$C$60,MATCH(E271,Catégories!$A$5:$A$60,0)),"?"))</f>
        <v>Non fiscal</v>
      </c>
      <c r="J271" s="32" t="str">
        <f aca="false">IF(E271="","",IFERROR(INDEX(Catégories!$D$5:$D$60,MATCH(E271,Catégories!$A$5:$A$60,0)),"?"))</f>
        <v>Mouvements internes</v>
      </c>
      <c r="K271" s="33" t="n">
        <f aca="false">IF(H271="Recette",G271,IF(H271="Dépense",-G271,0))</f>
        <v>0</v>
      </c>
      <c r="L271" s="33" t="n">
        <f aca="false">IF(E271="",0,G271*IFERROR(INDEX(Catégories!$E$5:$E$60,MATCH(E271,Catégories!$A$5:$A$60,0)),0))</f>
        <v>659.6</v>
      </c>
      <c r="M271" s="30" t="s">
        <v>129</v>
      </c>
      <c r="N271" s="30" t="s">
        <v>130</v>
      </c>
      <c r="O271" s="30" t="s">
        <v>311</v>
      </c>
    </row>
    <row r="272" customFormat="false" ht="15" hidden="false" customHeight="true" outlineLevel="0" collapsed="false">
      <c r="A272" s="28" t="n">
        <v>46273</v>
      </c>
      <c r="B272" s="29" t="n">
        <f aca="false">IF(A272="","",YEAR(A272))</f>
        <v>2026</v>
      </c>
      <c r="C272" s="30" t="s">
        <v>58</v>
      </c>
      <c r="D272" s="30" t="s">
        <v>126</v>
      </c>
      <c r="E272" s="30" t="s">
        <v>158</v>
      </c>
      <c r="F272" s="30" t="s">
        <v>312</v>
      </c>
      <c r="G272" s="31" t="n">
        <v>16.01</v>
      </c>
      <c r="H272" s="32" t="str">
        <f aca="false">IF(E272="","",IFERROR(INDEX(Catégories!$B$5:$B$60,MATCH(E272,Catégories!$A$5:$A$60,0)),"?"))</f>
        <v>Dépense</v>
      </c>
      <c r="I272" s="32" t="str">
        <f aca="false">IF(E272="","",IFERROR(INDEX(Catégories!$C$5:$C$60,MATCH(E272,Catégories!$A$5:$A$60,0)),"?"))</f>
        <v>Déductible</v>
      </c>
      <c r="J272" s="32" t="str">
        <f aca="false">IF(E272="","",IFERROR(INDEX(Catégories!$D$5:$D$60,MATCH(E272,Catégories!$A$5:$A$60,0)),"?"))</f>
        <v>Frais de gestion</v>
      </c>
      <c r="K272" s="33" t="n">
        <f aca="false">IF(H272="Recette",G272,IF(H272="Dépense",-G272,0))</f>
        <v>-16.01</v>
      </c>
      <c r="L272" s="33" t="n">
        <f aca="false">IF(E272="",0,G272*IFERROR(INDEX(Catégories!$E$5:$E$60,MATCH(E272,Catégories!$A$5:$A$60,0)),0))</f>
        <v>-16.01</v>
      </c>
      <c r="M272" s="30" t="s">
        <v>129</v>
      </c>
      <c r="N272" s="30" t="s">
        <v>130</v>
      </c>
      <c r="O272" s="30"/>
    </row>
    <row r="273" customFormat="false" ht="15" hidden="false" customHeight="true" outlineLevel="0" collapsed="false">
      <c r="A273" s="28" t="n">
        <v>46273</v>
      </c>
      <c r="B273" s="29" t="n">
        <f aca="false">IF(A273="","",YEAR(A273))</f>
        <v>2026</v>
      </c>
      <c r="C273" s="30" t="s">
        <v>58</v>
      </c>
      <c r="D273" s="30" t="s">
        <v>126</v>
      </c>
      <c r="E273" s="30" t="s">
        <v>158</v>
      </c>
      <c r="F273" s="30" t="s">
        <v>313</v>
      </c>
      <c r="G273" s="31" t="n">
        <v>3.2</v>
      </c>
      <c r="H273" s="32" t="str">
        <f aca="false">IF(E273="","",IFERROR(INDEX(Catégories!$B$5:$B$60,MATCH(E273,Catégories!$A$5:$A$60,0)),"?"))</f>
        <v>Dépense</v>
      </c>
      <c r="I273" s="32" t="str">
        <f aca="false">IF(E273="","",IFERROR(INDEX(Catégories!$C$5:$C$60,MATCH(E273,Catégories!$A$5:$A$60,0)),"?"))</f>
        <v>Déductible</v>
      </c>
      <c r="J273" s="32" t="str">
        <f aca="false">IF(E273="","",IFERROR(INDEX(Catégories!$D$5:$D$60,MATCH(E273,Catégories!$A$5:$A$60,0)),"?"))</f>
        <v>Frais de gestion</v>
      </c>
      <c r="K273" s="33" t="n">
        <f aca="false">IF(H273="Recette",G273,IF(H273="Dépense",-G273,0))</f>
        <v>-3.2</v>
      </c>
      <c r="L273" s="33" t="n">
        <f aca="false">IF(E273="",0,G273*IFERROR(INDEX(Catégories!$E$5:$E$60,MATCH(E273,Catégories!$A$5:$A$60,0)),0))</f>
        <v>-3.2</v>
      </c>
      <c r="M273" s="30" t="s">
        <v>129</v>
      </c>
      <c r="N273" s="30" t="s">
        <v>130</v>
      </c>
      <c r="O273" s="30"/>
    </row>
    <row r="274" customFormat="false" ht="15" hidden="false" customHeight="true" outlineLevel="0" collapsed="false">
      <c r="A274" s="28" t="n">
        <v>46273</v>
      </c>
      <c r="B274" s="29" t="n">
        <f aca="false">IF(A274="","",YEAR(A274))</f>
        <v>2026</v>
      </c>
      <c r="C274" s="30" t="s">
        <v>58</v>
      </c>
      <c r="D274" s="30" t="s">
        <v>126</v>
      </c>
      <c r="E274" s="30" t="s">
        <v>161</v>
      </c>
      <c r="F274" s="30" t="s">
        <v>314</v>
      </c>
      <c r="G274" s="31" t="n">
        <v>640.4</v>
      </c>
      <c r="H274" s="32" t="str">
        <f aca="false">IF(E274="","",IFERROR(INDEX(Catégories!$B$5:$B$60,MATCH(E274,Catégories!$A$5:$A$60,0)),"?"))</f>
        <v>Dépense</v>
      </c>
      <c r="I274" s="32" t="str">
        <f aca="false">IF(E274="","",IFERROR(INDEX(Catégories!$C$5:$C$60,MATCH(E274,Catégories!$A$5:$A$60,0)),"?"))</f>
        <v>Déductible</v>
      </c>
      <c r="J274" s="32" t="str">
        <f aca="false">IF(E274="","",IFERROR(INDEX(Catégories!$D$5:$D$60,MATCH(E274,Catégories!$A$5:$A$60,0)),"?"))</f>
        <v>Entretien et petit équipement</v>
      </c>
      <c r="K274" s="33" t="n">
        <f aca="false">IF(H274="Recette",G274,IF(H274="Dépense",-G274,0))</f>
        <v>-640.4</v>
      </c>
      <c r="L274" s="33" t="n">
        <f aca="false">IF(E274="",0,G274*IFERROR(INDEX(Catégories!$E$5:$E$60,MATCH(E274,Catégories!$A$5:$A$60,0)),0))</f>
        <v>-640.4</v>
      </c>
      <c r="M274" s="30" t="s">
        <v>129</v>
      </c>
      <c r="N274" s="30" t="s">
        <v>130</v>
      </c>
      <c r="O274" s="30"/>
    </row>
    <row r="275" customFormat="false" ht="15" hidden="false" customHeight="true" outlineLevel="0" collapsed="false">
      <c r="A275" s="28" t="n">
        <v>46289</v>
      </c>
      <c r="B275" s="29" t="n">
        <f aca="false">IF(A275="","",YEAR(A275))</f>
        <v>2026</v>
      </c>
      <c r="C275" s="30" t="s">
        <v>58</v>
      </c>
      <c r="D275" s="30" t="s">
        <v>126</v>
      </c>
      <c r="E275" s="30" t="s">
        <v>168</v>
      </c>
      <c r="F275" s="30" t="s">
        <v>315</v>
      </c>
      <c r="G275" s="31" t="n">
        <v>253.79</v>
      </c>
      <c r="H275" s="32" t="str">
        <f aca="false">IF(E275="","",IFERROR(INDEX(Catégories!$B$5:$B$60,MATCH(E275,Catégories!$A$5:$A$60,0)),"?"))</f>
        <v>Transfert</v>
      </c>
      <c r="I275" s="32" t="str">
        <f aca="false">IF(E275="","",IFERROR(INDEX(Catégories!$C$5:$C$60,MATCH(E275,Catégories!$A$5:$A$60,0)),"?"))</f>
        <v>Non fiscal</v>
      </c>
      <c r="J275" s="32" t="str">
        <f aca="false">IF(E275="","",IFERROR(INDEX(Catégories!$D$5:$D$60,MATCH(E275,Catégories!$A$5:$A$60,0)),"?"))</f>
        <v>Mouvements internes</v>
      </c>
      <c r="K275" s="33" t="n">
        <f aca="false">IF(H275="Recette",G275,IF(H275="Dépense",-G275,0))</f>
        <v>0</v>
      </c>
      <c r="L275" s="33" t="n">
        <f aca="false">IF(E275="",0,G275*IFERROR(INDEX(Catégories!$E$5:$E$60,MATCH(E275,Catégories!$A$5:$A$60,0)),0))</f>
        <v>-253.79</v>
      </c>
      <c r="M275" s="30" t="s">
        <v>129</v>
      </c>
      <c r="N275" s="30" t="s">
        <v>130</v>
      </c>
      <c r="O275" s="30" t="s">
        <v>309</v>
      </c>
    </row>
    <row r="276" customFormat="false" ht="15" hidden="false" customHeight="true" outlineLevel="0" collapsed="false">
      <c r="A276" s="28" t="n">
        <v>46297</v>
      </c>
      <c r="B276" s="29" t="n">
        <f aca="false">IF(A276="","",YEAR(A276))</f>
        <v>2026</v>
      </c>
      <c r="C276" s="30" t="s">
        <v>58</v>
      </c>
      <c r="D276" s="30" t="s">
        <v>126</v>
      </c>
      <c r="E276" s="30" t="s">
        <v>134</v>
      </c>
      <c r="F276" s="30" t="s">
        <v>316</v>
      </c>
      <c r="G276" s="31" t="n">
        <v>1054.89</v>
      </c>
      <c r="H276" s="32" t="str">
        <f aca="false">IF(E276="","",IFERROR(INDEX(Catégories!$B$5:$B$60,MATCH(E276,Catégories!$A$5:$A$60,0)),"?"))</f>
        <v>Recette</v>
      </c>
      <c r="I276" s="32" t="str">
        <f aca="false">IF(E276="","",IFERROR(INDEX(Catégories!$C$5:$C$60,MATCH(E276,Catégories!$A$5:$A$60,0)),"?"))</f>
        <v>Imposable</v>
      </c>
      <c r="J276" s="32" t="str">
        <f aca="false">IF(E276="","",IFERROR(INDEX(Catégories!$D$5:$D$60,MATCH(E276,Catégories!$A$5:$A$60,0)),"?"))</f>
        <v>Loyers</v>
      </c>
      <c r="K276" s="33" t="n">
        <f aca="false">IF(H276="Recette",G276,IF(H276="Dépense",-G276,0))</f>
        <v>1054.89</v>
      </c>
      <c r="L276" s="33" t="n">
        <f aca="false">IF(E276="",0,G276*IFERROR(INDEX(Catégories!$E$5:$E$60,MATCH(E276,Catégories!$A$5:$A$60,0)),0))</f>
        <v>1054.89</v>
      </c>
      <c r="M276" s="30" t="s">
        <v>129</v>
      </c>
      <c r="N276" s="30" t="s">
        <v>130</v>
      </c>
      <c r="O276" s="30"/>
    </row>
    <row r="277" customFormat="false" ht="15" hidden="false" customHeight="true" outlineLevel="0" collapsed="false">
      <c r="A277" s="28" t="n">
        <v>46297</v>
      </c>
      <c r="B277" s="29" t="n">
        <f aca="false">IF(A277="","",YEAR(A277))</f>
        <v>2026</v>
      </c>
      <c r="C277" s="30" t="s">
        <v>58</v>
      </c>
      <c r="D277" s="30" t="s">
        <v>126</v>
      </c>
      <c r="E277" s="30" t="s">
        <v>136</v>
      </c>
      <c r="F277" s="30" t="s">
        <v>137</v>
      </c>
      <c r="G277" s="31" t="n">
        <v>63.3</v>
      </c>
      <c r="H277" s="32" t="str">
        <f aca="false">IF(E277="","",IFERROR(INDEX(Catégories!$B$5:$B$60,MATCH(E277,Catégories!$A$5:$A$60,0)),"?"))</f>
        <v>Dépense</v>
      </c>
      <c r="I277" s="32" t="str">
        <f aca="false">IF(E277="","",IFERROR(INDEX(Catégories!$C$5:$C$60,MATCH(E277,Catégories!$A$5:$A$60,0)),"?"))</f>
        <v>Déductible</v>
      </c>
      <c r="J277" s="32" t="str">
        <f aca="false">IF(E277="","",IFERROR(INDEX(Catégories!$D$5:$D$60,MATCH(E277,Catégories!$A$5:$A$60,0)),"?"))</f>
        <v>Frais de gestion</v>
      </c>
      <c r="K277" s="33" t="n">
        <f aca="false">IF(H277="Recette",G277,IF(H277="Dépense",-G277,0))</f>
        <v>-63.3</v>
      </c>
      <c r="L277" s="33" t="n">
        <f aca="false">IF(E277="",0,G277*IFERROR(INDEX(Catégories!$E$5:$E$60,MATCH(E277,Catégories!$A$5:$A$60,0)),0))</f>
        <v>-63.3</v>
      </c>
      <c r="M277" s="30" t="s">
        <v>129</v>
      </c>
      <c r="N277" s="30" t="s">
        <v>130</v>
      </c>
      <c r="O277" s="30"/>
    </row>
    <row r="278" customFormat="false" ht="15" hidden="false" customHeight="true" outlineLevel="0" collapsed="false">
      <c r="A278" s="28" t="n">
        <v>46297</v>
      </c>
      <c r="B278" s="29" t="n">
        <f aca="false">IF(A278="","",YEAR(A278))</f>
        <v>2026</v>
      </c>
      <c r="C278" s="30" t="s">
        <v>58</v>
      </c>
      <c r="D278" s="30" t="s">
        <v>126</v>
      </c>
      <c r="E278" s="30" t="s">
        <v>136</v>
      </c>
      <c r="F278" s="30" t="s">
        <v>138</v>
      </c>
      <c r="G278" s="31" t="n">
        <v>12.66</v>
      </c>
      <c r="H278" s="32" t="str">
        <f aca="false">IF(E278="","",IFERROR(INDEX(Catégories!$B$5:$B$60,MATCH(E278,Catégories!$A$5:$A$60,0)),"?"))</f>
        <v>Dépense</v>
      </c>
      <c r="I278" s="32" t="str">
        <f aca="false">IF(E278="","",IFERROR(INDEX(Catégories!$C$5:$C$60,MATCH(E278,Catégories!$A$5:$A$60,0)),"?"))</f>
        <v>Déductible</v>
      </c>
      <c r="J278" s="32" t="str">
        <f aca="false">IF(E278="","",IFERROR(INDEX(Catégories!$D$5:$D$60,MATCH(E278,Catégories!$A$5:$A$60,0)),"?"))</f>
        <v>Frais de gestion</v>
      </c>
      <c r="K278" s="33" t="n">
        <f aca="false">IF(H278="Recette",G278,IF(H278="Dépense",-G278,0))</f>
        <v>-12.66</v>
      </c>
      <c r="L278" s="33" t="n">
        <f aca="false">IF(E278="",0,G278*IFERROR(INDEX(Catégories!$E$5:$E$60,MATCH(E278,Catégories!$A$5:$A$60,0)),0))</f>
        <v>-12.66</v>
      </c>
      <c r="M278" s="30" t="s">
        <v>129</v>
      </c>
      <c r="N278" s="30" t="s">
        <v>130</v>
      </c>
      <c r="O278" s="30"/>
    </row>
    <row r="279" customFormat="false" ht="15" hidden="false" customHeight="true" outlineLevel="0" collapsed="false">
      <c r="A279" s="28" t="n">
        <v>46297</v>
      </c>
      <c r="B279" s="29" t="n">
        <f aca="false">IF(A279="","",YEAR(A279))</f>
        <v>2026</v>
      </c>
      <c r="C279" s="30" t="s">
        <v>58</v>
      </c>
      <c r="D279" s="30" t="s">
        <v>126</v>
      </c>
      <c r="E279" s="30" t="s">
        <v>139</v>
      </c>
      <c r="F279" s="30" t="s">
        <v>317</v>
      </c>
      <c r="G279" s="31" t="n">
        <v>83.7</v>
      </c>
      <c r="H279" s="32" t="str">
        <f aca="false">IF(E279="","",IFERROR(INDEX(Catégories!$B$5:$B$60,MATCH(E279,Catégories!$A$5:$A$60,0)),"?"))</f>
        <v>Recette</v>
      </c>
      <c r="I279" s="32" t="str">
        <f aca="false">IF(E279="","",IFERROR(INDEX(Catégories!$C$5:$C$60,MATCH(E279,Catégories!$A$5:$A$60,0)),"?"))</f>
        <v>Imposable</v>
      </c>
      <c r="J279" s="32" t="str">
        <f aca="false">IF(E279="","",IFERROR(INDEX(Catégories!$D$5:$D$60,MATCH(E279,Catégories!$A$5:$A$60,0)),"?"))</f>
        <v>Charges refacturées</v>
      </c>
      <c r="K279" s="33" t="n">
        <f aca="false">IF(H279="Recette",G279,IF(H279="Dépense",-G279,0))</f>
        <v>83.7</v>
      </c>
      <c r="L279" s="33" t="n">
        <f aca="false">IF(E279="",0,G279*IFERROR(INDEX(Catégories!$E$5:$E$60,MATCH(E279,Catégories!$A$5:$A$60,0)),0))</f>
        <v>83.7</v>
      </c>
      <c r="M279" s="30" t="s">
        <v>129</v>
      </c>
      <c r="N279" s="30" t="s">
        <v>130</v>
      </c>
      <c r="O279" s="30"/>
    </row>
    <row r="280" customFormat="false" ht="15" hidden="false" customHeight="true" outlineLevel="0" collapsed="false">
      <c r="A280" s="28" t="n">
        <v>46297</v>
      </c>
      <c r="B280" s="29" t="n">
        <f aca="false">IF(A280="","",YEAR(A280))</f>
        <v>2026</v>
      </c>
      <c r="C280" s="30" t="s">
        <v>58</v>
      </c>
      <c r="D280" s="30" t="s">
        <v>126</v>
      </c>
      <c r="E280" s="30" t="s">
        <v>136</v>
      </c>
      <c r="F280" s="30" t="s">
        <v>141</v>
      </c>
      <c r="G280" s="31" t="n">
        <v>5.02</v>
      </c>
      <c r="H280" s="32" t="str">
        <f aca="false">IF(E280="","",IFERROR(INDEX(Catégories!$B$5:$B$60,MATCH(E280,Catégories!$A$5:$A$60,0)),"?"))</f>
        <v>Dépense</v>
      </c>
      <c r="I280" s="32" t="str">
        <f aca="false">IF(E280="","",IFERROR(INDEX(Catégories!$C$5:$C$60,MATCH(E280,Catégories!$A$5:$A$60,0)),"?"))</f>
        <v>Déductible</v>
      </c>
      <c r="J280" s="32" t="str">
        <f aca="false">IF(E280="","",IFERROR(INDEX(Catégories!$D$5:$D$60,MATCH(E280,Catégories!$A$5:$A$60,0)),"?"))</f>
        <v>Frais de gestion</v>
      </c>
      <c r="K280" s="33" t="n">
        <f aca="false">IF(H280="Recette",G280,IF(H280="Dépense",-G280,0))</f>
        <v>-5.02</v>
      </c>
      <c r="L280" s="33" t="n">
        <f aca="false">IF(E280="",0,G280*IFERROR(INDEX(Catégories!$E$5:$E$60,MATCH(E280,Catégories!$A$5:$A$60,0)),0))</f>
        <v>-5.02</v>
      </c>
      <c r="M280" s="30" t="s">
        <v>129</v>
      </c>
      <c r="N280" s="30" t="s">
        <v>130</v>
      </c>
      <c r="O280" s="30"/>
    </row>
    <row r="281" customFormat="false" ht="15" hidden="false" customHeight="true" outlineLevel="0" collapsed="false">
      <c r="A281" s="28" t="n">
        <v>46297</v>
      </c>
      <c r="B281" s="29" t="n">
        <f aca="false">IF(A281="","",YEAR(A281))</f>
        <v>2026</v>
      </c>
      <c r="C281" s="30" t="s">
        <v>58</v>
      </c>
      <c r="D281" s="30" t="s">
        <v>126</v>
      </c>
      <c r="E281" s="30" t="s">
        <v>136</v>
      </c>
      <c r="F281" s="30" t="s">
        <v>142</v>
      </c>
      <c r="G281" s="31" t="n">
        <v>1</v>
      </c>
      <c r="H281" s="32" t="str">
        <f aca="false">IF(E281="","",IFERROR(INDEX(Catégories!$B$5:$B$60,MATCH(E281,Catégories!$A$5:$A$60,0)),"?"))</f>
        <v>Dépense</v>
      </c>
      <c r="I281" s="32" t="str">
        <f aca="false">IF(E281="","",IFERROR(INDEX(Catégories!$C$5:$C$60,MATCH(E281,Catégories!$A$5:$A$60,0)),"?"))</f>
        <v>Déductible</v>
      </c>
      <c r="J281" s="32" t="str">
        <f aca="false">IF(E281="","",IFERROR(INDEX(Catégories!$D$5:$D$60,MATCH(E281,Catégories!$A$5:$A$60,0)),"?"))</f>
        <v>Frais de gestion</v>
      </c>
      <c r="K281" s="33" t="n">
        <f aca="false">IF(H281="Recette",G281,IF(H281="Dépense",-G281,0))</f>
        <v>-1</v>
      </c>
      <c r="L281" s="33" t="n">
        <f aca="false">IF(E281="",0,G281*IFERROR(INDEX(Catégories!$E$5:$E$60,MATCH(E281,Catégories!$A$5:$A$60,0)),0))</f>
        <v>-1</v>
      </c>
      <c r="M281" s="30" t="s">
        <v>129</v>
      </c>
      <c r="N281" s="30" t="s">
        <v>130</v>
      </c>
      <c r="O281" s="30"/>
    </row>
    <row r="282" customFormat="false" ht="15" hidden="false" customHeight="true" outlineLevel="0" collapsed="false">
      <c r="A282" s="28" t="n">
        <v>46300</v>
      </c>
      <c r="B282" s="29" t="n">
        <f aca="false">IF(A282="","",YEAR(A282))</f>
        <v>2026</v>
      </c>
      <c r="C282" s="30" t="s">
        <v>58</v>
      </c>
      <c r="D282" s="30" t="s">
        <v>126</v>
      </c>
      <c r="E282" s="30" t="s">
        <v>168</v>
      </c>
      <c r="F282" s="30" t="s">
        <v>318</v>
      </c>
      <c r="G282" s="31" t="n">
        <v>115</v>
      </c>
      <c r="H282" s="32" t="str">
        <f aca="false">IF(E282="","",IFERROR(INDEX(Catégories!$B$5:$B$60,MATCH(E282,Catégories!$A$5:$A$60,0)),"?"))</f>
        <v>Transfert</v>
      </c>
      <c r="I282" s="32" t="str">
        <f aca="false">IF(E282="","",IFERROR(INDEX(Catégories!$C$5:$C$60,MATCH(E282,Catégories!$A$5:$A$60,0)),"?"))</f>
        <v>Non fiscal</v>
      </c>
      <c r="J282" s="32" t="str">
        <f aca="false">IF(E282="","",IFERROR(INDEX(Catégories!$D$5:$D$60,MATCH(E282,Catégories!$A$5:$A$60,0)),"?"))</f>
        <v>Mouvements internes</v>
      </c>
      <c r="K282" s="33" t="n">
        <f aca="false">IF(H282="Recette",G282,IF(H282="Dépense",-G282,0))</f>
        <v>0</v>
      </c>
      <c r="L282" s="33" t="n">
        <f aca="false">IF(E282="",0,G282*IFERROR(INDEX(Catégories!$E$5:$E$60,MATCH(E282,Catégories!$A$5:$A$60,0)),0))</f>
        <v>-115</v>
      </c>
      <c r="M282" s="30" t="s">
        <v>129</v>
      </c>
      <c r="N282" s="30" t="s">
        <v>130</v>
      </c>
      <c r="O282" s="30" t="s">
        <v>309</v>
      </c>
    </row>
    <row r="283" customFormat="false" ht="15" hidden="false" customHeight="true" outlineLevel="0" collapsed="false">
      <c r="A283" s="28" t="n">
        <v>46300</v>
      </c>
      <c r="B283" s="29" t="n">
        <f aca="false">IF(A283="","",YEAR(A283))</f>
        <v>2026</v>
      </c>
      <c r="C283" s="30" t="s">
        <v>58</v>
      </c>
      <c r="D283" s="30" t="s">
        <v>126</v>
      </c>
      <c r="E283" s="30" t="s">
        <v>168</v>
      </c>
      <c r="F283" s="30" t="s">
        <v>169</v>
      </c>
      <c r="G283" s="31" t="n">
        <v>941.61</v>
      </c>
      <c r="H283" s="32" t="str">
        <f aca="false">IF(E283="","",IFERROR(INDEX(Catégories!$B$5:$B$60,MATCH(E283,Catégories!$A$5:$A$60,0)),"?"))</f>
        <v>Transfert</v>
      </c>
      <c r="I283" s="32" t="str">
        <f aca="false">IF(E283="","",IFERROR(INDEX(Catégories!$C$5:$C$60,MATCH(E283,Catégories!$A$5:$A$60,0)),"?"))</f>
        <v>Non fiscal</v>
      </c>
      <c r="J283" s="32" t="str">
        <f aca="false">IF(E283="","",IFERROR(INDEX(Catégories!$D$5:$D$60,MATCH(E283,Catégories!$A$5:$A$60,0)),"?"))</f>
        <v>Mouvements internes</v>
      </c>
      <c r="K283" s="33" t="n">
        <f aca="false">IF(H283="Recette",G283,IF(H283="Dépense",-G283,0))</f>
        <v>0</v>
      </c>
      <c r="L283" s="33" t="n">
        <f aca="false">IF(E283="",0,G283*IFERROR(INDEX(Catégories!$E$5:$E$60,MATCH(E283,Catégories!$A$5:$A$60,0)),0))</f>
        <v>-941.61</v>
      </c>
      <c r="M283" s="30" t="s">
        <v>129</v>
      </c>
      <c r="N283" s="30" t="s">
        <v>130</v>
      </c>
      <c r="O283" s="30"/>
    </row>
    <row r="284" customFormat="false" ht="15" hidden="false" customHeight="true" outlineLevel="0" collapsed="false">
      <c r="A284" s="28" t="n">
        <v>46300</v>
      </c>
      <c r="B284" s="29" t="n">
        <f aca="false">IF(A284="","",YEAR(A284))</f>
        <v>2026</v>
      </c>
      <c r="C284" s="30" t="s">
        <v>58</v>
      </c>
      <c r="D284" s="30" t="s">
        <v>148</v>
      </c>
      <c r="E284" s="30" t="s">
        <v>233</v>
      </c>
      <c r="F284" s="30" t="s">
        <v>319</v>
      </c>
      <c r="G284" s="31" t="n">
        <v>558</v>
      </c>
      <c r="H284" s="32" t="str">
        <f aca="false">IF(E284="","",IFERROR(INDEX(Catégories!$B$5:$B$60,MATCH(E284,Catégories!$A$5:$A$60,0)),"?"))</f>
        <v>Dépense</v>
      </c>
      <c r="I284" s="32" t="str">
        <f aca="false">IF(E284="","",IFERROR(INDEX(Catégories!$C$5:$C$60,MATCH(E284,Catégories!$A$5:$A$60,0)),"?"))</f>
        <v>Déductible</v>
      </c>
      <c r="J284" s="32" t="str">
        <f aca="false">IF(E284="","",IFERROR(INDEX(Catégories!$D$5:$D$60,MATCH(E284,Catégories!$A$5:$A$60,0)),"?"))</f>
        <v>Frais de gestion</v>
      </c>
      <c r="K284" s="33" t="n">
        <f aca="false">IF(H284="Recette",G284,IF(H284="Dépense",-G284,0))</f>
        <v>-558</v>
      </c>
      <c r="L284" s="33" t="n">
        <f aca="false">IF(E284="",0,G284*IFERROR(INDEX(Catégories!$E$5:$E$60,MATCH(E284,Catégories!$A$5:$A$60,0)),0))</f>
        <v>-558</v>
      </c>
      <c r="M284" s="30" t="s">
        <v>150</v>
      </c>
      <c r="N284" s="30" t="s">
        <v>151</v>
      </c>
      <c r="O284" s="30" t="s">
        <v>320</v>
      </c>
    </row>
    <row r="285" customFormat="false" ht="15" hidden="false" customHeight="true" outlineLevel="0" collapsed="false">
      <c r="A285" s="28" t="n">
        <v>46310</v>
      </c>
      <c r="B285" s="29" t="n">
        <f aca="false">IF(A285="","",YEAR(A285))</f>
        <v>2026</v>
      </c>
      <c r="C285" s="30" t="s">
        <v>58</v>
      </c>
      <c r="D285" s="30" t="s">
        <v>148</v>
      </c>
      <c r="E285" s="30" t="s">
        <v>190</v>
      </c>
      <c r="F285" s="30" t="s">
        <v>321</v>
      </c>
      <c r="G285" s="31" t="n">
        <v>566.37</v>
      </c>
      <c r="H285" s="32" t="str">
        <f aca="false">IF(E285="","",IFERROR(INDEX(Catégories!$B$5:$B$60,MATCH(E285,Catégories!$A$5:$A$60,0)),"?"))</f>
        <v>Dépense</v>
      </c>
      <c r="I285" s="32" t="str">
        <f aca="false">IF(E285="","",IFERROR(INDEX(Catégories!$C$5:$C$60,MATCH(E285,Catégories!$A$5:$A$60,0)),"?"))</f>
        <v>Déductible</v>
      </c>
      <c r="J285" s="32" t="str">
        <f aca="false">IF(E285="","",IFERROR(INDEX(Catégories!$D$5:$D$60,MATCH(E285,Catégories!$A$5:$A$60,0)),"?"))</f>
        <v>Impôts et taxes</v>
      </c>
      <c r="K285" s="33" t="n">
        <f aca="false">IF(H285="Recette",G285,IF(H285="Dépense",-G285,0))</f>
        <v>-566.37</v>
      </c>
      <c r="L285" s="33" t="n">
        <f aca="false">IF(E285="",0,G285*IFERROR(INDEX(Catégories!$E$5:$E$60,MATCH(E285,Catégories!$A$5:$A$60,0)),0))</f>
        <v>-566.37</v>
      </c>
      <c r="M285" s="30" t="s">
        <v>322</v>
      </c>
      <c r="N285" s="30" t="s">
        <v>151</v>
      </c>
      <c r="O285" s="30" t="s">
        <v>323</v>
      </c>
    </row>
    <row r="286" customFormat="false" ht="15" hidden="false" customHeight="true" outlineLevel="0" collapsed="false">
      <c r="A286" s="28" t="n">
        <v>46311</v>
      </c>
      <c r="B286" s="29" t="n">
        <f aca="false">IF(A286="","",YEAR(A286))</f>
        <v>2026</v>
      </c>
      <c r="C286" s="30" t="s">
        <v>58</v>
      </c>
      <c r="D286" s="30" t="s">
        <v>126</v>
      </c>
      <c r="E286" s="30" t="s">
        <v>228</v>
      </c>
      <c r="F286" s="30" t="s">
        <v>324</v>
      </c>
      <c r="G286" s="31" t="n">
        <v>368.79</v>
      </c>
      <c r="H286" s="32" t="str">
        <f aca="false">IF(E286="","",IFERROR(INDEX(Catégories!$B$5:$B$60,MATCH(E286,Catégories!$A$5:$A$60,0)),"?"))</f>
        <v>Transfert</v>
      </c>
      <c r="I286" s="32" t="str">
        <f aca="false">IF(E286="","",IFERROR(INDEX(Catégories!$C$5:$C$60,MATCH(E286,Catégories!$A$5:$A$60,0)),"?"))</f>
        <v>Non fiscal</v>
      </c>
      <c r="J286" s="32" t="str">
        <f aca="false">IF(E286="","",IFERROR(INDEX(Catégories!$D$5:$D$60,MATCH(E286,Catégories!$A$5:$A$60,0)),"?"))</f>
        <v>Mouvements internes</v>
      </c>
      <c r="K286" s="33" t="n">
        <f aca="false">IF(H286="Recette",G286,IF(H286="Dépense",-G286,0))</f>
        <v>0</v>
      </c>
      <c r="L286" s="33" t="n">
        <f aca="false">IF(E286="",0,G286*IFERROR(INDEX(Catégories!$E$5:$E$60,MATCH(E286,Catégories!$A$5:$A$60,0)),0))</f>
        <v>368.79</v>
      </c>
      <c r="M286" s="30" t="s">
        <v>129</v>
      </c>
      <c r="N286" s="30" t="s">
        <v>130</v>
      </c>
      <c r="O286" s="30" t="s">
        <v>311</v>
      </c>
    </row>
    <row r="287" customFormat="false" ht="15" hidden="false" customHeight="true" outlineLevel="0" collapsed="false">
      <c r="A287" s="28" t="n">
        <v>46311</v>
      </c>
      <c r="B287" s="29" t="n">
        <f aca="false">IF(A287="","",YEAR(A287))</f>
        <v>2026</v>
      </c>
      <c r="C287" s="30" t="s">
        <v>58</v>
      </c>
      <c r="D287" s="30" t="s">
        <v>126</v>
      </c>
      <c r="E287" s="30" t="s">
        <v>161</v>
      </c>
      <c r="F287" s="30" t="s">
        <v>325</v>
      </c>
      <c r="G287" s="31" t="n">
        <v>358.05</v>
      </c>
      <c r="H287" s="32" t="str">
        <f aca="false">IF(E287="","",IFERROR(INDEX(Catégories!$B$5:$B$60,MATCH(E287,Catégories!$A$5:$A$60,0)),"?"))</f>
        <v>Dépense</v>
      </c>
      <c r="I287" s="32" t="str">
        <f aca="false">IF(E287="","",IFERROR(INDEX(Catégories!$C$5:$C$60,MATCH(E287,Catégories!$A$5:$A$60,0)),"?"))</f>
        <v>Déductible</v>
      </c>
      <c r="J287" s="32" t="str">
        <f aca="false">IF(E287="","",IFERROR(INDEX(Catégories!$D$5:$D$60,MATCH(E287,Catégories!$A$5:$A$60,0)),"?"))</f>
        <v>Entretien et petit équipement</v>
      </c>
      <c r="K287" s="33" t="n">
        <f aca="false">IF(H287="Recette",G287,IF(H287="Dépense",-G287,0))</f>
        <v>-358.05</v>
      </c>
      <c r="L287" s="33" t="n">
        <f aca="false">IF(E287="",0,G287*IFERROR(INDEX(Catégories!$E$5:$E$60,MATCH(E287,Catégories!$A$5:$A$60,0)),0))</f>
        <v>-358.05</v>
      </c>
      <c r="M287" s="30" t="s">
        <v>129</v>
      </c>
      <c r="N287" s="30" t="s">
        <v>130</v>
      </c>
      <c r="O287" s="30"/>
    </row>
    <row r="288" customFormat="false" ht="15" hidden="false" customHeight="true" outlineLevel="0" collapsed="false">
      <c r="A288" s="28" t="n">
        <v>46311</v>
      </c>
      <c r="B288" s="29" t="n">
        <f aca="false">IF(A288="","",YEAR(A288))</f>
        <v>2026</v>
      </c>
      <c r="C288" s="30" t="s">
        <v>58</v>
      </c>
      <c r="D288" s="30" t="s">
        <v>126</v>
      </c>
      <c r="E288" s="30" t="s">
        <v>158</v>
      </c>
      <c r="F288" s="30" t="s">
        <v>326</v>
      </c>
      <c r="G288" s="31" t="n">
        <v>8.96</v>
      </c>
      <c r="H288" s="32" t="str">
        <f aca="false">IF(E288="","",IFERROR(INDEX(Catégories!$B$5:$B$60,MATCH(E288,Catégories!$A$5:$A$60,0)),"?"))</f>
        <v>Dépense</v>
      </c>
      <c r="I288" s="32" t="str">
        <f aca="false">IF(E288="","",IFERROR(INDEX(Catégories!$C$5:$C$60,MATCH(E288,Catégories!$A$5:$A$60,0)),"?"))</f>
        <v>Déductible</v>
      </c>
      <c r="J288" s="32" t="str">
        <f aca="false">IF(E288="","",IFERROR(INDEX(Catégories!$D$5:$D$60,MATCH(E288,Catégories!$A$5:$A$60,0)),"?"))</f>
        <v>Frais de gestion</v>
      </c>
      <c r="K288" s="33" t="n">
        <f aca="false">IF(H288="Recette",G288,IF(H288="Dépense",-G288,0))</f>
        <v>-8.96</v>
      </c>
      <c r="L288" s="33" t="n">
        <f aca="false">IF(E288="",0,G288*IFERROR(INDEX(Catégories!$E$5:$E$60,MATCH(E288,Catégories!$A$5:$A$60,0)),0))</f>
        <v>-8.96</v>
      </c>
      <c r="M288" s="30" t="s">
        <v>129</v>
      </c>
      <c r="N288" s="30" t="s">
        <v>130</v>
      </c>
      <c r="O288" s="30"/>
    </row>
    <row r="289" customFormat="false" ht="15" hidden="false" customHeight="true" outlineLevel="0" collapsed="false">
      <c r="A289" s="28" t="n">
        <v>46311</v>
      </c>
      <c r="B289" s="29" t="n">
        <f aca="false">IF(A289="","",YEAR(A289))</f>
        <v>2026</v>
      </c>
      <c r="C289" s="30" t="s">
        <v>58</v>
      </c>
      <c r="D289" s="30" t="s">
        <v>126</v>
      </c>
      <c r="E289" s="30" t="s">
        <v>158</v>
      </c>
      <c r="F289" s="30" t="s">
        <v>327</v>
      </c>
      <c r="G289" s="31" t="n">
        <v>1.79</v>
      </c>
      <c r="H289" s="32" t="str">
        <f aca="false">IF(E289="","",IFERROR(INDEX(Catégories!$B$5:$B$60,MATCH(E289,Catégories!$A$5:$A$60,0)),"?"))</f>
        <v>Dépense</v>
      </c>
      <c r="I289" s="32" t="str">
        <f aca="false">IF(E289="","",IFERROR(INDEX(Catégories!$C$5:$C$60,MATCH(E289,Catégories!$A$5:$A$60,0)),"?"))</f>
        <v>Déductible</v>
      </c>
      <c r="J289" s="32" t="str">
        <f aca="false">IF(E289="","",IFERROR(INDEX(Catégories!$D$5:$D$60,MATCH(E289,Catégories!$A$5:$A$60,0)),"?"))</f>
        <v>Frais de gestion</v>
      </c>
      <c r="K289" s="33" t="n">
        <f aca="false">IF(H289="Recette",G289,IF(H289="Dépense",-G289,0))</f>
        <v>-1.79</v>
      </c>
      <c r="L289" s="33" t="n">
        <f aca="false">IF(E289="",0,G289*IFERROR(INDEX(Catégories!$E$5:$E$60,MATCH(E289,Catégories!$A$5:$A$60,0)),0))</f>
        <v>-1.79</v>
      </c>
      <c r="M289" s="30" t="s">
        <v>129</v>
      </c>
      <c r="N289" s="30" t="s">
        <v>130</v>
      </c>
      <c r="O289" s="30"/>
    </row>
    <row r="290" customFormat="false" ht="15" hidden="false" customHeight="true" outlineLevel="0" collapsed="false">
      <c r="A290" s="28" t="n">
        <v>46314</v>
      </c>
      <c r="B290" s="29" t="n">
        <f aca="false">IF(A290="","",YEAR(A290))</f>
        <v>2026</v>
      </c>
      <c r="C290" s="30" t="s">
        <v>58</v>
      </c>
      <c r="D290" s="30" t="s">
        <v>148</v>
      </c>
      <c r="E290" s="30" t="s">
        <v>180</v>
      </c>
      <c r="F290" s="30" t="s">
        <v>181</v>
      </c>
      <c r="G290" s="31" t="n">
        <v>1006.81</v>
      </c>
      <c r="H290" s="32" t="str">
        <f aca="false">IF(E290="","",IFERROR(INDEX(Catégories!$B$5:$B$60,MATCH(E290,Catégories!$A$5:$A$60,0)),"?"))</f>
        <v>Dépense</v>
      </c>
      <c r="I290" s="32" t="str">
        <f aca="false">IF(E290="","",IFERROR(INDEX(Catégories!$C$5:$C$60,MATCH(E290,Catégories!$A$5:$A$60,0)),"?"))</f>
        <v>Déductible</v>
      </c>
      <c r="J290" s="32" t="str">
        <f aca="false">IF(E290="","",IFERROR(INDEX(Catégories!$D$5:$D$60,MATCH(E290,Catégories!$A$5:$A$60,0)),"?"))</f>
        <v>Copropriété</v>
      </c>
      <c r="K290" s="33" t="n">
        <f aca="false">IF(H290="Recette",G290,IF(H290="Dépense",-G290,0))</f>
        <v>-1006.81</v>
      </c>
      <c r="L290" s="33" t="n">
        <f aca="false">IF(E290="",0,G290*IFERROR(INDEX(Catégories!$E$5:$E$60,MATCH(E290,Catégories!$A$5:$A$60,0)),0))</f>
        <v>-1006.81</v>
      </c>
      <c r="M290" s="30" t="s">
        <v>328</v>
      </c>
      <c r="N290" s="30" t="s">
        <v>151</v>
      </c>
      <c r="O290" s="30"/>
    </row>
    <row r="291" customFormat="false" ht="15" hidden="false" customHeight="true" outlineLevel="0" collapsed="false">
      <c r="A291" s="28" t="n">
        <v>46327</v>
      </c>
      <c r="B291" s="29" t="n">
        <f aca="false">IF(A291="","",YEAR(A291))</f>
        <v>2026</v>
      </c>
      <c r="C291" s="30" t="s">
        <v>58</v>
      </c>
      <c r="D291" s="30" t="s">
        <v>126</v>
      </c>
      <c r="E291" s="30" t="s">
        <v>193</v>
      </c>
      <c r="F291" s="30" t="s">
        <v>329</v>
      </c>
      <c r="G291" s="31" t="n">
        <v>83.7</v>
      </c>
      <c r="H291" s="32" t="str">
        <f aca="false">IF(E291="","",IFERROR(INDEX(Catégories!$B$5:$B$60,MATCH(E291,Catégories!$A$5:$A$60,0)),"?"))</f>
        <v>Recette</v>
      </c>
      <c r="I291" s="32" t="str">
        <f aca="false">IF(E291="","",IFERROR(INDEX(Catégories!$C$5:$C$60,MATCH(E291,Catégories!$A$5:$A$60,0)),"?"))</f>
        <v>Imposable</v>
      </c>
      <c r="J291" s="32" t="str">
        <f aca="false">IF(E291="","",IFERROR(INDEX(Catégories!$D$5:$D$60,MATCH(E291,Catégories!$A$5:$A$60,0)),"?"))</f>
        <v>Charges refacturées</v>
      </c>
      <c r="K291" s="33" t="n">
        <f aca="false">IF(H291="Recette",G291,IF(H291="Dépense",-G291,0))</f>
        <v>83.7</v>
      </c>
      <c r="L291" s="33" t="n">
        <f aca="false">IF(E291="",0,G291*IFERROR(INDEX(Catégories!$E$5:$E$60,MATCH(E291,Catégories!$A$5:$A$60,0)),0))</f>
        <v>83.7</v>
      </c>
      <c r="M291" s="30" t="s">
        <v>129</v>
      </c>
      <c r="N291" s="30" t="s">
        <v>130</v>
      </c>
      <c r="O291" s="30"/>
    </row>
    <row r="292" customFormat="false" ht="15" hidden="false" customHeight="true" outlineLevel="0" collapsed="false">
      <c r="A292" s="28" t="n">
        <v>46327</v>
      </c>
      <c r="B292" s="29" t="n">
        <f aca="false">IF(A292="","",YEAR(A292))</f>
        <v>2026</v>
      </c>
      <c r="C292" s="30" t="s">
        <v>58</v>
      </c>
      <c r="D292" s="30" t="s">
        <v>126</v>
      </c>
      <c r="E292" s="30" t="s">
        <v>136</v>
      </c>
      <c r="F292" s="30" t="s">
        <v>330</v>
      </c>
      <c r="G292" s="31" t="n">
        <v>5.02</v>
      </c>
      <c r="H292" s="32" t="str">
        <f aca="false">IF(E292="","",IFERROR(INDEX(Catégories!$B$5:$B$60,MATCH(E292,Catégories!$A$5:$A$60,0)),"?"))</f>
        <v>Dépense</v>
      </c>
      <c r="I292" s="32" t="str">
        <f aca="false">IF(E292="","",IFERROR(INDEX(Catégories!$C$5:$C$60,MATCH(E292,Catégories!$A$5:$A$60,0)),"?"))</f>
        <v>Déductible</v>
      </c>
      <c r="J292" s="32" t="str">
        <f aca="false">IF(E292="","",IFERROR(INDEX(Catégories!$D$5:$D$60,MATCH(E292,Catégories!$A$5:$A$60,0)),"?"))</f>
        <v>Frais de gestion</v>
      </c>
      <c r="K292" s="33" t="n">
        <f aca="false">IF(H292="Recette",G292,IF(H292="Dépense",-G292,0))</f>
        <v>-5.02</v>
      </c>
      <c r="L292" s="33" t="n">
        <f aca="false">IF(E292="",0,G292*IFERROR(INDEX(Catégories!$E$5:$E$60,MATCH(E292,Catégories!$A$5:$A$60,0)),0))</f>
        <v>-5.02</v>
      </c>
      <c r="M292" s="30" t="s">
        <v>129</v>
      </c>
      <c r="N292" s="30" t="s">
        <v>130</v>
      </c>
      <c r="O292" s="30"/>
    </row>
    <row r="293" customFormat="false" ht="15" hidden="false" customHeight="true" outlineLevel="0" collapsed="false">
      <c r="A293" s="28" t="n">
        <v>46327</v>
      </c>
      <c r="B293" s="29" t="n">
        <f aca="false">IF(A293="","",YEAR(A293))</f>
        <v>2026</v>
      </c>
      <c r="C293" s="30" t="s">
        <v>58</v>
      </c>
      <c r="D293" s="30" t="s">
        <v>126</v>
      </c>
      <c r="E293" s="30" t="s">
        <v>136</v>
      </c>
      <c r="F293" s="30" t="s">
        <v>331</v>
      </c>
      <c r="G293" s="31" t="n">
        <v>1</v>
      </c>
      <c r="H293" s="32" t="str">
        <f aca="false">IF(E293="","",IFERROR(INDEX(Catégories!$B$5:$B$60,MATCH(E293,Catégories!$A$5:$A$60,0)),"?"))</f>
        <v>Dépense</v>
      </c>
      <c r="I293" s="32" t="str">
        <f aca="false">IF(E293="","",IFERROR(INDEX(Catégories!$C$5:$C$60,MATCH(E293,Catégories!$A$5:$A$60,0)),"?"))</f>
        <v>Déductible</v>
      </c>
      <c r="J293" s="32" t="str">
        <f aca="false">IF(E293="","",IFERROR(INDEX(Catégories!$D$5:$D$60,MATCH(E293,Catégories!$A$5:$A$60,0)),"?"))</f>
        <v>Frais de gestion</v>
      </c>
      <c r="K293" s="33" t="n">
        <f aca="false">IF(H293="Recette",G293,IF(H293="Dépense",-G293,0))</f>
        <v>-1</v>
      </c>
      <c r="L293" s="33" t="n">
        <f aca="false">IF(E293="",0,G293*IFERROR(INDEX(Catégories!$E$5:$E$60,MATCH(E293,Catégories!$A$5:$A$60,0)),0))</f>
        <v>-1</v>
      </c>
      <c r="M293" s="30" t="s">
        <v>129</v>
      </c>
      <c r="N293" s="30" t="s">
        <v>130</v>
      </c>
      <c r="O293" s="30"/>
    </row>
    <row r="294" customFormat="false" ht="15" hidden="false" customHeight="true" outlineLevel="0" collapsed="false">
      <c r="A294" s="34"/>
      <c r="B294" s="29" t="str">
        <f aca="false">IF(A294="","",YEAR(A294))</f>
        <v/>
      </c>
      <c r="G294" s="35"/>
      <c r="H294" s="32" t="str">
        <f aca="false">IF(E294="","",IFERROR(INDEX(Catégories!$B$5:$B$60,MATCH(E294,Catégories!$A$5:$A$60,0)),"?"))</f>
        <v/>
      </c>
      <c r="I294" s="32" t="str">
        <f aca="false">IF(E294="","",IFERROR(INDEX(Catégories!$C$5:$C$60,MATCH(E294,Catégories!$A$5:$A$60,0)),"?"))</f>
        <v/>
      </c>
      <c r="J294" s="32" t="str">
        <f aca="false">IF(E294="","",IFERROR(INDEX(Catégories!$D$5:$D$60,MATCH(E294,Catégories!$A$5:$A$60,0)),"?"))</f>
        <v/>
      </c>
      <c r="K294" s="33" t="n">
        <f aca="false">IF(H294="Recette",G294,IF(H294="Dépense",-G294,0))</f>
        <v>0</v>
      </c>
      <c r="L294" s="33" t="n">
        <f aca="false">IF(E294="",0,G294*IFERROR(INDEX(Catégories!$E$5:$E$60,MATCH(E294,Catégories!$A$5:$A$60,0)),0))</f>
        <v>0</v>
      </c>
    </row>
    <row r="295" customFormat="false" ht="15" hidden="false" customHeight="true" outlineLevel="0" collapsed="false">
      <c r="A295" s="34"/>
      <c r="B295" s="29" t="str">
        <f aca="false">IF(A295="","",YEAR(A295))</f>
        <v/>
      </c>
      <c r="G295" s="35"/>
      <c r="H295" s="32" t="str">
        <f aca="false">IF(E295="","",IFERROR(INDEX(Catégories!$B$5:$B$60,MATCH(E295,Catégories!$A$5:$A$60,0)),"?"))</f>
        <v/>
      </c>
      <c r="I295" s="32" t="str">
        <f aca="false">IF(E295="","",IFERROR(INDEX(Catégories!$C$5:$C$60,MATCH(E295,Catégories!$A$5:$A$60,0)),"?"))</f>
        <v/>
      </c>
      <c r="J295" s="32" t="str">
        <f aca="false">IF(E295="","",IFERROR(INDEX(Catégories!$D$5:$D$60,MATCH(E295,Catégories!$A$5:$A$60,0)),"?"))</f>
        <v/>
      </c>
      <c r="K295" s="33" t="n">
        <f aca="false">IF(H295="Recette",G295,IF(H295="Dépense",-G295,0))</f>
        <v>0</v>
      </c>
      <c r="L295" s="33" t="n">
        <f aca="false">IF(E295="",0,G295*IFERROR(INDEX(Catégories!$E$5:$E$60,MATCH(E295,Catégories!$A$5:$A$60,0)),0))</f>
        <v>0</v>
      </c>
    </row>
    <row r="296" customFormat="false" ht="15" hidden="false" customHeight="true" outlineLevel="0" collapsed="false">
      <c r="A296" s="34"/>
      <c r="B296" s="29" t="str">
        <f aca="false">IF(A296="","",YEAR(A296))</f>
        <v/>
      </c>
      <c r="G296" s="35"/>
      <c r="H296" s="32" t="str">
        <f aca="false">IF(E296="","",IFERROR(INDEX(Catégories!$B$5:$B$60,MATCH(E296,Catégories!$A$5:$A$60,0)),"?"))</f>
        <v/>
      </c>
      <c r="I296" s="32" t="str">
        <f aca="false">IF(E296="","",IFERROR(INDEX(Catégories!$C$5:$C$60,MATCH(E296,Catégories!$A$5:$A$60,0)),"?"))</f>
        <v/>
      </c>
      <c r="J296" s="32" t="str">
        <f aca="false">IF(E296="","",IFERROR(INDEX(Catégories!$D$5:$D$60,MATCH(E296,Catégories!$A$5:$A$60,0)),"?"))</f>
        <v/>
      </c>
      <c r="K296" s="33" t="n">
        <f aca="false">IF(H296="Recette",G296,IF(H296="Dépense",-G296,0))</f>
        <v>0</v>
      </c>
      <c r="L296" s="33" t="n">
        <f aca="false">IF(E296="",0,G296*IFERROR(INDEX(Catégories!$E$5:$E$60,MATCH(E296,Catégories!$A$5:$A$60,0)),0))</f>
        <v>0</v>
      </c>
    </row>
    <row r="297" customFormat="false" ht="15" hidden="false" customHeight="true" outlineLevel="0" collapsed="false">
      <c r="A297" s="34"/>
      <c r="B297" s="29" t="str">
        <f aca="false">IF(A297="","",YEAR(A297))</f>
        <v/>
      </c>
      <c r="G297" s="35"/>
      <c r="H297" s="32" t="str">
        <f aca="false">IF(E297="","",IFERROR(INDEX(Catégories!$B$5:$B$60,MATCH(E297,Catégories!$A$5:$A$60,0)),"?"))</f>
        <v/>
      </c>
      <c r="I297" s="32" t="str">
        <f aca="false">IF(E297="","",IFERROR(INDEX(Catégories!$C$5:$C$60,MATCH(E297,Catégories!$A$5:$A$60,0)),"?"))</f>
        <v/>
      </c>
      <c r="J297" s="32" t="str">
        <f aca="false">IF(E297="","",IFERROR(INDEX(Catégories!$D$5:$D$60,MATCH(E297,Catégories!$A$5:$A$60,0)),"?"))</f>
        <v/>
      </c>
      <c r="K297" s="33" t="n">
        <f aca="false">IF(H297="Recette",G297,IF(H297="Dépense",-G297,0))</f>
        <v>0</v>
      </c>
      <c r="L297" s="33" t="n">
        <f aca="false">IF(E297="",0,G297*IFERROR(INDEX(Catégories!$E$5:$E$60,MATCH(E297,Catégories!$A$5:$A$60,0)),0))</f>
        <v>0</v>
      </c>
    </row>
    <row r="298" customFormat="false" ht="15" hidden="false" customHeight="true" outlineLevel="0" collapsed="false">
      <c r="A298" s="34"/>
      <c r="B298" s="29" t="str">
        <f aca="false">IF(A298="","",YEAR(A298))</f>
        <v/>
      </c>
      <c r="G298" s="35"/>
      <c r="H298" s="32" t="str">
        <f aca="false">IF(E298="","",IFERROR(INDEX(Catégories!$B$5:$B$60,MATCH(E298,Catégories!$A$5:$A$60,0)),"?"))</f>
        <v/>
      </c>
      <c r="I298" s="32" t="str">
        <f aca="false">IF(E298="","",IFERROR(INDEX(Catégories!$C$5:$C$60,MATCH(E298,Catégories!$A$5:$A$60,0)),"?"))</f>
        <v/>
      </c>
      <c r="J298" s="32" t="str">
        <f aca="false">IF(E298="","",IFERROR(INDEX(Catégories!$D$5:$D$60,MATCH(E298,Catégories!$A$5:$A$60,0)),"?"))</f>
        <v/>
      </c>
      <c r="K298" s="33" t="n">
        <f aca="false">IF(H298="Recette",G298,IF(H298="Dépense",-G298,0))</f>
        <v>0</v>
      </c>
      <c r="L298" s="33" t="n">
        <f aca="false">IF(E298="",0,G298*IFERROR(INDEX(Catégories!$E$5:$E$60,MATCH(E298,Catégories!$A$5:$A$60,0)),0))</f>
        <v>0</v>
      </c>
    </row>
    <row r="299" customFormat="false" ht="15" hidden="false" customHeight="true" outlineLevel="0" collapsed="false">
      <c r="A299" s="34"/>
      <c r="B299" s="29" t="str">
        <f aca="false">IF(A299="","",YEAR(A299))</f>
        <v/>
      </c>
      <c r="G299" s="35"/>
      <c r="H299" s="32" t="str">
        <f aca="false">IF(E299="","",IFERROR(INDEX(Catégories!$B$5:$B$60,MATCH(E299,Catégories!$A$5:$A$60,0)),"?"))</f>
        <v/>
      </c>
      <c r="I299" s="32" t="str">
        <f aca="false">IF(E299="","",IFERROR(INDEX(Catégories!$C$5:$C$60,MATCH(E299,Catégories!$A$5:$A$60,0)),"?"))</f>
        <v/>
      </c>
      <c r="J299" s="32" t="str">
        <f aca="false">IF(E299="","",IFERROR(INDEX(Catégories!$D$5:$D$60,MATCH(E299,Catégories!$A$5:$A$60,0)),"?"))</f>
        <v/>
      </c>
      <c r="K299" s="33" t="n">
        <f aca="false">IF(H299="Recette",G299,IF(H299="Dépense",-G299,0))</f>
        <v>0</v>
      </c>
      <c r="L299" s="33" t="n">
        <f aca="false">IF(E299="",0,G299*IFERROR(INDEX(Catégories!$E$5:$E$60,MATCH(E299,Catégories!$A$5:$A$60,0)),0))</f>
        <v>0</v>
      </c>
    </row>
    <row r="300" customFormat="false" ht="15" hidden="false" customHeight="true" outlineLevel="0" collapsed="false">
      <c r="A300" s="34"/>
      <c r="B300" s="29" t="str">
        <f aca="false">IF(A300="","",YEAR(A300))</f>
        <v/>
      </c>
      <c r="G300" s="35"/>
      <c r="H300" s="32" t="str">
        <f aca="false">IF(E300="","",IFERROR(INDEX(Catégories!$B$5:$B$60,MATCH(E300,Catégories!$A$5:$A$60,0)),"?"))</f>
        <v/>
      </c>
      <c r="I300" s="32" t="str">
        <f aca="false">IF(E300="","",IFERROR(INDEX(Catégories!$C$5:$C$60,MATCH(E300,Catégories!$A$5:$A$60,0)),"?"))</f>
        <v/>
      </c>
      <c r="J300" s="32" t="str">
        <f aca="false">IF(E300="","",IFERROR(INDEX(Catégories!$D$5:$D$60,MATCH(E300,Catégories!$A$5:$A$60,0)),"?"))</f>
        <v/>
      </c>
      <c r="K300" s="33" t="n">
        <f aca="false">IF(H300="Recette",G300,IF(H300="Dépense",-G300,0))</f>
        <v>0</v>
      </c>
      <c r="L300" s="33" t="n">
        <f aca="false">IF(E300="",0,G300*IFERROR(INDEX(Catégories!$E$5:$E$60,MATCH(E300,Catégories!$A$5:$A$60,0)),0))</f>
        <v>0</v>
      </c>
    </row>
    <row r="301" customFormat="false" ht="15" hidden="false" customHeight="true" outlineLevel="0" collapsed="false">
      <c r="A301" s="34"/>
      <c r="B301" s="29" t="str">
        <f aca="false">IF(A301="","",YEAR(A301))</f>
        <v/>
      </c>
      <c r="G301" s="35"/>
      <c r="H301" s="32" t="str">
        <f aca="false">IF(E301="","",IFERROR(INDEX(Catégories!$B$5:$B$60,MATCH(E301,Catégories!$A$5:$A$60,0)),"?"))</f>
        <v/>
      </c>
      <c r="I301" s="32" t="str">
        <f aca="false">IF(E301="","",IFERROR(INDEX(Catégories!$C$5:$C$60,MATCH(E301,Catégories!$A$5:$A$60,0)),"?"))</f>
        <v/>
      </c>
      <c r="J301" s="32" t="str">
        <f aca="false">IF(E301="","",IFERROR(INDEX(Catégories!$D$5:$D$60,MATCH(E301,Catégories!$A$5:$A$60,0)),"?"))</f>
        <v/>
      </c>
      <c r="K301" s="33" t="n">
        <f aca="false">IF(H301="Recette",G301,IF(H301="Dépense",-G301,0))</f>
        <v>0</v>
      </c>
      <c r="L301" s="33" t="n">
        <f aca="false">IF(E301="",0,G301*IFERROR(INDEX(Catégories!$E$5:$E$60,MATCH(E301,Catégories!$A$5:$A$60,0)),0))</f>
        <v>0</v>
      </c>
    </row>
    <row r="302" customFormat="false" ht="15" hidden="false" customHeight="true" outlineLevel="0" collapsed="false">
      <c r="A302" s="34"/>
      <c r="B302" s="29" t="str">
        <f aca="false">IF(A302="","",YEAR(A302))</f>
        <v/>
      </c>
      <c r="G302" s="35"/>
      <c r="H302" s="32" t="str">
        <f aca="false">IF(E302="","",IFERROR(INDEX(Catégories!$B$5:$B$60,MATCH(E302,Catégories!$A$5:$A$60,0)),"?"))</f>
        <v/>
      </c>
      <c r="I302" s="32" t="str">
        <f aca="false">IF(E302="","",IFERROR(INDEX(Catégories!$C$5:$C$60,MATCH(E302,Catégories!$A$5:$A$60,0)),"?"))</f>
        <v/>
      </c>
      <c r="J302" s="32" t="str">
        <f aca="false">IF(E302="","",IFERROR(INDEX(Catégories!$D$5:$D$60,MATCH(E302,Catégories!$A$5:$A$60,0)),"?"))</f>
        <v/>
      </c>
      <c r="K302" s="33" t="n">
        <f aca="false">IF(H302="Recette",G302,IF(H302="Dépense",-G302,0))</f>
        <v>0</v>
      </c>
      <c r="L302" s="33" t="n">
        <f aca="false">IF(E302="",0,G302*IFERROR(INDEX(Catégories!$E$5:$E$60,MATCH(E302,Catégories!$A$5:$A$60,0)),0))</f>
        <v>0</v>
      </c>
    </row>
    <row r="303" customFormat="false" ht="15" hidden="false" customHeight="true" outlineLevel="0" collapsed="false">
      <c r="A303" s="34"/>
      <c r="B303" s="29" t="str">
        <f aca="false">IF(A303="","",YEAR(A303))</f>
        <v/>
      </c>
      <c r="G303" s="35"/>
      <c r="H303" s="32" t="str">
        <f aca="false">IF(E303="","",IFERROR(INDEX(Catégories!$B$5:$B$60,MATCH(E303,Catégories!$A$5:$A$60,0)),"?"))</f>
        <v/>
      </c>
      <c r="I303" s="32" t="str">
        <f aca="false">IF(E303="","",IFERROR(INDEX(Catégories!$C$5:$C$60,MATCH(E303,Catégories!$A$5:$A$60,0)),"?"))</f>
        <v/>
      </c>
      <c r="J303" s="32" t="str">
        <f aca="false">IF(E303="","",IFERROR(INDEX(Catégories!$D$5:$D$60,MATCH(E303,Catégories!$A$5:$A$60,0)),"?"))</f>
        <v/>
      </c>
      <c r="K303" s="33" t="n">
        <f aca="false">IF(H303="Recette",G303,IF(H303="Dépense",-G303,0))</f>
        <v>0</v>
      </c>
      <c r="L303" s="33" t="n">
        <f aca="false">IF(E303="",0,G303*IFERROR(INDEX(Catégories!$E$5:$E$60,MATCH(E303,Catégories!$A$5:$A$60,0)),0))</f>
        <v>0</v>
      </c>
    </row>
    <row r="304" customFormat="false" ht="15" hidden="false" customHeight="true" outlineLevel="0" collapsed="false">
      <c r="A304" s="34"/>
      <c r="B304" s="29" t="str">
        <f aca="false">IF(A304="","",YEAR(A304))</f>
        <v/>
      </c>
      <c r="G304" s="35"/>
      <c r="H304" s="32" t="str">
        <f aca="false">IF(E304="","",IFERROR(INDEX(Catégories!$B$5:$B$60,MATCH(E304,Catégories!$A$5:$A$60,0)),"?"))</f>
        <v/>
      </c>
      <c r="I304" s="32" t="str">
        <f aca="false">IF(E304="","",IFERROR(INDEX(Catégories!$C$5:$C$60,MATCH(E304,Catégories!$A$5:$A$60,0)),"?"))</f>
        <v/>
      </c>
      <c r="J304" s="32" t="str">
        <f aca="false">IF(E304="","",IFERROR(INDEX(Catégories!$D$5:$D$60,MATCH(E304,Catégories!$A$5:$A$60,0)),"?"))</f>
        <v/>
      </c>
      <c r="K304" s="33" t="n">
        <f aca="false">IF(H304="Recette",G304,IF(H304="Dépense",-G304,0))</f>
        <v>0</v>
      </c>
      <c r="L304" s="33" t="n">
        <f aca="false">IF(E304="",0,G304*IFERROR(INDEX(Catégories!$E$5:$E$60,MATCH(E304,Catégories!$A$5:$A$60,0)),0))</f>
        <v>0</v>
      </c>
    </row>
    <row r="305" customFormat="false" ht="15" hidden="false" customHeight="true" outlineLevel="0" collapsed="false">
      <c r="A305" s="34"/>
      <c r="B305" s="29" t="str">
        <f aca="false">IF(A305="","",YEAR(A305))</f>
        <v/>
      </c>
      <c r="G305" s="35"/>
      <c r="H305" s="32" t="str">
        <f aca="false">IF(E305="","",IFERROR(INDEX(Catégories!$B$5:$B$60,MATCH(E305,Catégories!$A$5:$A$60,0)),"?"))</f>
        <v/>
      </c>
      <c r="I305" s="32" t="str">
        <f aca="false">IF(E305="","",IFERROR(INDEX(Catégories!$C$5:$C$60,MATCH(E305,Catégories!$A$5:$A$60,0)),"?"))</f>
        <v/>
      </c>
      <c r="J305" s="32" t="str">
        <f aca="false">IF(E305="","",IFERROR(INDEX(Catégories!$D$5:$D$60,MATCH(E305,Catégories!$A$5:$A$60,0)),"?"))</f>
        <v/>
      </c>
      <c r="K305" s="33" t="n">
        <f aca="false">IF(H305="Recette",G305,IF(H305="Dépense",-G305,0))</f>
        <v>0</v>
      </c>
      <c r="L305" s="33" t="n">
        <f aca="false">IF(E305="",0,G305*IFERROR(INDEX(Catégories!$E$5:$E$60,MATCH(E305,Catégories!$A$5:$A$60,0)),0))</f>
        <v>0</v>
      </c>
    </row>
    <row r="306" customFormat="false" ht="15" hidden="false" customHeight="true" outlineLevel="0" collapsed="false">
      <c r="A306" s="34"/>
      <c r="B306" s="29" t="str">
        <f aca="false">IF(A306="","",YEAR(A306))</f>
        <v/>
      </c>
      <c r="G306" s="35"/>
      <c r="H306" s="32" t="str">
        <f aca="false">IF(E306="","",IFERROR(INDEX(Catégories!$B$5:$B$60,MATCH(E306,Catégories!$A$5:$A$60,0)),"?"))</f>
        <v/>
      </c>
      <c r="I306" s="32" t="str">
        <f aca="false">IF(E306="","",IFERROR(INDEX(Catégories!$C$5:$C$60,MATCH(E306,Catégories!$A$5:$A$60,0)),"?"))</f>
        <v/>
      </c>
      <c r="J306" s="32" t="str">
        <f aca="false">IF(E306="","",IFERROR(INDEX(Catégories!$D$5:$D$60,MATCH(E306,Catégories!$A$5:$A$60,0)),"?"))</f>
        <v/>
      </c>
      <c r="K306" s="33" t="n">
        <f aca="false">IF(H306="Recette",G306,IF(H306="Dépense",-G306,0))</f>
        <v>0</v>
      </c>
      <c r="L306" s="33" t="n">
        <f aca="false">IF(E306="",0,G306*IFERROR(INDEX(Catégories!$E$5:$E$60,MATCH(E306,Catégories!$A$5:$A$60,0)),0))</f>
        <v>0</v>
      </c>
    </row>
    <row r="307" customFormat="false" ht="15" hidden="false" customHeight="true" outlineLevel="0" collapsed="false">
      <c r="A307" s="34"/>
      <c r="B307" s="29" t="str">
        <f aca="false">IF(A307="","",YEAR(A307))</f>
        <v/>
      </c>
      <c r="G307" s="35"/>
      <c r="H307" s="32" t="str">
        <f aca="false">IF(E307="","",IFERROR(INDEX(Catégories!$B$5:$B$60,MATCH(E307,Catégories!$A$5:$A$60,0)),"?"))</f>
        <v/>
      </c>
      <c r="I307" s="32" t="str">
        <f aca="false">IF(E307="","",IFERROR(INDEX(Catégories!$C$5:$C$60,MATCH(E307,Catégories!$A$5:$A$60,0)),"?"))</f>
        <v/>
      </c>
      <c r="J307" s="32" t="str">
        <f aca="false">IF(E307="","",IFERROR(INDEX(Catégories!$D$5:$D$60,MATCH(E307,Catégories!$A$5:$A$60,0)),"?"))</f>
        <v/>
      </c>
      <c r="K307" s="33" t="n">
        <f aca="false">IF(H307="Recette",G307,IF(H307="Dépense",-G307,0))</f>
        <v>0</v>
      </c>
      <c r="L307" s="33" t="n">
        <f aca="false">IF(E307="",0,G307*IFERROR(INDEX(Catégories!$E$5:$E$60,MATCH(E307,Catégories!$A$5:$A$60,0)),0))</f>
        <v>0</v>
      </c>
    </row>
    <row r="308" customFormat="false" ht="15" hidden="false" customHeight="true" outlineLevel="0" collapsed="false">
      <c r="A308" s="34"/>
      <c r="B308" s="29" t="str">
        <f aca="false">IF(A308="","",YEAR(A308))</f>
        <v/>
      </c>
      <c r="G308" s="35"/>
      <c r="H308" s="32" t="str">
        <f aca="false">IF(E308="","",IFERROR(INDEX(Catégories!$B$5:$B$60,MATCH(E308,Catégories!$A$5:$A$60,0)),"?"))</f>
        <v/>
      </c>
      <c r="I308" s="32" t="str">
        <f aca="false">IF(E308="","",IFERROR(INDEX(Catégories!$C$5:$C$60,MATCH(E308,Catégories!$A$5:$A$60,0)),"?"))</f>
        <v/>
      </c>
      <c r="J308" s="32" t="str">
        <f aca="false">IF(E308="","",IFERROR(INDEX(Catégories!$D$5:$D$60,MATCH(E308,Catégories!$A$5:$A$60,0)),"?"))</f>
        <v/>
      </c>
      <c r="K308" s="33" t="n">
        <f aca="false">IF(H308="Recette",G308,IF(H308="Dépense",-G308,0))</f>
        <v>0</v>
      </c>
      <c r="L308" s="33" t="n">
        <f aca="false">IF(E308="",0,G308*IFERROR(INDEX(Catégories!$E$5:$E$60,MATCH(E308,Catégories!$A$5:$A$60,0)),0))</f>
        <v>0</v>
      </c>
    </row>
    <row r="309" customFormat="false" ht="15" hidden="false" customHeight="true" outlineLevel="0" collapsed="false">
      <c r="A309" s="34"/>
      <c r="B309" s="29" t="str">
        <f aca="false">IF(A309="","",YEAR(A309))</f>
        <v/>
      </c>
      <c r="G309" s="35"/>
      <c r="H309" s="32" t="str">
        <f aca="false">IF(E309="","",IFERROR(INDEX(Catégories!$B$5:$B$60,MATCH(E309,Catégories!$A$5:$A$60,0)),"?"))</f>
        <v/>
      </c>
      <c r="I309" s="32" t="str">
        <f aca="false">IF(E309="","",IFERROR(INDEX(Catégories!$C$5:$C$60,MATCH(E309,Catégories!$A$5:$A$60,0)),"?"))</f>
        <v/>
      </c>
      <c r="J309" s="32" t="str">
        <f aca="false">IF(E309="","",IFERROR(INDEX(Catégories!$D$5:$D$60,MATCH(E309,Catégories!$A$5:$A$60,0)),"?"))</f>
        <v/>
      </c>
      <c r="K309" s="33" t="n">
        <f aca="false">IF(H309="Recette",G309,IF(H309="Dépense",-G309,0))</f>
        <v>0</v>
      </c>
      <c r="L309" s="33" t="n">
        <f aca="false">IF(E309="",0,G309*IFERROR(INDEX(Catégories!$E$5:$E$60,MATCH(E309,Catégories!$A$5:$A$60,0)),0))</f>
        <v>0</v>
      </c>
    </row>
    <row r="310" customFormat="false" ht="15" hidden="false" customHeight="true" outlineLevel="0" collapsed="false">
      <c r="A310" s="34"/>
      <c r="B310" s="29" t="str">
        <f aca="false">IF(A310="","",YEAR(A310))</f>
        <v/>
      </c>
      <c r="G310" s="35"/>
      <c r="H310" s="32" t="str">
        <f aca="false">IF(E310="","",IFERROR(INDEX(Catégories!$B$5:$B$60,MATCH(E310,Catégories!$A$5:$A$60,0)),"?"))</f>
        <v/>
      </c>
      <c r="I310" s="32" t="str">
        <f aca="false">IF(E310="","",IFERROR(INDEX(Catégories!$C$5:$C$60,MATCH(E310,Catégories!$A$5:$A$60,0)),"?"))</f>
        <v/>
      </c>
      <c r="J310" s="32" t="str">
        <f aca="false">IF(E310="","",IFERROR(INDEX(Catégories!$D$5:$D$60,MATCH(E310,Catégories!$A$5:$A$60,0)),"?"))</f>
        <v/>
      </c>
      <c r="K310" s="33" t="n">
        <f aca="false">IF(H310="Recette",G310,IF(H310="Dépense",-G310,0))</f>
        <v>0</v>
      </c>
      <c r="L310" s="33" t="n">
        <f aca="false">IF(E310="",0,G310*IFERROR(INDEX(Catégories!$E$5:$E$60,MATCH(E310,Catégories!$A$5:$A$60,0)),0))</f>
        <v>0</v>
      </c>
    </row>
    <row r="311" customFormat="false" ht="15" hidden="false" customHeight="true" outlineLevel="0" collapsed="false">
      <c r="A311" s="34"/>
      <c r="B311" s="29" t="str">
        <f aca="false">IF(A311="","",YEAR(A311))</f>
        <v/>
      </c>
      <c r="G311" s="35"/>
      <c r="H311" s="32" t="str">
        <f aca="false">IF(E311="","",IFERROR(INDEX(Catégories!$B$5:$B$60,MATCH(E311,Catégories!$A$5:$A$60,0)),"?"))</f>
        <v/>
      </c>
      <c r="I311" s="32" t="str">
        <f aca="false">IF(E311="","",IFERROR(INDEX(Catégories!$C$5:$C$60,MATCH(E311,Catégories!$A$5:$A$60,0)),"?"))</f>
        <v/>
      </c>
      <c r="J311" s="32" t="str">
        <f aca="false">IF(E311="","",IFERROR(INDEX(Catégories!$D$5:$D$60,MATCH(E311,Catégories!$A$5:$A$60,0)),"?"))</f>
        <v/>
      </c>
      <c r="K311" s="33" t="n">
        <f aca="false">IF(H311="Recette",G311,IF(H311="Dépense",-G311,0))</f>
        <v>0</v>
      </c>
      <c r="L311" s="33" t="n">
        <f aca="false">IF(E311="",0,G311*IFERROR(INDEX(Catégories!$E$5:$E$60,MATCH(E311,Catégories!$A$5:$A$60,0)),0))</f>
        <v>0</v>
      </c>
    </row>
    <row r="312" customFormat="false" ht="15" hidden="false" customHeight="true" outlineLevel="0" collapsed="false">
      <c r="A312" s="34"/>
      <c r="B312" s="29" t="str">
        <f aca="false">IF(A312="","",YEAR(A312))</f>
        <v/>
      </c>
      <c r="G312" s="35"/>
      <c r="H312" s="32" t="str">
        <f aca="false">IF(E312="","",IFERROR(INDEX(Catégories!$B$5:$B$60,MATCH(E312,Catégories!$A$5:$A$60,0)),"?"))</f>
        <v/>
      </c>
      <c r="I312" s="32" t="str">
        <f aca="false">IF(E312="","",IFERROR(INDEX(Catégories!$C$5:$C$60,MATCH(E312,Catégories!$A$5:$A$60,0)),"?"))</f>
        <v/>
      </c>
      <c r="J312" s="32" t="str">
        <f aca="false">IF(E312="","",IFERROR(INDEX(Catégories!$D$5:$D$60,MATCH(E312,Catégories!$A$5:$A$60,0)),"?"))</f>
        <v/>
      </c>
      <c r="K312" s="33" t="n">
        <f aca="false">IF(H312="Recette",G312,IF(H312="Dépense",-G312,0))</f>
        <v>0</v>
      </c>
      <c r="L312" s="33" t="n">
        <f aca="false">IF(E312="",0,G312*IFERROR(INDEX(Catégories!$E$5:$E$60,MATCH(E312,Catégories!$A$5:$A$60,0)),0))</f>
        <v>0</v>
      </c>
    </row>
    <row r="313" customFormat="false" ht="15" hidden="false" customHeight="true" outlineLevel="0" collapsed="false">
      <c r="A313" s="34"/>
      <c r="B313" s="29" t="str">
        <f aca="false">IF(A313="","",YEAR(A313))</f>
        <v/>
      </c>
      <c r="G313" s="35"/>
      <c r="H313" s="32" t="str">
        <f aca="false">IF(E313="","",IFERROR(INDEX(Catégories!$B$5:$B$60,MATCH(E313,Catégories!$A$5:$A$60,0)),"?"))</f>
        <v/>
      </c>
      <c r="I313" s="32" t="str">
        <f aca="false">IF(E313="","",IFERROR(INDEX(Catégories!$C$5:$C$60,MATCH(E313,Catégories!$A$5:$A$60,0)),"?"))</f>
        <v/>
      </c>
      <c r="J313" s="32" t="str">
        <f aca="false">IF(E313="","",IFERROR(INDEX(Catégories!$D$5:$D$60,MATCH(E313,Catégories!$A$5:$A$60,0)),"?"))</f>
        <v/>
      </c>
      <c r="K313" s="33" t="n">
        <f aca="false">IF(H313="Recette",G313,IF(H313="Dépense",-G313,0))</f>
        <v>0</v>
      </c>
      <c r="L313" s="33" t="n">
        <f aca="false">IF(E313="",0,G313*IFERROR(INDEX(Catégories!$E$5:$E$60,MATCH(E313,Catégories!$A$5:$A$60,0)),0))</f>
        <v>0</v>
      </c>
    </row>
    <row r="314" customFormat="false" ht="15" hidden="false" customHeight="true" outlineLevel="0" collapsed="false">
      <c r="A314" s="34"/>
      <c r="B314" s="29" t="str">
        <f aca="false">IF(A314="","",YEAR(A314))</f>
        <v/>
      </c>
      <c r="G314" s="35"/>
      <c r="H314" s="32" t="str">
        <f aca="false">IF(E314="","",IFERROR(INDEX(Catégories!$B$5:$B$60,MATCH(E314,Catégories!$A$5:$A$60,0)),"?"))</f>
        <v/>
      </c>
      <c r="I314" s="32" t="str">
        <f aca="false">IF(E314="","",IFERROR(INDEX(Catégories!$C$5:$C$60,MATCH(E314,Catégories!$A$5:$A$60,0)),"?"))</f>
        <v/>
      </c>
      <c r="J314" s="32" t="str">
        <f aca="false">IF(E314="","",IFERROR(INDEX(Catégories!$D$5:$D$60,MATCH(E314,Catégories!$A$5:$A$60,0)),"?"))</f>
        <v/>
      </c>
      <c r="K314" s="33" t="n">
        <f aca="false">IF(H314="Recette",G314,IF(H314="Dépense",-G314,0))</f>
        <v>0</v>
      </c>
      <c r="L314" s="33" t="n">
        <f aca="false">IF(E314="",0,G314*IFERROR(INDEX(Catégories!$E$5:$E$60,MATCH(E314,Catégories!$A$5:$A$60,0)),0))</f>
        <v>0</v>
      </c>
    </row>
    <row r="315" customFormat="false" ht="15" hidden="false" customHeight="true" outlineLevel="0" collapsed="false">
      <c r="A315" s="34"/>
      <c r="B315" s="29" t="str">
        <f aca="false">IF(A315="","",YEAR(A315))</f>
        <v/>
      </c>
      <c r="G315" s="35"/>
      <c r="H315" s="32" t="str">
        <f aca="false">IF(E315="","",IFERROR(INDEX(Catégories!$B$5:$B$60,MATCH(E315,Catégories!$A$5:$A$60,0)),"?"))</f>
        <v/>
      </c>
      <c r="I315" s="32" t="str">
        <f aca="false">IF(E315="","",IFERROR(INDEX(Catégories!$C$5:$C$60,MATCH(E315,Catégories!$A$5:$A$60,0)),"?"))</f>
        <v/>
      </c>
      <c r="J315" s="32" t="str">
        <f aca="false">IF(E315="","",IFERROR(INDEX(Catégories!$D$5:$D$60,MATCH(E315,Catégories!$A$5:$A$60,0)),"?"))</f>
        <v/>
      </c>
      <c r="K315" s="33" t="n">
        <f aca="false">IF(H315="Recette",G315,IF(H315="Dépense",-G315,0))</f>
        <v>0</v>
      </c>
      <c r="L315" s="33" t="n">
        <f aca="false">IF(E315="",0,G315*IFERROR(INDEX(Catégories!$E$5:$E$60,MATCH(E315,Catégories!$A$5:$A$60,0)),0))</f>
        <v>0</v>
      </c>
    </row>
    <row r="316" customFormat="false" ht="15" hidden="false" customHeight="true" outlineLevel="0" collapsed="false">
      <c r="A316" s="34"/>
      <c r="B316" s="29" t="str">
        <f aca="false">IF(A316="","",YEAR(A316))</f>
        <v/>
      </c>
      <c r="G316" s="35"/>
      <c r="H316" s="32" t="str">
        <f aca="false">IF(E316="","",IFERROR(INDEX(Catégories!$B$5:$B$60,MATCH(E316,Catégories!$A$5:$A$60,0)),"?"))</f>
        <v/>
      </c>
      <c r="I316" s="32" t="str">
        <f aca="false">IF(E316="","",IFERROR(INDEX(Catégories!$C$5:$C$60,MATCH(E316,Catégories!$A$5:$A$60,0)),"?"))</f>
        <v/>
      </c>
      <c r="J316" s="32" t="str">
        <f aca="false">IF(E316="","",IFERROR(INDEX(Catégories!$D$5:$D$60,MATCH(E316,Catégories!$A$5:$A$60,0)),"?"))</f>
        <v/>
      </c>
      <c r="K316" s="33" t="n">
        <f aca="false">IF(H316="Recette",G316,IF(H316="Dépense",-G316,0))</f>
        <v>0</v>
      </c>
      <c r="L316" s="33" t="n">
        <f aca="false">IF(E316="",0,G316*IFERROR(INDEX(Catégories!$E$5:$E$60,MATCH(E316,Catégories!$A$5:$A$60,0)),0))</f>
        <v>0</v>
      </c>
    </row>
    <row r="317" customFormat="false" ht="15" hidden="false" customHeight="true" outlineLevel="0" collapsed="false">
      <c r="A317" s="34"/>
      <c r="B317" s="29" t="str">
        <f aca="false">IF(A317="","",YEAR(A317))</f>
        <v/>
      </c>
      <c r="G317" s="35"/>
      <c r="H317" s="32" t="str">
        <f aca="false">IF(E317="","",IFERROR(INDEX(Catégories!$B$5:$B$60,MATCH(E317,Catégories!$A$5:$A$60,0)),"?"))</f>
        <v/>
      </c>
      <c r="I317" s="32" t="str">
        <f aca="false">IF(E317="","",IFERROR(INDEX(Catégories!$C$5:$C$60,MATCH(E317,Catégories!$A$5:$A$60,0)),"?"))</f>
        <v/>
      </c>
      <c r="J317" s="32" t="str">
        <f aca="false">IF(E317="","",IFERROR(INDEX(Catégories!$D$5:$D$60,MATCH(E317,Catégories!$A$5:$A$60,0)),"?"))</f>
        <v/>
      </c>
      <c r="K317" s="33" t="n">
        <f aca="false">IF(H317="Recette",G317,IF(H317="Dépense",-G317,0))</f>
        <v>0</v>
      </c>
      <c r="L317" s="33" t="n">
        <f aca="false">IF(E317="",0,G317*IFERROR(INDEX(Catégories!$E$5:$E$60,MATCH(E317,Catégories!$A$5:$A$60,0)),0))</f>
        <v>0</v>
      </c>
    </row>
    <row r="318" customFormat="false" ht="15" hidden="false" customHeight="true" outlineLevel="0" collapsed="false">
      <c r="A318" s="34"/>
      <c r="B318" s="29" t="str">
        <f aca="false">IF(A318="","",YEAR(A318))</f>
        <v/>
      </c>
      <c r="G318" s="35"/>
      <c r="H318" s="32" t="str">
        <f aca="false">IF(E318="","",IFERROR(INDEX(Catégories!$B$5:$B$60,MATCH(E318,Catégories!$A$5:$A$60,0)),"?"))</f>
        <v/>
      </c>
      <c r="I318" s="32" t="str">
        <f aca="false">IF(E318="","",IFERROR(INDEX(Catégories!$C$5:$C$60,MATCH(E318,Catégories!$A$5:$A$60,0)),"?"))</f>
        <v/>
      </c>
      <c r="J318" s="32" t="str">
        <f aca="false">IF(E318="","",IFERROR(INDEX(Catégories!$D$5:$D$60,MATCH(E318,Catégories!$A$5:$A$60,0)),"?"))</f>
        <v/>
      </c>
      <c r="K318" s="33" t="n">
        <f aca="false">IF(H318="Recette",G318,IF(H318="Dépense",-G318,0))</f>
        <v>0</v>
      </c>
      <c r="L318" s="33" t="n">
        <f aca="false">IF(E318="",0,G318*IFERROR(INDEX(Catégories!$E$5:$E$60,MATCH(E318,Catégories!$A$5:$A$60,0)),0))</f>
        <v>0</v>
      </c>
    </row>
    <row r="319" customFormat="false" ht="15" hidden="false" customHeight="true" outlineLevel="0" collapsed="false">
      <c r="A319" s="34"/>
      <c r="B319" s="29" t="str">
        <f aca="false">IF(A319="","",YEAR(A319))</f>
        <v/>
      </c>
      <c r="G319" s="35"/>
      <c r="H319" s="32" t="str">
        <f aca="false">IF(E319="","",IFERROR(INDEX(Catégories!$B$5:$B$60,MATCH(E319,Catégories!$A$5:$A$60,0)),"?"))</f>
        <v/>
      </c>
      <c r="I319" s="32" t="str">
        <f aca="false">IF(E319="","",IFERROR(INDEX(Catégories!$C$5:$C$60,MATCH(E319,Catégories!$A$5:$A$60,0)),"?"))</f>
        <v/>
      </c>
      <c r="J319" s="32" t="str">
        <f aca="false">IF(E319="","",IFERROR(INDEX(Catégories!$D$5:$D$60,MATCH(E319,Catégories!$A$5:$A$60,0)),"?"))</f>
        <v/>
      </c>
      <c r="K319" s="33" t="n">
        <f aca="false">IF(H319="Recette",G319,IF(H319="Dépense",-G319,0))</f>
        <v>0</v>
      </c>
      <c r="L319" s="33" t="n">
        <f aca="false">IF(E319="",0,G319*IFERROR(INDEX(Catégories!$E$5:$E$60,MATCH(E319,Catégories!$A$5:$A$60,0)),0))</f>
        <v>0</v>
      </c>
    </row>
    <row r="320" customFormat="false" ht="15" hidden="false" customHeight="true" outlineLevel="0" collapsed="false">
      <c r="A320" s="34"/>
      <c r="B320" s="29" t="str">
        <f aca="false">IF(A320="","",YEAR(A320))</f>
        <v/>
      </c>
      <c r="G320" s="35"/>
      <c r="H320" s="32" t="str">
        <f aca="false">IF(E320="","",IFERROR(INDEX(Catégories!$B$5:$B$60,MATCH(E320,Catégories!$A$5:$A$60,0)),"?"))</f>
        <v/>
      </c>
      <c r="I320" s="32" t="str">
        <f aca="false">IF(E320="","",IFERROR(INDEX(Catégories!$C$5:$C$60,MATCH(E320,Catégories!$A$5:$A$60,0)),"?"))</f>
        <v/>
      </c>
      <c r="J320" s="32" t="str">
        <f aca="false">IF(E320="","",IFERROR(INDEX(Catégories!$D$5:$D$60,MATCH(E320,Catégories!$A$5:$A$60,0)),"?"))</f>
        <v/>
      </c>
      <c r="K320" s="33" t="n">
        <f aca="false">IF(H320="Recette",G320,IF(H320="Dépense",-G320,0))</f>
        <v>0</v>
      </c>
      <c r="L320" s="33" t="n">
        <f aca="false">IF(E320="",0,G320*IFERROR(INDEX(Catégories!$E$5:$E$60,MATCH(E320,Catégories!$A$5:$A$60,0)),0))</f>
        <v>0</v>
      </c>
    </row>
    <row r="321" customFormat="false" ht="15" hidden="false" customHeight="true" outlineLevel="0" collapsed="false">
      <c r="A321" s="34"/>
      <c r="B321" s="29" t="str">
        <f aca="false">IF(A321="","",YEAR(A321))</f>
        <v/>
      </c>
      <c r="G321" s="35"/>
      <c r="H321" s="32" t="str">
        <f aca="false">IF(E321="","",IFERROR(INDEX(Catégories!$B$5:$B$60,MATCH(E321,Catégories!$A$5:$A$60,0)),"?"))</f>
        <v/>
      </c>
      <c r="I321" s="32" t="str">
        <f aca="false">IF(E321="","",IFERROR(INDEX(Catégories!$C$5:$C$60,MATCH(E321,Catégories!$A$5:$A$60,0)),"?"))</f>
        <v/>
      </c>
      <c r="J321" s="32" t="str">
        <f aca="false">IF(E321="","",IFERROR(INDEX(Catégories!$D$5:$D$60,MATCH(E321,Catégories!$A$5:$A$60,0)),"?"))</f>
        <v/>
      </c>
      <c r="K321" s="33" t="n">
        <f aca="false">IF(H321="Recette",G321,IF(H321="Dépense",-G321,0))</f>
        <v>0</v>
      </c>
      <c r="L321" s="33" t="n">
        <f aca="false">IF(E321="",0,G321*IFERROR(INDEX(Catégories!$E$5:$E$60,MATCH(E321,Catégories!$A$5:$A$60,0)),0))</f>
        <v>0</v>
      </c>
    </row>
    <row r="322" customFormat="false" ht="15" hidden="false" customHeight="true" outlineLevel="0" collapsed="false">
      <c r="A322" s="34"/>
      <c r="B322" s="29" t="str">
        <f aca="false">IF(A322="","",YEAR(A322))</f>
        <v/>
      </c>
      <c r="G322" s="35"/>
      <c r="H322" s="32" t="str">
        <f aca="false">IF(E322="","",IFERROR(INDEX(Catégories!$B$5:$B$60,MATCH(E322,Catégories!$A$5:$A$60,0)),"?"))</f>
        <v/>
      </c>
      <c r="I322" s="32" t="str">
        <f aca="false">IF(E322="","",IFERROR(INDEX(Catégories!$C$5:$C$60,MATCH(E322,Catégories!$A$5:$A$60,0)),"?"))</f>
        <v/>
      </c>
      <c r="J322" s="32" t="str">
        <f aca="false">IF(E322="","",IFERROR(INDEX(Catégories!$D$5:$D$60,MATCH(E322,Catégories!$A$5:$A$60,0)),"?"))</f>
        <v/>
      </c>
      <c r="K322" s="33" t="n">
        <f aca="false">IF(H322="Recette",G322,IF(H322="Dépense",-G322,0))</f>
        <v>0</v>
      </c>
      <c r="L322" s="33" t="n">
        <f aca="false">IF(E322="",0,G322*IFERROR(INDEX(Catégories!$E$5:$E$60,MATCH(E322,Catégories!$A$5:$A$60,0)),0))</f>
        <v>0</v>
      </c>
    </row>
    <row r="323" customFormat="false" ht="15" hidden="false" customHeight="true" outlineLevel="0" collapsed="false">
      <c r="A323" s="34"/>
      <c r="B323" s="29" t="str">
        <f aca="false">IF(A323="","",YEAR(A323))</f>
        <v/>
      </c>
      <c r="G323" s="35"/>
      <c r="H323" s="32" t="str">
        <f aca="false">IF(E323="","",IFERROR(INDEX(Catégories!$B$5:$B$60,MATCH(E323,Catégories!$A$5:$A$60,0)),"?"))</f>
        <v/>
      </c>
      <c r="I323" s="32" t="str">
        <f aca="false">IF(E323="","",IFERROR(INDEX(Catégories!$C$5:$C$60,MATCH(E323,Catégories!$A$5:$A$60,0)),"?"))</f>
        <v/>
      </c>
      <c r="J323" s="32" t="str">
        <f aca="false">IF(E323="","",IFERROR(INDEX(Catégories!$D$5:$D$60,MATCH(E323,Catégories!$A$5:$A$60,0)),"?"))</f>
        <v/>
      </c>
      <c r="K323" s="33" t="n">
        <f aca="false">IF(H323="Recette",G323,IF(H323="Dépense",-G323,0))</f>
        <v>0</v>
      </c>
      <c r="L323" s="33" t="n">
        <f aca="false">IF(E323="",0,G323*IFERROR(INDEX(Catégories!$E$5:$E$60,MATCH(E323,Catégories!$A$5:$A$60,0)),0))</f>
        <v>0</v>
      </c>
    </row>
    <row r="324" customFormat="false" ht="15" hidden="false" customHeight="true" outlineLevel="0" collapsed="false">
      <c r="A324" s="34"/>
      <c r="B324" s="29" t="str">
        <f aca="false">IF(A324="","",YEAR(A324))</f>
        <v/>
      </c>
      <c r="G324" s="35"/>
      <c r="H324" s="32" t="str">
        <f aca="false">IF(E324="","",IFERROR(INDEX(Catégories!$B$5:$B$60,MATCH(E324,Catégories!$A$5:$A$60,0)),"?"))</f>
        <v/>
      </c>
      <c r="I324" s="32" t="str">
        <f aca="false">IF(E324="","",IFERROR(INDEX(Catégories!$C$5:$C$60,MATCH(E324,Catégories!$A$5:$A$60,0)),"?"))</f>
        <v/>
      </c>
      <c r="J324" s="32" t="str">
        <f aca="false">IF(E324="","",IFERROR(INDEX(Catégories!$D$5:$D$60,MATCH(E324,Catégories!$A$5:$A$60,0)),"?"))</f>
        <v/>
      </c>
      <c r="K324" s="33" t="n">
        <f aca="false">IF(H324="Recette",G324,IF(H324="Dépense",-G324,0))</f>
        <v>0</v>
      </c>
      <c r="L324" s="33" t="n">
        <f aca="false">IF(E324="",0,G324*IFERROR(INDEX(Catégories!$E$5:$E$60,MATCH(E324,Catégories!$A$5:$A$60,0)),0))</f>
        <v>0</v>
      </c>
    </row>
    <row r="325" customFormat="false" ht="15" hidden="false" customHeight="true" outlineLevel="0" collapsed="false">
      <c r="A325" s="34"/>
      <c r="B325" s="29" t="str">
        <f aca="false">IF(A325="","",YEAR(A325))</f>
        <v/>
      </c>
      <c r="G325" s="35"/>
      <c r="H325" s="32" t="str">
        <f aca="false">IF(E325="","",IFERROR(INDEX(Catégories!$B$5:$B$60,MATCH(E325,Catégories!$A$5:$A$60,0)),"?"))</f>
        <v/>
      </c>
      <c r="I325" s="32" t="str">
        <f aca="false">IF(E325="","",IFERROR(INDEX(Catégories!$C$5:$C$60,MATCH(E325,Catégories!$A$5:$A$60,0)),"?"))</f>
        <v/>
      </c>
      <c r="J325" s="32" t="str">
        <f aca="false">IF(E325="","",IFERROR(INDEX(Catégories!$D$5:$D$60,MATCH(E325,Catégories!$A$5:$A$60,0)),"?"))</f>
        <v/>
      </c>
      <c r="K325" s="33" t="n">
        <f aca="false">IF(H325="Recette",G325,IF(H325="Dépense",-G325,0))</f>
        <v>0</v>
      </c>
      <c r="L325" s="33" t="n">
        <f aca="false">IF(E325="",0,G325*IFERROR(INDEX(Catégories!$E$5:$E$60,MATCH(E325,Catégories!$A$5:$A$60,0)),0))</f>
        <v>0</v>
      </c>
    </row>
    <row r="326" customFormat="false" ht="15" hidden="false" customHeight="true" outlineLevel="0" collapsed="false">
      <c r="A326" s="34"/>
      <c r="B326" s="29" t="str">
        <f aca="false">IF(A326="","",YEAR(A326))</f>
        <v/>
      </c>
      <c r="G326" s="35"/>
      <c r="H326" s="32" t="str">
        <f aca="false">IF(E326="","",IFERROR(INDEX(Catégories!$B$5:$B$60,MATCH(E326,Catégories!$A$5:$A$60,0)),"?"))</f>
        <v/>
      </c>
      <c r="I326" s="32" t="str">
        <f aca="false">IF(E326="","",IFERROR(INDEX(Catégories!$C$5:$C$60,MATCH(E326,Catégories!$A$5:$A$60,0)),"?"))</f>
        <v/>
      </c>
      <c r="J326" s="32" t="str">
        <f aca="false">IF(E326="","",IFERROR(INDEX(Catégories!$D$5:$D$60,MATCH(E326,Catégories!$A$5:$A$60,0)),"?"))</f>
        <v/>
      </c>
      <c r="K326" s="33" t="n">
        <f aca="false">IF(H326="Recette",G326,IF(H326="Dépense",-G326,0))</f>
        <v>0</v>
      </c>
      <c r="L326" s="33" t="n">
        <f aca="false">IF(E326="",0,G326*IFERROR(INDEX(Catégories!$E$5:$E$60,MATCH(E326,Catégories!$A$5:$A$60,0)),0))</f>
        <v>0</v>
      </c>
    </row>
    <row r="327" customFormat="false" ht="15" hidden="false" customHeight="true" outlineLevel="0" collapsed="false">
      <c r="A327" s="34"/>
      <c r="B327" s="29" t="str">
        <f aca="false">IF(A327="","",YEAR(A327))</f>
        <v/>
      </c>
      <c r="G327" s="35"/>
      <c r="H327" s="32" t="str">
        <f aca="false">IF(E327="","",IFERROR(INDEX(Catégories!$B$5:$B$60,MATCH(E327,Catégories!$A$5:$A$60,0)),"?"))</f>
        <v/>
      </c>
      <c r="I327" s="32" t="str">
        <f aca="false">IF(E327="","",IFERROR(INDEX(Catégories!$C$5:$C$60,MATCH(E327,Catégories!$A$5:$A$60,0)),"?"))</f>
        <v/>
      </c>
      <c r="J327" s="32" t="str">
        <f aca="false">IF(E327="","",IFERROR(INDEX(Catégories!$D$5:$D$60,MATCH(E327,Catégories!$A$5:$A$60,0)),"?"))</f>
        <v/>
      </c>
      <c r="K327" s="33" t="n">
        <f aca="false">IF(H327="Recette",G327,IF(H327="Dépense",-G327,0))</f>
        <v>0</v>
      </c>
      <c r="L327" s="33" t="n">
        <f aca="false">IF(E327="",0,G327*IFERROR(INDEX(Catégories!$E$5:$E$60,MATCH(E327,Catégories!$A$5:$A$60,0)),0))</f>
        <v>0</v>
      </c>
    </row>
    <row r="328" customFormat="false" ht="15" hidden="false" customHeight="true" outlineLevel="0" collapsed="false">
      <c r="A328" s="34"/>
      <c r="B328" s="29" t="str">
        <f aca="false">IF(A328="","",YEAR(A328))</f>
        <v/>
      </c>
      <c r="G328" s="35"/>
      <c r="H328" s="32" t="str">
        <f aca="false">IF(E328="","",IFERROR(INDEX(Catégories!$B$5:$B$60,MATCH(E328,Catégories!$A$5:$A$60,0)),"?"))</f>
        <v/>
      </c>
      <c r="I328" s="32" t="str">
        <f aca="false">IF(E328="","",IFERROR(INDEX(Catégories!$C$5:$C$60,MATCH(E328,Catégories!$A$5:$A$60,0)),"?"))</f>
        <v/>
      </c>
      <c r="J328" s="32" t="str">
        <f aca="false">IF(E328="","",IFERROR(INDEX(Catégories!$D$5:$D$60,MATCH(E328,Catégories!$A$5:$A$60,0)),"?"))</f>
        <v/>
      </c>
      <c r="K328" s="33" t="n">
        <f aca="false">IF(H328="Recette",G328,IF(H328="Dépense",-G328,0))</f>
        <v>0</v>
      </c>
      <c r="L328" s="33" t="n">
        <f aca="false">IF(E328="",0,G328*IFERROR(INDEX(Catégories!$E$5:$E$60,MATCH(E328,Catégories!$A$5:$A$60,0)),0))</f>
        <v>0</v>
      </c>
    </row>
    <row r="329" customFormat="false" ht="15" hidden="false" customHeight="true" outlineLevel="0" collapsed="false">
      <c r="A329" s="34"/>
      <c r="B329" s="29" t="str">
        <f aca="false">IF(A329="","",YEAR(A329))</f>
        <v/>
      </c>
      <c r="G329" s="35"/>
      <c r="H329" s="32" t="str">
        <f aca="false">IF(E329="","",IFERROR(INDEX(Catégories!$B$5:$B$60,MATCH(E329,Catégories!$A$5:$A$60,0)),"?"))</f>
        <v/>
      </c>
      <c r="I329" s="32" t="str">
        <f aca="false">IF(E329="","",IFERROR(INDEX(Catégories!$C$5:$C$60,MATCH(E329,Catégories!$A$5:$A$60,0)),"?"))</f>
        <v/>
      </c>
      <c r="J329" s="32" t="str">
        <f aca="false">IF(E329="","",IFERROR(INDEX(Catégories!$D$5:$D$60,MATCH(E329,Catégories!$A$5:$A$60,0)),"?"))</f>
        <v/>
      </c>
      <c r="K329" s="33" t="n">
        <f aca="false">IF(H329="Recette",G329,IF(H329="Dépense",-G329,0))</f>
        <v>0</v>
      </c>
      <c r="L329" s="33" t="n">
        <f aca="false">IF(E329="",0,G329*IFERROR(INDEX(Catégories!$E$5:$E$60,MATCH(E329,Catégories!$A$5:$A$60,0)),0))</f>
        <v>0</v>
      </c>
    </row>
    <row r="330" customFormat="false" ht="15" hidden="false" customHeight="true" outlineLevel="0" collapsed="false">
      <c r="A330" s="34"/>
      <c r="B330" s="29" t="str">
        <f aca="false">IF(A330="","",YEAR(A330))</f>
        <v/>
      </c>
      <c r="G330" s="35"/>
      <c r="H330" s="32" t="str">
        <f aca="false">IF(E330="","",IFERROR(INDEX(Catégories!$B$5:$B$60,MATCH(E330,Catégories!$A$5:$A$60,0)),"?"))</f>
        <v/>
      </c>
      <c r="I330" s="32" t="str">
        <f aca="false">IF(E330="","",IFERROR(INDEX(Catégories!$C$5:$C$60,MATCH(E330,Catégories!$A$5:$A$60,0)),"?"))</f>
        <v/>
      </c>
      <c r="J330" s="32" t="str">
        <f aca="false">IF(E330="","",IFERROR(INDEX(Catégories!$D$5:$D$60,MATCH(E330,Catégories!$A$5:$A$60,0)),"?"))</f>
        <v/>
      </c>
      <c r="K330" s="33" t="n">
        <f aca="false">IF(H330="Recette",G330,IF(H330="Dépense",-G330,0))</f>
        <v>0</v>
      </c>
      <c r="L330" s="33" t="n">
        <f aca="false">IF(E330="",0,G330*IFERROR(INDEX(Catégories!$E$5:$E$60,MATCH(E330,Catégories!$A$5:$A$60,0)),0))</f>
        <v>0</v>
      </c>
    </row>
    <row r="331" customFormat="false" ht="15" hidden="false" customHeight="true" outlineLevel="0" collapsed="false">
      <c r="A331" s="34"/>
      <c r="B331" s="29" t="str">
        <f aca="false">IF(A331="","",YEAR(A331))</f>
        <v/>
      </c>
      <c r="G331" s="35"/>
      <c r="H331" s="32" t="str">
        <f aca="false">IF(E331="","",IFERROR(INDEX(Catégories!$B$5:$B$60,MATCH(E331,Catégories!$A$5:$A$60,0)),"?"))</f>
        <v/>
      </c>
      <c r="I331" s="32" t="str">
        <f aca="false">IF(E331="","",IFERROR(INDEX(Catégories!$C$5:$C$60,MATCH(E331,Catégories!$A$5:$A$60,0)),"?"))</f>
        <v/>
      </c>
      <c r="J331" s="32" t="str">
        <f aca="false">IF(E331="","",IFERROR(INDEX(Catégories!$D$5:$D$60,MATCH(E331,Catégories!$A$5:$A$60,0)),"?"))</f>
        <v/>
      </c>
      <c r="K331" s="33" t="n">
        <f aca="false">IF(H331="Recette",G331,IF(H331="Dépense",-G331,0))</f>
        <v>0</v>
      </c>
      <c r="L331" s="33" t="n">
        <f aca="false">IF(E331="",0,G331*IFERROR(INDEX(Catégories!$E$5:$E$60,MATCH(E331,Catégories!$A$5:$A$60,0)),0))</f>
        <v>0</v>
      </c>
    </row>
    <row r="332" customFormat="false" ht="15" hidden="false" customHeight="true" outlineLevel="0" collapsed="false">
      <c r="A332" s="34"/>
      <c r="B332" s="29" t="str">
        <f aca="false">IF(A332="","",YEAR(A332))</f>
        <v/>
      </c>
      <c r="G332" s="35"/>
      <c r="H332" s="32" t="str">
        <f aca="false">IF(E332="","",IFERROR(INDEX(Catégories!$B$5:$B$60,MATCH(E332,Catégories!$A$5:$A$60,0)),"?"))</f>
        <v/>
      </c>
      <c r="I332" s="32" t="str">
        <f aca="false">IF(E332="","",IFERROR(INDEX(Catégories!$C$5:$C$60,MATCH(E332,Catégories!$A$5:$A$60,0)),"?"))</f>
        <v/>
      </c>
      <c r="J332" s="32" t="str">
        <f aca="false">IF(E332="","",IFERROR(INDEX(Catégories!$D$5:$D$60,MATCH(E332,Catégories!$A$5:$A$60,0)),"?"))</f>
        <v/>
      </c>
      <c r="K332" s="33" t="n">
        <f aca="false">IF(H332="Recette",G332,IF(H332="Dépense",-G332,0))</f>
        <v>0</v>
      </c>
      <c r="L332" s="33" t="n">
        <f aca="false">IF(E332="",0,G332*IFERROR(INDEX(Catégories!$E$5:$E$60,MATCH(E332,Catégories!$A$5:$A$60,0)),0))</f>
        <v>0</v>
      </c>
    </row>
    <row r="333" customFormat="false" ht="15" hidden="false" customHeight="true" outlineLevel="0" collapsed="false">
      <c r="A333" s="34"/>
      <c r="B333" s="29" t="str">
        <f aca="false">IF(A333="","",YEAR(A333))</f>
        <v/>
      </c>
      <c r="G333" s="35"/>
      <c r="H333" s="32" t="str">
        <f aca="false">IF(E333="","",IFERROR(INDEX(Catégories!$B$5:$B$60,MATCH(E333,Catégories!$A$5:$A$60,0)),"?"))</f>
        <v/>
      </c>
      <c r="I333" s="32" t="str">
        <f aca="false">IF(E333="","",IFERROR(INDEX(Catégories!$C$5:$C$60,MATCH(E333,Catégories!$A$5:$A$60,0)),"?"))</f>
        <v/>
      </c>
      <c r="J333" s="32" t="str">
        <f aca="false">IF(E333="","",IFERROR(INDEX(Catégories!$D$5:$D$60,MATCH(E333,Catégories!$A$5:$A$60,0)),"?"))</f>
        <v/>
      </c>
      <c r="K333" s="33" t="n">
        <f aca="false">IF(H333="Recette",G333,IF(H333="Dépense",-G333,0))</f>
        <v>0</v>
      </c>
      <c r="L333" s="33" t="n">
        <f aca="false">IF(E333="",0,G333*IFERROR(INDEX(Catégories!$E$5:$E$60,MATCH(E333,Catégories!$A$5:$A$60,0)),0))</f>
        <v>0</v>
      </c>
    </row>
    <row r="334" customFormat="false" ht="15" hidden="false" customHeight="true" outlineLevel="0" collapsed="false">
      <c r="A334" s="34"/>
      <c r="B334" s="29" t="str">
        <f aca="false">IF(A334="","",YEAR(A334))</f>
        <v/>
      </c>
      <c r="G334" s="35"/>
      <c r="H334" s="32" t="str">
        <f aca="false">IF(E334="","",IFERROR(INDEX(Catégories!$B$5:$B$60,MATCH(E334,Catégories!$A$5:$A$60,0)),"?"))</f>
        <v/>
      </c>
      <c r="I334" s="32" t="str">
        <f aca="false">IF(E334="","",IFERROR(INDEX(Catégories!$C$5:$C$60,MATCH(E334,Catégories!$A$5:$A$60,0)),"?"))</f>
        <v/>
      </c>
      <c r="J334" s="32" t="str">
        <f aca="false">IF(E334="","",IFERROR(INDEX(Catégories!$D$5:$D$60,MATCH(E334,Catégories!$A$5:$A$60,0)),"?"))</f>
        <v/>
      </c>
      <c r="K334" s="33" t="n">
        <f aca="false">IF(H334="Recette",G334,IF(H334="Dépense",-G334,0))</f>
        <v>0</v>
      </c>
      <c r="L334" s="33" t="n">
        <f aca="false">IF(E334="",0,G334*IFERROR(INDEX(Catégories!$E$5:$E$60,MATCH(E334,Catégories!$A$5:$A$60,0)),0))</f>
        <v>0</v>
      </c>
    </row>
    <row r="335" customFormat="false" ht="15" hidden="false" customHeight="true" outlineLevel="0" collapsed="false">
      <c r="A335" s="34"/>
      <c r="B335" s="29" t="str">
        <f aca="false">IF(A335="","",YEAR(A335))</f>
        <v/>
      </c>
      <c r="G335" s="35"/>
      <c r="H335" s="32" t="str">
        <f aca="false">IF(E335="","",IFERROR(INDEX(Catégories!$B$5:$B$60,MATCH(E335,Catégories!$A$5:$A$60,0)),"?"))</f>
        <v/>
      </c>
      <c r="I335" s="32" t="str">
        <f aca="false">IF(E335="","",IFERROR(INDEX(Catégories!$C$5:$C$60,MATCH(E335,Catégories!$A$5:$A$60,0)),"?"))</f>
        <v/>
      </c>
      <c r="J335" s="32" t="str">
        <f aca="false">IF(E335="","",IFERROR(INDEX(Catégories!$D$5:$D$60,MATCH(E335,Catégories!$A$5:$A$60,0)),"?"))</f>
        <v/>
      </c>
      <c r="K335" s="33" t="n">
        <f aca="false">IF(H335="Recette",G335,IF(H335="Dépense",-G335,0))</f>
        <v>0</v>
      </c>
      <c r="L335" s="33" t="n">
        <f aca="false">IF(E335="",0,G335*IFERROR(INDEX(Catégories!$E$5:$E$60,MATCH(E335,Catégories!$A$5:$A$60,0)),0))</f>
        <v>0</v>
      </c>
    </row>
    <row r="336" customFormat="false" ht="15" hidden="false" customHeight="true" outlineLevel="0" collapsed="false">
      <c r="A336" s="34"/>
      <c r="B336" s="29" t="str">
        <f aca="false">IF(A336="","",YEAR(A336))</f>
        <v/>
      </c>
      <c r="G336" s="35"/>
      <c r="H336" s="32" t="str">
        <f aca="false">IF(E336="","",IFERROR(INDEX(Catégories!$B$5:$B$60,MATCH(E336,Catégories!$A$5:$A$60,0)),"?"))</f>
        <v/>
      </c>
      <c r="I336" s="32" t="str">
        <f aca="false">IF(E336="","",IFERROR(INDEX(Catégories!$C$5:$C$60,MATCH(E336,Catégories!$A$5:$A$60,0)),"?"))</f>
        <v/>
      </c>
      <c r="J336" s="32" t="str">
        <f aca="false">IF(E336="","",IFERROR(INDEX(Catégories!$D$5:$D$60,MATCH(E336,Catégories!$A$5:$A$60,0)),"?"))</f>
        <v/>
      </c>
      <c r="K336" s="33" t="n">
        <f aca="false">IF(H336="Recette",G336,IF(H336="Dépense",-G336,0))</f>
        <v>0</v>
      </c>
      <c r="L336" s="33" t="n">
        <f aca="false">IF(E336="",0,G336*IFERROR(INDEX(Catégories!$E$5:$E$60,MATCH(E336,Catégories!$A$5:$A$60,0)),0))</f>
        <v>0</v>
      </c>
    </row>
    <row r="337" customFormat="false" ht="15" hidden="false" customHeight="true" outlineLevel="0" collapsed="false">
      <c r="A337" s="34"/>
      <c r="B337" s="29" t="str">
        <f aca="false">IF(A337="","",YEAR(A337))</f>
        <v/>
      </c>
      <c r="G337" s="35"/>
      <c r="H337" s="32" t="str">
        <f aca="false">IF(E337="","",IFERROR(INDEX(Catégories!$B$5:$B$60,MATCH(E337,Catégories!$A$5:$A$60,0)),"?"))</f>
        <v/>
      </c>
      <c r="I337" s="32" t="str">
        <f aca="false">IF(E337="","",IFERROR(INDEX(Catégories!$C$5:$C$60,MATCH(E337,Catégories!$A$5:$A$60,0)),"?"))</f>
        <v/>
      </c>
      <c r="J337" s="32" t="str">
        <f aca="false">IF(E337="","",IFERROR(INDEX(Catégories!$D$5:$D$60,MATCH(E337,Catégories!$A$5:$A$60,0)),"?"))</f>
        <v/>
      </c>
      <c r="K337" s="33" t="n">
        <f aca="false">IF(H337="Recette",G337,IF(H337="Dépense",-G337,0))</f>
        <v>0</v>
      </c>
      <c r="L337" s="33" t="n">
        <f aca="false">IF(E337="",0,G337*IFERROR(INDEX(Catégories!$E$5:$E$60,MATCH(E337,Catégories!$A$5:$A$60,0)),0))</f>
        <v>0</v>
      </c>
    </row>
    <row r="338" customFormat="false" ht="15" hidden="false" customHeight="true" outlineLevel="0" collapsed="false">
      <c r="A338" s="34"/>
      <c r="B338" s="29" t="str">
        <f aca="false">IF(A338="","",YEAR(A338))</f>
        <v/>
      </c>
      <c r="G338" s="35"/>
      <c r="H338" s="32" t="str">
        <f aca="false">IF(E338="","",IFERROR(INDEX(Catégories!$B$5:$B$60,MATCH(E338,Catégories!$A$5:$A$60,0)),"?"))</f>
        <v/>
      </c>
      <c r="I338" s="32" t="str">
        <f aca="false">IF(E338="","",IFERROR(INDEX(Catégories!$C$5:$C$60,MATCH(E338,Catégories!$A$5:$A$60,0)),"?"))</f>
        <v/>
      </c>
      <c r="J338" s="32" t="str">
        <f aca="false">IF(E338="","",IFERROR(INDEX(Catégories!$D$5:$D$60,MATCH(E338,Catégories!$A$5:$A$60,0)),"?"))</f>
        <v/>
      </c>
      <c r="K338" s="33" t="n">
        <f aca="false">IF(H338="Recette",G338,IF(H338="Dépense",-G338,0))</f>
        <v>0</v>
      </c>
      <c r="L338" s="33" t="n">
        <f aca="false">IF(E338="",0,G338*IFERROR(INDEX(Catégories!$E$5:$E$60,MATCH(E338,Catégories!$A$5:$A$60,0)),0))</f>
        <v>0</v>
      </c>
    </row>
    <row r="339" customFormat="false" ht="15" hidden="false" customHeight="true" outlineLevel="0" collapsed="false">
      <c r="A339" s="34"/>
      <c r="B339" s="29" t="str">
        <f aca="false">IF(A339="","",YEAR(A339))</f>
        <v/>
      </c>
      <c r="G339" s="35"/>
      <c r="H339" s="32" t="str">
        <f aca="false">IF(E339="","",IFERROR(INDEX(Catégories!$B$5:$B$60,MATCH(E339,Catégories!$A$5:$A$60,0)),"?"))</f>
        <v/>
      </c>
      <c r="I339" s="32" t="str">
        <f aca="false">IF(E339="","",IFERROR(INDEX(Catégories!$C$5:$C$60,MATCH(E339,Catégories!$A$5:$A$60,0)),"?"))</f>
        <v/>
      </c>
      <c r="J339" s="32" t="str">
        <f aca="false">IF(E339="","",IFERROR(INDEX(Catégories!$D$5:$D$60,MATCH(E339,Catégories!$A$5:$A$60,0)),"?"))</f>
        <v/>
      </c>
      <c r="K339" s="33" t="n">
        <f aca="false">IF(H339="Recette",G339,IF(H339="Dépense",-G339,0))</f>
        <v>0</v>
      </c>
      <c r="L339" s="33" t="n">
        <f aca="false">IF(E339="",0,G339*IFERROR(INDEX(Catégories!$E$5:$E$60,MATCH(E339,Catégories!$A$5:$A$60,0)),0))</f>
        <v>0</v>
      </c>
    </row>
    <row r="340" customFormat="false" ht="15" hidden="false" customHeight="true" outlineLevel="0" collapsed="false">
      <c r="A340" s="34"/>
      <c r="B340" s="29" t="str">
        <f aca="false">IF(A340="","",YEAR(A340))</f>
        <v/>
      </c>
      <c r="G340" s="35"/>
      <c r="H340" s="32" t="str">
        <f aca="false">IF(E340="","",IFERROR(INDEX(Catégories!$B$5:$B$60,MATCH(E340,Catégories!$A$5:$A$60,0)),"?"))</f>
        <v/>
      </c>
      <c r="I340" s="32" t="str">
        <f aca="false">IF(E340="","",IFERROR(INDEX(Catégories!$C$5:$C$60,MATCH(E340,Catégories!$A$5:$A$60,0)),"?"))</f>
        <v/>
      </c>
      <c r="J340" s="32" t="str">
        <f aca="false">IF(E340="","",IFERROR(INDEX(Catégories!$D$5:$D$60,MATCH(E340,Catégories!$A$5:$A$60,0)),"?"))</f>
        <v/>
      </c>
      <c r="K340" s="33" t="n">
        <f aca="false">IF(H340="Recette",G340,IF(H340="Dépense",-G340,0))</f>
        <v>0</v>
      </c>
      <c r="L340" s="33" t="n">
        <f aca="false">IF(E340="",0,G340*IFERROR(INDEX(Catégories!$E$5:$E$60,MATCH(E340,Catégories!$A$5:$A$60,0)),0))</f>
        <v>0</v>
      </c>
    </row>
    <row r="341" customFormat="false" ht="15" hidden="false" customHeight="true" outlineLevel="0" collapsed="false">
      <c r="A341" s="34"/>
      <c r="B341" s="29" t="str">
        <f aca="false">IF(A341="","",YEAR(A341))</f>
        <v/>
      </c>
      <c r="G341" s="35"/>
      <c r="H341" s="32" t="str">
        <f aca="false">IF(E341="","",IFERROR(INDEX(Catégories!$B$5:$B$60,MATCH(E341,Catégories!$A$5:$A$60,0)),"?"))</f>
        <v/>
      </c>
      <c r="I341" s="32" t="str">
        <f aca="false">IF(E341="","",IFERROR(INDEX(Catégories!$C$5:$C$60,MATCH(E341,Catégories!$A$5:$A$60,0)),"?"))</f>
        <v/>
      </c>
      <c r="J341" s="32" t="str">
        <f aca="false">IF(E341="","",IFERROR(INDEX(Catégories!$D$5:$D$60,MATCH(E341,Catégories!$A$5:$A$60,0)),"?"))</f>
        <v/>
      </c>
      <c r="K341" s="33" t="n">
        <f aca="false">IF(H341="Recette",G341,IF(H341="Dépense",-G341,0))</f>
        <v>0</v>
      </c>
      <c r="L341" s="33" t="n">
        <f aca="false">IF(E341="",0,G341*IFERROR(INDEX(Catégories!$E$5:$E$60,MATCH(E341,Catégories!$A$5:$A$60,0)),0))</f>
        <v>0</v>
      </c>
    </row>
    <row r="342" customFormat="false" ht="15" hidden="false" customHeight="true" outlineLevel="0" collapsed="false">
      <c r="A342" s="34"/>
      <c r="B342" s="29" t="str">
        <f aca="false">IF(A342="","",YEAR(A342))</f>
        <v/>
      </c>
      <c r="G342" s="35"/>
      <c r="H342" s="32" t="str">
        <f aca="false">IF(E342="","",IFERROR(INDEX(Catégories!$B$5:$B$60,MATCH(E342,Catégories!$A$5:$A$60,0)),"?"))</f>
        <v/>
      </c>
      <c r="I342" s="32" t="str">
        <f aca="false">IF(E342="","",IFERROR(INDEX(Catégories!$C$5:$C$60,MATCH(E342,Catégories!$A$5:$A$60,0)),"?"))</f>
        <v/>
      </c>
      <c r="J342" s="32" t="str">
        <f aca="false">IF(E342="","",IFERROR(INDEX(Catégories!$D$5:$D$60,MATCH(E342,Catégories!$A$5:$A$60,0)),"?"))</f>
        <v/>
      </c>
      <c r="K342" s="33" t="n">
        <f aca="false">IF(H342="Recette",G342,IF(H342="Dépense",-G342,0))</f>
        <v>0</v>
      </c>
      <c r="L342" s="33" t="n">
        <f aca="false">IF(E342="",0,G342*IFERROR(INDEX(Catégories!$E$5:$E$60,MATCH(E342,Catégories!$A$5:$A$60,0)),0))</f>
        <v>0</v>
      </c>
    </row>
    <row r="343" customFormat="false" ht="15" hidden="false" customHeight="true" outlineLevel="0" collapsed="false">
      <c r="A343" s="34"/>
      <c r="B343" s="29" t="str">
        <f aca="false">IF(A343="","",YEAR(A343))</f>
        <v/>
      </c>
      <c r="G343" s="35"/>
      <c r="H343" s="32" t="str">
        <f aca="false">IF(E343="","",IFERROR(INDEX(Catégories!$B$5:$B$60,MATCH(E343,Catégories!$A$5:$A$60,0)),"?"))</f>
        <v/>
      </c>
      <c r="I343" s="32" t="str">
        <f aca="false">IF(E343="","",IFERROR(INDEX(Catégories!$C$5:$C$60,MATCH(E343,Catégories!$A$5:$A$60,0)),"?"))</f>
        <v/>
      </c>
      <c r="J343" s="32" t="str">
        <f aca="false">IF(E343="","",IFERROR(INDEX(Catégories!$D$5:$D$60,MATCH(E343,Catégories!$A$5:$A$60,0)),"?"))</f>
        <v/>
      </c>
      <c r="K343" s="33" t="n">
        <f aca="false">IF(H343="Recette",G343,IF(H343="Dépense",-G343,0))</f>
        <v>0</v>
      </c>
      <c r="L343" s="33" t="n">
        <f aca="false">IF(E343="",0,G343*IFERROR(INDEX(Catégories!$E$5:$E$60,MATCH(E343,Catégories!$A$5:$A$60,0)),0))</f>
        <v>0</v>
      </c>
    </row>
    <row r="344" customFormat="false" ht="15" hidden="false" customHeight="true" outlineLevel="0" collapsed="false">
      <c r="A344" s="34"/>
      <c r="B344" s="29" t="str">
        <f aca="false">IF(A344="","",YEAR(A344))</f>
        <v/>
      </c>
      <c r="G344" s="35"/>
      <c r="H344" s="32" t="str">
        <f aca="false">IF(E344="","",IFERROR(INDEX(Catégories!$B$5:$B$60,MATCH(E344,Catégories!$A$5:$A$60,0)),"?"))</f>
        <v/>
      </c>
      <c r="I344" s="32" t="str">
        <f aca="false">IF(E344="","",IFERROR(INDEX(Catégories!$C$5:$C$60,MATCH(E344,Catégories!$A$5:$A$60,0)),"?"))</f>
        <v/>
      </c>
      <c r="J344" s="32" t="str">
        <f aca="false">IF(E344="","",IFERROR(INDEX(Catégories!$D$5:$D$60,MATCH(E344,Catégories!$A$5:$A$60,0)),"?"))</f>
        <v/>
      </c>
      <c r="K344" s="33" t="n">
        <f aca="false">IF(H344="Recette",G344,IF(H344="Dépense",-G344,0))</f>
        <v>0</v>
      </c>
      <c r="L344" s="33" t="n">
        <f aca="false">IF(E344="",0,G344*IFERROR(INDEX(Catégories!$E$5:$E$60,MATCH(E344,Catégories!$A$5:$A$60,0)),0))</f>
        <v>0</v>
      </c>
    </row>
    <row r="345" customFormat="false" ht="15" hidden="false" customHeight="true" outlineLevel="0" collapsed="false">
      <c r="A345" s="34"/>
      <c r="B345" s="29" t="str">
        <f aca="false">IF(A345="","",YEAR(A345))</f>
        <v/>
      </c>
      <c r="G345" s="35"/>
      <c r="H345" s="32" t="str">
        <f aca="false">IF(E345="","",IFERROR(INDEX(Catégories!$B$5:$B$60,MATCH(E345,Catégories!$A$5:$A$60,0)),"?"))</f>
        <v/>
      </c>
      <c r="I345" s="32" t="str">
        <f aca="false">IF(E345="","",IFERROR(INDEX(Catégories!$C$5:$C$60,MATCH(E345,Catégories!$A$5:$A$60,0)),"?"))</f>
        <v/>
      </c>
      <c r="J345" s="32" t="str">
        <f aca="false">IF(E345="","",IFERROR(INDEX(Catégories!$D$5:$D$60,MATCH(E345,Catégories!$A$5:$A$60,0)),"?"))</f>
        <v/>
      </c>
      <c r="K345" s="33" t="n">
        <f aca="false">IF(H345="Recette",G345,IF(H345="Dépense",-G345,0))</f>
        <v>0</v>
      </c>
      <c r="L345" s="33" t="n">
        <f aca="false">IF(E345="",0,G345*IFERROR(INDEX(Catégories!$E$5:$E$60,MATCH(E345,Catégories!$A$5:$A$60,0)),0))</f>
        <v>0</v>
      </c>
    </row>
    <row r="346" customFormat="false" ht="15" hidden="false" customHeight="true" outlineLevel="0" collapsed="false">
      <c r="A346" s="34"/>
      <c r="B346" s="29" t="str">
        <f aca="false">IF(A346="","",YEAR(A346))</f>
        <v/>
      </c>
      <c r="G346" s="35"/>
      <c r="H346" s="32" t="str">
        <f aca="false">IF(E346="","",IFERROR(INDEX(Catégories!$B$5:$B$60,MATCH(E346,Catégories!$A$5:$A$60,0)),"?"))</f>
        <v/>
      </c>
      <c r="I346" s="32" t="str">
        <f aca="false">IF(E346="","",IFERROR(INDEX(Catégories!$C$5:$C$60,MATCH(E346,Catégories!$A$5:$A$60,0)),"?"))</f>
        <v/>
      </c>
      <c r="J346" s="32" t="str">
        <f aca="false">IF(E346="","",IFERROR(INDEX(Catégories!$D$5:$D$60,MATCH(E346,Catégories!$A$5:$A$60,0)),"?"))</f>
        <v/>
      </c>
      <c r="K346" s="33" t="n">
        <f aca="false">IF(H346="Recette",G346,IF(H346="Dépense",-G346,0))</f>
        <v>0</v>
      </c>
      <c r="L346" s="33" t="n">
        <f aca="false">IF(E346="",0,G346*IFERROR(INDEX(Catégories!$E$5:$E$60,MATCH(E346,Catégories!$A$5:$A$60,0)),0))</f>
        <v>0</v>
      </c>
    </row>
    <row r="347" customFormat="false" ht="15" hidden="false" customHeight="true" outlineLevel="0" collapsed="false">
      <c r="A347" s="34"/>
      <c r="B347" s="29" t="str">
        <f aca="false">IF(A347="","",YEAR(A347))</f>
        <v/>
      </c>
      <c r="G347" s="35"/>
      <c r="H347" s="32" t="str">
        <f aca="false">IF(E347="","",IFERROR(INDEX(Catégories!$B$5:$B$60,MATCH(E347,Catégories!$A$5:$A$60,0)),"?"))</f>
        <v/>
      </c>
      <c r="I347" s="32" t="str">
        <f aca="false">IF(E347="","",IFERROR(INDEX(Catégories!$C$5:$C$60,MATCH(E347,Catégories!$A$5:$A$60,0)),"?"))</f>
        <v/>
      </c>
      <c r="J347" s="32" t="str">
        <f aca="false">IF(E347="","",IFERROR(INDEX(Catégories!$D$5:$D$60,MATCH(E347,Catégories!$A$5:$A$60,0)),"?"))</f>
        <v/>
      </c>
      <c r="K347" s="33" t="n">
        <f aca="false">IF(H347="Recette",G347,IF(H347="Dépense",-G347,0))</f>
        <v>0</v>
      </c>
      <c r="L347" s="33" t="n">
        <f aca="false">IF(E347="",0,G347*IFERROR(INDEX(Catégories!$E$5:$E$60,MATCH(E347,Catégories!$A$5:$A$60,0)),0))</f>
        <v>0</v>
      </c>
    </row>
    <row r="348" customFormat="false" ht="15" hidden="false" customHeight="true" outlineLevel="0" collapsed="false">
      <c r="A348" s="34"/>
      <c r="B348" s="29" t="str">
        <f aca="false">IF(A348="","",YEAR(A348))</f>
        <v/>
      </c>
      <c r="G348" s="35"/>
      <c r="H348" s="32" t="str">
        <f aca="false">IF(E348="","",IFERROR(INDEX(Catégories!$B$5:$B$60,MATCH(E348,Catégories!$A$5:$A$60,0)),"?"))</f>
        <v/>
      </c>
      <c r="I348" s="32" t="str">
        <f aca="false">IF(E348="","",IFERROR(INDEX(Catégories!$C$5:$C$60,MATCH(E348,Catégories!$A$5:$A$60,0)),"?"))</f>
        <v/>
      </c>
      <c r="J348" s="32" t="str">
        <f aca="false">IF(E348="","",IFERROR(INDEX(Catégories!$D$5:$D$60,MATCH(E348,Catégories!$A$5:$A$60,0)),"?"))</f>
        <v/>
      </c>
      <c r="K348" s="33" t="n">
        <f aca="false">IF(H348="Recette",G348,IF(H348="Dépense",-G348,0))</f>
        <v>0</v>
      </c>
      <c r="L348" s="33" t="n">
        <f aca="false">IF(E348="",0,G348*IFERROR(INDEX(Catégories!$E$5:$E$60,MATCH(E348,Catégories!$A$5:$A$60,0)),0))</f>
        <v>0</v>
      </c>
    </row>
    <row r="349" customFormat="false" ht="15" hidden="false" customHeight="true" outlineLevel="0" collapsed="false">
      <c r="A349" s="34"/>
      <c r="B349" s="29" t="str">
        <f aca="false">IF(A349="","",YEAR(A349))</f>
        <v/>
      </c>
      <c r="G349" s="35"/>
      <c r="H349" s="32" t="str">
        <f aca="false">IF(E349="","",IFERROR(INDEX(Catégories!$B$5:$B$60,MATCH(E349,Catégories!$A$5:$A$60,0)),"?"))</f>
        <v/>
      </c>
      <c r="I349" s="32" t="str">
        <f aca="false">IF(E349="","",IFERROR(INDEX(Catégories!$C$5:$C$60,MATCH(E349,Catégories!$A$5:$A$60,0)),"?"))</f>
        <v/>
      </c>
      <c r="J349" s="32" t="str">
        <f aca="false">IF(E349="","",IFERROR(INDEX(Catégories!$D$5:$D$60,MATCH(E349,Catégories!$A$5:$A$60,0)),"?"))</f>
        <v/>
      </c>
      <c r="K349" s="33" t="n">
        <f aca="false">IF(H349="Recette",G349,IF(H349="Dépense",-G349,0))</f>
        <v>0</v>
      </c>
      <c r="L349" s="33" t="n">
        <f aca="false">IF(E349="",0,G349*IFERROR(INDEX(Catégories!$E$5:$E$60,MATCH(E349,Catégories!$A$5:$A$60,0)),0))</f>
        <v>0</v>
      </c>
    </row>
    <row r="350" customFormat="false" ht="15" hidden="false" customHeight="true" outlineLevel="0" collapsed="false">
      <c r="A350" s="34"/>
      <c r="B350" s="29" t="str">
        <f aca="false">IF(A350="","",YEAR(A350))</f>
        <v/>
      </c>
      <c r="G350" s="35"/>
      <c r="H350" s="32" t="str">
        <f aca="false">IF(E350="","",IFERROR(INDEX(Catégories!$B$5:$B$60,MATCH(E350,Catégories!$A$5:$A$60,0)),"?"))</f>
        <v/>
      </c>
      <c r="I350" s="32" t="str">
        <f aca="false">IF(E350="","",IFERROR(INDEX(Catégories!$C$5:$C$60,MATCH(E350,Catégories!$A$5:$A$60,0)),"?"))</f>
        <v/>
      </c>
      <c r="J350" s="32" t="str">
        <f aca="false">IF(E350="","",IFERROR(INDEX(Catégories!$D$5:$D$60,MATCH(E350,Catégories!$A$5:$A$60,0)),"?"))</f>
        <v/>
      </c>
      <c r="K350" s="33" t="n">
        <f aca="false">IF(H350="Recette",G350,IF(H350="Dépense",-G350,0))</f>
        <v>0</v>
      </c>
      <c r="L350" s="33" t="n">
        <f aca="false">IF(E350="",0,G350*IFERROR(INDEX(Catégories!$E$5:$E$60,MATCH(E350,Catégories!$A$5:$A$60,0)),0))</f>
        <v>0</v>
      </c>
    </row>
    <row r="351" customFormat="false" ht="15" hidden="false" customHeight="true" outlineLevel="0" collapsed="false">
      <c r="A351" s="34"/>
      <c r="B351" s="29" t="str">
        <f aca="false">IF(A351="","",YEAR(A351))</f>
        <v/>
      </c>
      <c r="G351" s="35"/>
      <c r="H351" s="32" t="str">
        <f aca="false">IF(E351="","",IFERROR(INDEX(Catégories!$B$5:$B$60,MATCH(E351,Catégories!$A$5:$A$60,0)),"?"))</f>
        <v/>
      </c>
      <c r="I351" s="32" t="str">
        <f aca="false">IF(E351="","",IFERROR(INDEX(Catégories!$C$5:$C$60,MATCH(E351,Catégories!$A$5:$A$60,0)),"?"))</f>
        <v/>
      </c>
      <c r="J351" s="32" t="str">
        <f aca="false">IF(E351="","",IFERROR(INDEX(Catégories!$D$5:$D$60,MATCH(E351,Catégories!$A$5:$A$60,0)),"?"))</f>
        <v/>
      </c>
      <c r="K351" s="33" t="n">
        <f aca="false">IF(H351="Recette",G351,IF(H351="Dépense",-G351,0))</f>
        <v>0</v>
      </c>
      <c r="L351" s="33" t="n">
        <f aca="false">IF(E351="",0,G351*IFERROR(INDEX(Catégories!$E$5:$E$60,MATCH(E351,Catégories!$A$5:$A$60,0)),0))</f>
        <v>0</v>
      </c>
    </row>
    <row r="352" customFormat="false" ht="15" hidden="false" customHeight="true" outlineLevel="0" collapsed="false">
      <c r="A352" s="34"/>
      <c r="B352" s="29" t="str">
        <f aca="false">IF(A352="","",YEAR(A352))</f>
        <v/>
      </c>
      <c r="G352" s="35"/>
      <c r="H352" s="32" t="str">
        <f aca="false">IF(E352="","",IFERROR(INDEX(Catégories!$B$5:$B$60,MATCH(E352,Catégories!$A$5:$A$60,0)),"?"))</f>
        <v/>
      </c>
      <c r="I352" s="32" t="str">
        <f aca="false">IF(E352="","",IFERROR(INDEX(Catégories!$C$5:$C$60,MATCH(E352,Catégories!$A$5:$A$60,0)),"?"))</f>
        <v/>
      </c>
      <c r="J352" s="32" t="str">
        <f aca="false">IF(E352="","",IFERROR(INDEX(Catégories!$D$5:$D$60,MATCH(E352,Catégories!$A$5:$A$60,0)),"?"))</f>
        <v/>
      </c>
      <c r="K352" s="33" t="n">
        <f aca="false">IF(H352="Recette",G352,IF(H352="Dépense",-G352,0))</f>
        <v>0</v>
      </c>
      <c r="L352" s="33" t="n">
        <f aca="false">IF(E352="",0,G352*IFERROR(INDEX(Catégories!$E$5:$E$60,MATCH(E352,Catégories!$A$5:$A$60,0)),0))</f>
        <v>0</v>
      </c>
    </row>
    <row r="353" customFormat="false" ht="15" hidden="false" customHeight="true" outlineLevel="0" collapsed="false">
      <c r="A353" s="34"/>
      <c r="B353" s="29" t="str">
        <f aca="false">IF(A353="","",YEAR(A353))</f>
        <v/>
      </c>
      <c r="G353" s="35"/>
      <c r="H353" s="32" t="str">
        <f aca="false">IF(E353="","",IFERROR(INDEX(Catégories!$B$5:$B$60,MATCH(E353,Catégories!$A$5:$A$60,0)),"?"))</f>
        <v/>
      </c>
      <c r="I353" s="32" t="str">
        <f aca="false">IF(E353="","",IFERROR(INDEX(Catégories!$C$5:$C$60,MATCH(E353,Catégories!$A$5:$A$60,0)),"?"))</f>
        <v/>
      </c>
      <c r="J353" s="32" t="str">
        <f aca="false">IF(E353="","",IFERROR(INDEX(Catégories!$D$5:$D$60,MATCH(E353,Catégories!$A$5:$A$60,0)),"?"))</f>
        <v/>
      </c>
      <c r="K353" s="33" t="n">
        <f aca="false">IF(H353="Recette",G353,IF(H353="Dépense",-G353,0))</f>
        <v>0</v>
      </c>
      <c r="L353" s="33" t="n">
        <f aca="false">IF(E353="",0,G353*IFERROR(INDEX(Catégories!$E$5:$E$60,MATCH(E353,Catégories!$A$5:$A$60,0)),0))</f>
        <v>0</v>
      </c>
    </row>
    <row r="354" customFormat="false" ht="15" hidden="false" customHeight="true" outlineLevel="0" collapsed="false">
      <c r="A354" s="34"/>
      <c r="B354" s="29" t="str">
        <f aca="false">IF(A354="","",YEAR(A354))</f>
        <v/>
      </c>
      <c r="G354" s="35"/>
      <c r="H354" s="32" t="str">
        <f aca="false">IF(E354="","",IFERROR(INDEX(Catégories!$B$5:$B$60,MATCH(E354,Catégories!$A$5:$A$60,0)),"?"))</f>
        <v/>
      </c>
      <c r="I354" s="32" t="str">
        <f aca="false">IF(E354="","",IFERROR(INDEX(Catégories!$C$5:$C$60,MATCH(E354,Catégories!$A$5:$A$60,0)),"?"))</f>
        <v/>
      </c>
      <c r="J354" s="32" t="str">
        <f aca="false">IF(E354="","",IFERROR(INDEX(Catégories!$D$5:$D$60,MATCH(E354,Catégories!$A$5:$A$60,0)),"?"))</f>
        <v/>
      </c>
      <c r="K354" s="33" t="n">
        <f aca="false">IF(H354="Recette",G354,IF(H354="Dépense",-G354,0))</f>
        <v>0</v>
      </c>
      <c r="L354" s="33" t="n">
        <f aca="false">IF(E354="",0,G354*IFERROR(INDEX(Catégories!$E$5:$E$60,MATCH(E354,Catégories!$A$5:$A$60,0)),0))</f>
        <v>0</v>
      </c>
    </row>
    <row r="355" customFormat="false" ht="15" hidden="false" customHeight="true" outlineLevel="0" collapsed="false">
      <c r="A355" s="34"/>
      <c r="B355" s="29" t="str">
        <f aca="false">IF(A355="","",YEAR(A355))</f>
        <v/>
      </c>
      <c r="G355" s="35"/>
      <c r="H355" s="32" t="str">
        <f aca="false">IF(E355="","",IFERROR(INDEX(Catégories!$B$5:$B$60,MATCH(E355,Catégories!$A$5:$A$60,0)),"?"))</f>
        <v/>
      </c>
      <c r="I355" s="32" t="str">
        <f aca="false">IF(E355="","",IFERROR(INDEX(Catégories!$C$5:$C$60,MATCH(E355,Catégories!$A$5:$A$60,0)),"?"))</f>
        <v/>
      </c>
      <c r="J355" s="32" t="str">
        <f aca="false">IF(E355="","",IFERROR(INDEX(Catégories!$D$5:$D$60,MATCH(E355,Catégories!$A$5:$A$60,0)),"?"))</f>
        <v/>
      </c>
      <c r="K355" s="33" t="n">
        <f aca="false">IF(H355="Recette",G355,IF(H355="Dépense",-G355,0))</f>
        <v>0</v>
      </c>
      <c r="L355" s="33" t="n">
        <f aca="false">IF(E355="",0,G355*IFERROR(INDEX(Catégories!$E$5:$E$60,MATCH(E355,Catégories!$A$5:$A$60,0)),0))</f>
        <v>0</v>
      </c>
    </row>
    <row r="356" customFormat="false" ht="15" hidden="false" customHeight="true" outlineLevel="0" collapsed="false">
      <c r="A356" s="34"/>
      <c r="B356" s="29" t="str">
        <f aca="false">IF(A356="","",YEAR(A356))</f>
        <v/>
      </c>
      <c r="G356" s="35"/>
      <c r="H356" s="32" t="str">
        <f aca="false">IF(E356="","",IFERROR(INDEX(Catégories!$B$5:$B$60,MATCH(E356,Catégories!$A$5:$A$60,0)),"?"))</f>
        <v/>
      </c>
      <c r="I356" s="32" t="str">
        <f aca="false">IF(E356="","",IFERROR(INDEX(Catégories!$C$5:$C$60,MATCH(E356,Catégories!$A$5:$A$60,0)),"?"))</f>
        <v/>
      </c>
      <c r="J356" s="32" t="str">
        <f aca="false">IF(E356="","",IFERROR(INDEX(Catégories!$D$5:$D$60,MATCH(E356,Catégories!$A$5:$A$60,0)),"?"))</f>
        <v/>
      </c>
      <c r="K356" s="33" t="n">
        <f aca="false">IF(H356="Recette",G356,IF(H356="Dépense",-G356,0))</f>
        <v>0</v>
      </c>
      <c r="L356" s="33" t="n">
        <f aca="false">IF(E356="",0,G356*IFERROR(INDEX(Catégories!$E$5:$E$60,MATCH(E356,Catégories!$A$5:$A$60,0)),0))</f>
        <v>0</v>
      </c>
    </row>
    <row r="357" customFormat="false" ht="15" hidden="false" customHeight="true" outlineLevel="0" collapsed="false">
      <c r="A357" s="34"/>
      <c r="B357" s="29" t="str">
        <f aca="false">IF(A357="","",YEAR(A357))</f>
        <v/>
      </c>
      <c r="G357" s="35"/>
      <c r="H357" s="32" t="str">
        <f aca="false">IF(E357="","",IFERROR(INDEX(Catégories!$B$5:$B$60,MATCH(E357,Catégories!$A$5:$A$60,0)),"?"))</f>
        <v/>
      </c>
      <c r="I357" s="32" t="str">
        <f aca="false">IF(E357="","",IFERROR(INDEX(Catégories!$C$5:$C$60,MATCH(E357,Catégories!$A$5:$A$60,0)),"?"))</f>
        <v/>
      </c>
      <c r="J357" s="32" t="str">
        <f aca="false">IF(E357="","",IFERROR(INDEX(Catégories!$D$5:$D$60,MATCH(E357,Catégories!$A$5:$A$60,0)),"?"))</f>
        <v/>
      </c>
      <c r="K357" s="33" t="n">
        <f aca="false">IF(H357="Recette",G357,IF(H357="Dépense",-G357,0))</f>
        <v>0</v>
      </c>
      <c r="L357" s="33" t="n">
        <f aca="false">IF(E357="",0,G357*IFERROR(INDEX(Catégories!$E$5:$E$60,MATCH(E357,Catégories!$A$5:$A$60,0)),0))</f>
        <v>0</v>
      </c>
    </row>
    <row r="358" customFormat="false" ht="15" hidden="false" customHeight="true" outlineLevel="0" collapsed="false">
      <c r="A358" s="34"/>
      <c r="B358" s="29" t="str">
        <f aca="false">IF(A358="","",YEAR(A358))</f>
        <v/>
      </c>
      <c r="G358" s="35"/>
      <c r="H358" s="32" t="str">
        <f aca="false">IF(E358="","",IFERROR(INDEX(Catégories!$B$5:$B$60,MATCH(E358,Catégories!$A$5:$A$60,0)),"?"))</f>
        <v/>
      </c>
      <c r="I358" s="32" t="str">
        <f aca="false">IF(E358="","",IFERROR(INDEX(Catégories!$C$5:$C$60,MATCH(E358,Catégories!$A$5:$A$60,0)),"?"))</f>
        <v/>
      </c>
      <c r="J358" s="32" t="str">
        <f aca="false">IF(E358="","",IFERROR(INDEX(Catégories!$D$5:$D$60,MATCH(E358,Catégories!$A$5:$A$60,0)),"?"))</f>
        <v/>
      </c>
      <c r="K358" s="33" t="n">
        <f aca="false">IF(H358="Recette",G358,IF(H358="Dépense",-G358,0))</f>
        <v>0</v>
      </c>
      <c r="L358" s="33" t="n">
        <f aca="false">IF(E358="",0,G358*IFERROR(INDEX(Catégories!$E$5:$E$60,MATCH(E358,Catégories!$A$5:$A$60,0)),0))</f>
        <v>0</v>
      </c>
    </row>
    <row r="359" customFormat="false" ht="15" hidden="false" customHeight="true" outlineLevel="0" collapsed="false">
      <c r="A359" s="34"/>
      <c r="B359" s="29" t="str">
        <f aca="false">IF(A359="","",YEAR(A359))</f>
        <v/>
      </c>
      <c r="G359" s="35"/>
      <c r="H359" s="32" t="str">
        <f aca="false">IF(E359="","",IFERROR(INDEX(Catégories!$B$5:$B$60,MATCH(E359,Catégories!$A$5:$A$60,0)),"?"))</f>
        <v/>
      </c>
      <c r="I359" s="32" t="str">
        <f aca="false">IF(E359="","",IFERROR(INDEX(Catégories!$C$5:$C$60,MATCH(E359,Catégories!$A$5:$A$60,0)),"?"))</f>
        <v/>
      </c>
      <c r="J359" s="32" t="str">
        <f aca="false">IF(E359="","",IFERROR(INDEX(Catégories!$D$5:$D$60,MATCH(E359,Catégories!$A$5:$A$60,0)),"?"))</f>
        <v/>
      </c>
      <c r="K359" s="33" t="n">
        <f aca="false">IF(H359="Recette",G359,IF(H359="Dépense",-G359,0))</f>
        <v>0</v>
      </c>
      <c r="L359" s="33" t="n">
        <f aca="false">IF(E359="",0,G359*IFERROR(INDEX(Catégories!$E$5:$E$60,MATCH(E359,Catégories!$A$5:$A$60,0)),0))</f>
        <v>0</v>
      </c>
    </row>
    <row r="360" customFormat="false" ht="15" hidden="false" customHeight="true" outlineLevel="0" collapsed="false">
      <c r="A360" s="34"/>
      <c r="B360" s="29" t="str">
        <f aca="false">IF(A360="","",YEAR(A360))</f>
        <v/>
      </c>
      <c r="G360" s="35"/>
      <c r="H360" s="32" t="str">
        <f aca="false">IF(E360="","",IFERROR(INDEX(Catégories!$B$5:$B$60,MATCH(E360,Catégories!$A$5:$A$60,0)),"?"))</f>
        <v/>
      </c>
      <c r="I360" s="32" t="str">
        <f aca="false">IF(E360="","",IFERROR(INDEX(Catégories!$C$5:$C$60,MATCH(E360,Catégories!$A$5:$A$60,0)),"?"))</f>
        <v/>
      </c>
      <c r="J360" s="32" t="str">
        <f aca="false">IF(E360="","",IFERROR(INDEX(Catégories!$D$5:$D$60,MATCH(E360,Catégories!$A$5:$A$60,0)),"?"))</f>
        <v/>
      </c>
      <c r="K360" s="33" t="n">
        <f aca="false">IF(H360="Recette",G360,IF(H360="Dépense",-G360,0))</f>
        <v>0</v>
      </c>
      <c r="L360" s="33" t="n">
        <f aca="false">IF(E360="",0,G360*IFERROR(INDEX(Catégories!$E$5:$E$60,MATCH(E360,Catégories!$A$5:$A$60,0)),0))</f>
        <v>0</v>
      </c>
    </row>
    <row r="361" customFormat="false" ht="15" hidden="false" customHeight="true" outlineLevel="0" collapsed="false">
      <c r="A361" s="34"/>
      <c r="B361" s="29" t="str">
        <f aca="false">IF(A361="","",YEAR(A361))</f>
        <v/>
      </c>
      <c r="G361" s="35"/>
      <c r="H361" s="32" t="str">
        <f aca="false">IF(E361="","",IFERROR(INDEX(Catégories!$B$5:$B$60,MATCH(E361,Catégories!$A$5:$A$60,0)),"?"))</f>
        <v/>
      </c>
      <c r="I361" s="32" t="str">
        <f aca="false">IF(E361="","",IFERROR(INDEX(Catégories!$C$5:$C$60,MATCH(E361,Catégories!$A$5:$A$60,0)),"?"))</f>
        <v/>
      </c>
      <c r="J361" s="32" t="str">
        <f aca="false">IF(E361="","",IFERROR(INDEX(Catégories!$D$5:$D$60,MATCH(E361,Catégories!$A$5:$A$60,0)),"?"))</f>
        <v/>
      </c>
      <c r="K361" s="33" t="n">
        <f aca="false">IF(H361="Recette",G361,IF(H361="Dépense",-G361,0))</f>
        <v>0</v>
      </c>
      <c r="L361" s="33" t="n">
        <f aca="false">IF(E361="",0,G361*IFERROR(INDEX(Catégories!$E$5:$E$60,MATCH(E361,Catégories!$A$5:$A$60,0)),0))</f>
        <v>0</v>
      </c>
    </row>
    <row r="362" customFormat="false" ht="15" hidden="false" customHeight="true" outlineLevel="0" collapsed="false">
      <c r="A362" s="34"/>
      <c r="B362" s="29" t="str">
        <f aca="false">IF(A362="","",YEAR(A362))</f>
        <v/>
      </c>
      <c r="G362" s="35"/>
      <c r="H362" s="32" t="str">
        <f aca="false">IF(E362="","",IFERROR(INDEX(Catégories!$B$5:$B$60,MATCH(E362,Catégories!$A$5:$A$60,0)),"?"))</f>
        <v/>
      </c>
      <c r="I362" s="32" t="str">
        <f aca="false">IF(E362="","",IFERROR(INDEX(Catégories!$C$5:$C$60,MATCH(E362,Catégories!$A$5:$A$60,0)),"?"))</f>
        <v/>
      </c>
      <c r="J362" s="32" t="str">
        <f aca="false">IF(E362="","",IFERROR(INDEX(Catégories!$D$5:$D$60,MATCH(E362,Catégories!$A$5:$A$60,0)),"?"))</f>
        <v/>
      </c>
      <c r="K362" s="33" t="n">
        <f aca="false">IF(H362="Recette",G362,IF(H362="Dépense",-G362,0))</f>
        <v>0</v>
      </c>
      <c r="L362" s="33" t="n">
        <f aca="false">IF(E362="",0,G362*IFERROR(INDEX(Catégories!$E$5:$E$60,MATCH(E362,Catégories!$A$5:$A$60,0)),0))</f>
        <v>0</v>
      </c>
    </row>
    <row r="363" customFormat="false" ht="15" hidden="false" customHeight="true" outlineLevel="0" collapsed="false">
      <c r="A363" s="34"/>
      <c r="B363" s="29" t="str">
        <f aca="false">IF(A363="","",YEAR(A363))</f>
        <v/>
      </c>
      <c r="G363" s="35"/>
      <c r="H363" s="32" t="str">
        <f aca="false">IF(E363="","",IFERROR(INDEX(Catégories!$B$5:$B$60,MATCH(E363,Catégories!$A$5:$A$60,0)),"?"))</f>
        <v/>
      </c>
      <c r="I363" s="32" t="str">
        <f aca="false">IF(E363="","",IFERROR(INDEX(Catégories!$C$5:$C$60,MATCH(E363,Catégories!$A$5:$A$60,0)),"?"))</f>
        <v/>
      </c>
      <c r="J363" s="32" t="str">
        <f aca="false">IF(E363="","",IFERROR(INDEX(Catégories!$D$5:$D$60,MATCH(E363,Catégories!$A$5:$A$60,0)),"?"))</f>
        <v/>
      </c>
      <c r="K363" s="33" t="n">
        <f aca="false">IF(H363="Recette",G363,IF(H363="Dépense",-G363,0))</f>
        <v>0</v>
      </c>
      <c r="L363" s="33" t="n">
        <f aca="false">IF(E363="",0,G363*IFERROR(INDEX(Catégories!$E$5:$E$60,MATCH(E363,Catégories!$A$5:$A$60,0)),0))</f>
        <v>0</v>
      </c>
    </row>
    <row r="364" customFormat="false" ht="15" hidden="false" customHeight="true" outlineLevel="0" collapsed="false">
      <c r="A364" s="34"/>
      <c r="B364" s="29" t="str">
        <f aca="false">IF(A364="","",YEAR(A364))</f>
        <v/>
      </c>
      <c r="G364" s="35"/>
      <c r="H364" s="32" t="str">
        <f aca="false">IF(E364="","",IFERROR(INDEX(Catégories!$B$5:$B$60,MATCH(E364,Catégories!$A$5:$A$60,0)),"?"))</f>
        <v/>
      </c>
      <c r="I364" s="32" t="str">
        <f aca="false">IF(E364="","",IFERROR(INDEX(Catégories!$C$5:$C$60,MATCH(E364,Catégories!$A$5:$A$60,0)),"?"))</f>
        <v/>
      </c>
      <c r="J364" s="32" t="str">
        <f aca="false">IF(E364="","",IFERROR(INDEX(Catégories!$D$5:$D$60,MATCH(E364,Catégories!$A$5:$A$60,0)),"?"))</f>
        <v/>
      </c>
      <c r="K364" s="33" t="n">
        <f aca="false">IF(H364="Recette",G364,IF(H364="Dépense",-G364,0))</f>
        <v>0</v>
      </c>
      <c r="L364" s="33" t="n">
        <f aca="false">IF(E364="",0,G364*IFERROR(INDEX(Catégories!$E$5:$E$60,MATCH(E364,Catégories!$A$5:$A$60,0)),0))</f>
        <v>0</v>
      </c>
    </row>
    <row r="365" customFormat="false" ht="15" hidden="false" customHeight="true" outlineLevel="0" collapsed="false">
      <c r="A365" s="34"/>
      <c r="B365" s="29" t="str">
        <f aca="false">IF(A365="","",YEAR(A365))</f>
        <v/>
      </c>
      <c r="G365" s="35"/>
      <c r="H365" s="32" t="str">
        <f aca="false">IF(E365="","",IFERROR(INDEX(Catégories!$B$5:$B$60,MATCH(E365,Catégories!$A$5:$A$60,0)),"?"))</f>
        <v/>
      </c>
      <c r="I365" s="32" t="str">
        <f aca="false">IF(E365="","",IFERROR(INDEX(Catégories!$C$5:$C$60,MATCH(E365,Catégories!$A$5:$A$60,0)),"?"))</f>
        <v/>
      </c>
      <c r="J365" s="32" t="str">
        <f aca="false">IF(E365="","",IFERROR(INDEX(Catégories!$D$5:$D$60,MATCH(E365,Catégories!$A$5:$A$60,0)),"?"))</f>
        <v/>
      </c>
      <c r="K365" s="33" t="n">
        <f aca="false">IF(H365="Recette",G365,IF(H365="Dépense",-G365,0))</f>
        <v>0</v>
      </c>
      <c r="L365" s="33" t="n">
        <f aca="false">IF(E365="",0,G365*IFERROR(INDEX(Catégories!$E$5:$E$60,MATCH(E365,Catégories!$A$5:$A$60,0)),0))</f>
        <v>0</v>
      </c>
    </row>
    <row r="366" customFormat="false" ht="15" hidden="false" customHeight="true" outlineLevel="0" collapsed="false">
      <c r="A366" s="34"/>
      <c r="B366" s="29" t="str">
        <f aca="false">IF(A366="","",YEAR(A366))</f>
        <v/>
      </c>
      <c r="G366" s="35"/>
      <c r="H366" s="32" t="str">
        <f aca="false">IF(E366="","",IFERROR(INDEX(Catégories!$B$5:$B$60,MATCH(E366,Catégories!$A$5:$A$60,0)),"?"))</f>
        <v/>
      </c>
      <c r="I366" s="32" t="str">
        <f aca="false">IF(E366="","",IFERROR(INDEX(Catégories!$C$5:$C$60,MATCH(E366,Catégories!$A$5:$A$60,0)),"?"))</f>
        <v/>
      </c>
      <c r="J366" s="32" t="str">
        <f aca="false">IF(E366="","",IFERROR(INDEX(Catégories!$D$5:$D$60,MATCH(E366,Catégories!$A$5:$A$60,0)),"?"))</f>
        <v/>
      </c>
      <c r="K366" s="33" t="n">
        <f aca="false">IF(H366="Recette",G366,IF(H366="Dépense",-G366,0))</f>
        <v>0</v>
      </c>
      <c r="L366" s="33" t="n">
        <f aca="false">IF(E366="",0,G366*IFERROR(INDEX(Catégories!$E$5:$E$60,MATCH(E366,Catégories!$A$5:$A$60,0)),0))</f>
        <v>0</v>
      </c>
    </row>
    <row r="367" customFormat="false" ht="15" hidden="false" customHeight="true" outlineLevel="0" collapsed="false">
      <c r="A367" s="34"/>
      <c r="B367" s="29" t="str">
        <f aca="false">IF(A367="","",YEAR(A367))</f>
        <v/>
      </c>
      <c r="G367" s="35"/>
      <c r="H367" s="32" t="str">
        <f aca="false">IF(E367="","",IFERROR(INDEX(Catégories!$B$5:$B$60,MATCH(E367,Catégories!$A$5:$A$60,0)),"?"))</f>
        <v/>
      </c>
      <c r="I367" s="32" t="str">
        <f aca="false">IF(E367="","",IFERROR(INDEX(Catégories!$C$5:$C$60,MATCH(E367,Catégories!$A$5:$A$60,0)),"?"))</f>
        <v/>
      </c>
      <c r="J367" s="32" t="str">
        <f aca="false">IF(E367="","",IFERROR(INDEX(Catégories!$D$5:$D$60,MATCH(E367,Catégories!$A$5:$A$60,0)),"?"))</f>
        <v/>
      </c>
      <c r="K367" s="33" t="n">
        <f aca="false">IF(H367="Recette",G367,IF(H367="Dépense",-G367,0))</f>
        <v>0</v>
      </c>
      <c r="L367" s="33" t="n">
        <f aca="false">IF(E367="",0,G367*IFERROR(INDEX(Catégories!$E$5:$E$60,MATCH(E367,Catégories!$A$5:$A$60,0)),0))</f>
        <v>0</v>
      </c>
    </row>
    <row r="368" customFormat="false" ht="15" hidden="false" customHeight="true" outlineLevel="0" collapsed="false">
      <c r="A368" s="34"/>
      <c r="B368" s="29" t="str">
        <f aca="false">IF(A368="","",YEAR(A368))</f>
        <v/>
      </c>
      <c r="G368" s="35"/>
      <c r="H368" s="32" t="str">
        <f aca="false">IF(E368="","",IFERROR(INDEX(Catégories!$B$5:$B$60,MATCH(E368,Catégories!$A$5:$A$60,0)),"?"))</f>
        <v/>
      </c>
      <c r="I368" s="32" t="str">
        <f aca="false">IF(E368="","",IFERROR(INDEX(Catégories!$C$5:$C$60,MATCH(E368,Catégories!$A$5:$A$60,0)),"?"))</f>
        <v/>
      </c>
      <c r="J368" s="32" t="str">
        <f aca="false">IF(E368="","",IFERROR(INDEX(Catégories!$D$5:$D$60,MATCH(E368,Catégories!$A$5:$A$60,0)),"?"))</f>
        <v/>
      </c>
      <c r="K368" s="33" t="n">
        <f aca="false">IF(H368="Recette",G368,IF(H368="Dépense",-G368,0))</f>
        <v>0</v>
      </c>
      <c r="L368" s="33" t="n">
        <f aca="false">IF(E368="",0,G368*IFERROR(INDEX(Catégories!$E$5:$E$60,MATCH(E368,Catégories!$A$5:$A$60,0)),0))</f>
        <v>0</v>
      </c>
    </row>
    <row r="369" customFormat="false" ht="15" hidden="false" customHeight="true" outlineLevel="0" collapsed="false">
      <c r="A369" s="34"/>
      <c r="B369" s="29" t="str">
        <f aca="false">IF(A369="","",YEAR(A369))</f>
        <v/>
      </c>
      <c r="G369" s="35"/>
      <c r="H369" s="32" t="str">
        <f aca="false">IF(E369="","",IFERROR(INDEX(Catégories!$B$5:$B$60,MATCH(E369,Catégories!$A$5:$A$60,0)),"?"))</f>
        <v/>
      </c>
      <c r="I369" s="32" t="str">
        <f aca="false">IF(E369="","",IFERROR(INDEX(Catégories!$C$5:$C$60,MATCH(E369,Catégories!$A$5:$A$60,0)),"?"))</f>
        <v/>
      </c>
      <c r="J369" s="32" t="str">
        <f aca="false">IF(E369="","",IFERROR(INDEX(Catégories!$D$5:$D$60,MATCH(E369,Catégories!$A$5:$A$60,0)),"?"))</f>
        <v/>
      </c>
      <c r="K369" s="33" t="n">
        <f aca="false">IF(H369="Recette",G369,IF(H369="Dépense",-G369,0))</f>
        <v>0</v>
      </c>
      <c r="L369" s="33" t="n">
        <f aca="false">IF(E369="",0,G369*IFERROR(INDEX(Catégories!$E$5:$E$60,MATCH(E369,Catégories!$A$5:$A$60,0)),0))</f>
        <v>0</v>
      </c>
    </row>
    <row r="370" customFormat="false" ht="15" hidden="false" customHeight="true" outlineLevel="0" collapsed="false">
      <c r="A370" s="34"/>
      <c r="B370" s="29" t="str">
        <f aca="false">IF(A370="","",YEAR(A370))</f>
        <v/>
      </c>
      <c r="G370" s="35"/>
      <c r="H370" s="32" t="str">
        <f aca="false">IF(E370="","",IFERROR(INDEX(Catégories!$B$5:$B$60,MATCH(E370,Catégories!$A$5:$A$60,0)),"?"))</f>
        <v/>
      </c>
      <c r="I370" s="32" t="str">
        <f aca="false">IF(E370="","",IFERROR(INDEX(Catégories!$C$5:$C$60,MATCH(E370,Catégories!$A$5:$A$60,0)),"?"))</f>
        <v/>
      </c>
      <c r="J370" s="32" t="str">
        <f aca="false">IF(E370="","",IFERROR(INDEX(Catégories!$D$5:$D$60,MATCH(E370,Catégories!$A$5:$A$60,0)),"?"))</f>
        <v/>
      </c>
      <c r="K370" s="33" t="n">
        <f aca="false">IF(H370="Recette",G370,IF(H370="Dépense",-G370,0))</f>
        <v>0</v>
      </c>
      <c r="L370" s="33" t="n">
        <f aca="false">IF(E370="",0,G370*IFERROR(INDEX(Catégories!$E$5:$E$60,MATCH(E370,Catégories!$A$5:$A$60,0)),0))</f>
        <v>0</v>
      </c>
    </row>
    <row r="371" customFormat="false" ht="15" hidden="false" customHeight="true" outlineLevel="0" collapsed="false">
      <c r="A371" s="34"/>
      <c r="B371" s="29" t="str">
        <f aca="false">IF(A371="","",YEAR(A371))</f>
        <v/>
      </c>
      <c r="G371" s="35"/>
      <c r="H371" s="32" t="str">
        <f aca="false">IF(E371="","",IFERROR(INDEX(Catégories!$B$5:$B$60,MATCH(E371,Catégories!$A$5:$A$60,0)),"?"))</f>
        <v/>
      </c>
      <c r="I371" s="32" t="str">
        <f aca="false">IF(E371="","",IFERROR(INDEX(Catégories!$C$5:$C$60,MATCH(E371,Catégories!$A$5:$A$60,0)),"?"))</f>
        <v/>
      </c>
      <c r="J371" s="32" t="str">
        <f aca="false">IF(E371="","",IFERROR(INDEX(Catégories!$D$5:$D$60,MATCH(E371,Catégories!$A$5:$A$60,0)),"?"))</f>
        <v/>
      </c>
      <c r="K371" s="33" t="n">
        <f aca="false">IF(H371="Recette",G371,IF(H371="Dépense",-G371,0))</f>
        <v>0</v>
      </c>
      <c r="L371" s="33" t="n">
        <f aca="false">IF(E371="",0,G371*IFERROR(INDEX(Catégories!$E$5:$E$60,MATCH(E371,Catégories!$A$5:$A$60,0)),0))</f>
        <v>0</v>
      </c>
    </row>
    <row r="372" customFormat="false" ht="15" hidden="false" customHeight="true" outlineLevel="0" collapsed="false">
      <c r="A372" s="34"/>
      <c r="B372" s="29" t="str">
        <f aca="false">IF(A372="","",YEAR(A372))</f>
        <v/>
      </c>
      <c r="G372" s="35"/>
      <c r="H372" s="32" t="str">
        <f aca="false">IF(E372="","",IFERROR(INDEX(Catégories!$B$5:$B$60,MATCH(E372,Catégories!$A$5:$A$60,0)),"?"))</f>
        <v/>
      </c>
      <c r="I372" s="32" t="str">
        <f aca="false">IF(E372="","",IFERROR(INDEX(Catégories!$C$5:$C$60,MATCH(E372,Catégories!$A$5:$A$60,0)),"?"))</f>
        <v/>
      </c>
      <c r="J372" s="32" t="str">
        <f aca="false">IF(E372="","",IFERROR(INDEX(Catégories!$D$5:$D$60,MATCH(E372,Catégories!$A$5:$A$60,0)),"?"))</f>
        <v/>
      </c>
      <c r="K372" s="33" t="n">
        <f aca="false">IF(H372="Recette",G372,IF(H372="Dépense",-G372,0))</f>
        <v>0</v>
      </c>
      <c r="L372" s="33" t="n">
        <f aca="false">IF(E372="",0,G372*IFERROR(INDEX(Catégories!$E$5:$E$60,MATCH(E372,Catégories!$A$5:$A$60,0)),0))</f>
        <v>0</v>
      </c>
    </row>
    <row r="373" customFormat="false" ht="15" hidden="false" customHeight="true" outlineLevel="0" collapsed="false">
      <c r="A373" s="34"/>
      <c r="B373" s="29" t="str">
        <f aca="false">IF(A373="","",YEAR(A373))</f>
        <v/>
      </c>
      <c r="G373" s="35"/>
      <c r="H373" s="32" t="str">
        <f aca="false">IF(E373="","",IFERROR(INDEX(Catégories!$B$5:$B$60,MATCH(E373,Catégories!$A$5:$A$60,0)),"?"))</f>
        <v/>
      </c>
      <c r="I373" s="32" t="str">
        <f aca="false">IF(E373="","",IFERROR(INDEX(Catégories!$C$5:$C$60,MATCH(E373,Catégories!$A$5:$A$60,0)),"?"))</f>
        <v/>
      </c>
      <c r="J373" s="32" t="str">
        <f aca="false">IF(E373="","",IFERROR(INDEX(Catégories!$D$5:$D$60,MATCH(E373,Catégories!$A$5:$A$60,0)),"?"))</f>
        <v/>
      </c>
      <c r="K373" s="33" t="n">
        <f aca="false">IF(H373="Recette",G373,IF(H373="Dépense",-G373,0))</f>
        <v>0</v>
      </c>
      <c r="L373" s="33" t="n">
        <f aca="false">IF(E373="",0,G373*IFERROR(INDEX(Catégories!$E$5:$E$60,MATCH(E373,Catégories!$A$5:$A$60,0)),0))</f>
        <v>0</v>
      </c>
    </row>
    <row r="374" customFormat="false" ht="15" hidden="false" customHeight="true" outlineLevel="0" collapsed="false">
      <c r="A374" s="34"/>
      <c r="B374" s="29" t="str">
        <f aca="false">IF(A374="","",YEAR(A374))</f>
        <v/>
      </c>
      <c r="G374" s="35"/>
      <c r="H374" s="32" t="str">
        <f aca="false">IF(E374="","",IFERROR(INDEX(Catégories!$B$5:$B$60,MATCH(E374,Catégories!$A$5:$A$60,0)),"?"))</f>
        <v/>
      </c>
      <c r="I374" s="32" t="str">
        <f aca="false">IF(E374="","",IFERROR(INDEX(Catégories!$C$5:$C$60,MATCH(E374,Catégories!$A$5:$A$60,0)),"?"))</f>
        <v/>
      </c>
      <c r="J374" s="32" t="str">
        <f aca="false">IF(E374="","",IFERROR(INDEX(Catégories!$D$5:$D$60,MATCH(E374,Catégories!$A$5:$A$60,0)),"?"))</f>
        <v/>
      </c>
      <c r="K374" s="33" t="n">
        <f aca="false">IF(H374="Recette",G374,IF(H374="Dépense",-G374,0))</f>
        <v>0</v>
      </c>
      <c r="L374" s="33" t="n">
        <f aca="false">IF(E374="",0,G374*IFERROR(INDEX(Catégories!$E$5:$E$60,MATCH(E374,Catégories!$A$5:$A$60,0)),0))</f>
        <v>0</v>
      </c>
    </row>
    <row r="375" customFormat="false" ht="15" hidden="false" customHeight="true" outlineLevel="0" collapsed="false">
      <c r="A375" s="34"/>
      <c r="B375" s="29" t="str">
        <f aca="false">IF(A375="","",YEAR(A375))</f>
        <v/>
      </c>
      <c r="G375" s="35"/>
      <c r="H375" s="32" t="str">
        <f aca="false">IF(E375="","",IFERROR(INDEX(Catégories!$B$5:$B$60,MATCH(E375,Catégories!$A$5:$A$60,0)),"?"))</f>
        <v/>
      </c>
      <c r="I375" s="32" t="str">
        <f aca="false">IF(E375="","",IFERROR(INDEX(Catégories!$C$5:$C$60,MATCH(E375,Catégories!$A$5:$A$60,0)),"?"))</f>
        <v/>
      </c>
      <c r="J375" s="32" t="str">
        <f aca="false">IF(E375="","",IFERROR(INDEX(Catégories!$D$5:$D$60,MATCH(E375,Catégories!$A$5:$A$60,0)),"?"))</f>
        <v/>
      </c>
      <c r="K375" s="33" t="n">
        <f aca="false">IF(H375="Recette",G375,IF(H375="Dépense",-G375,0))</f>
        <v>0</v>
      </c>
      <c r="L375" s="33" t="n">
        <f aca="false">IF(E375="",0,G375*IFERROR(INDEX(Catégories!$E$5:$E$60,MATCH(E375,Catégories!$A$5:$A$60,0)),0))</f>
        <v>0</v>
      </c>
    </row>
    <row r="376" customFormat="false" ht="15" hidden="false" customHeight="true" outlineLevel="0" collapsed="false">
      <c r="A376" s="34"/>
      <c r="B376" s="29" t="str">
        <f aca="false">IF(A376="","",YEAR(A376))</f>
        <v/>
      </c>
      <c r="G376" s="35"/>
      <c r="H376" s="32" t="str">
        <f aca="false">IF(E376="","",IFERROR(INDEX(Catégories!$B$5:$B$60,MATCH(E376,Catégories!$A$5:$A$60,0)),"?"))</f>
        <v/>
      </c>
      <c r="I376" s="32" t="str">
        <f aca="false">IF(E376="","",IFERROR(INDEX(Catégories!$C$5:$C$60,MATCH(E376,Catégories!$A$5:$A$60,0)),"?"))</f>
        <v/>
      </c>
      <c r="J376" s="32" t="str">
        <f aca="false">IF(E376="","",IFERROR(INDEX(Catégories!$D$5:$D$60,MATCH(E376,Catégories!$A$5:$A$60,0)),"?"))</f>
        <v/>
      </c>
      <c r="K376" s="33" t="n">
        <f aca="false">IF(H376="Recette",G376,IF(H376="Dépense",-G376,0))</f>
        <v>0</v>
      </c>
      <c r="L376" s="33" t="n">
        <f aca="false">IF(E376="",0,G376*IFERROR(INDEX(Catégories!$E$5:$E$60,MATCH(E376,Catégories!$A$5:$A$60,0)),0))</f>
        <v>0</v>
      </c>
    </row>
    <row r="377" customFormat="false" ht="15" hidden="false" customHeight="true" outlineLevel="0" collapsed="false">
      <c r="A377" s="34"/>
      <c r="B377" s="29" t="str">
        <f aca="false">IF(A377="","",YEAR(A377))</f>
        <v/>
      </c>
      <c r="G377" s="35"/>
      <c r="H377" s="32" t="str">
        <f aca="false">IF(E377="","",IFERROR(INDEX(Catégories!$B$5:$B$60,MATCH(E377,Catégories!$A$5:$A$60,0)),"?"))</f>
        <v/>
      </c>
      <c r="I377" s="32" t="str">
        <f aca="false">IF(E377="","",IFERROR(INDEX(Catégories!$C$5:$C$60,MATCH(E377,Catégories!$A$5:$A$60,0)),"?"))</f>
        <v/>
      </c>
      <c r="J377" s="32" t="str">
        <f aca="false">IF(E377="","",IFERROR(INDEX(Catégories!$D$5:$D$60,MATCH(E377,Catégories!$A$5:$A$60,0)),"?"))</f>
        <v/>
      </c>
      <c r="K377" s="33" t="n">
        <f aca="false">IF(H377="Recette",G377,IF(H377="Dépense",-G377,0))</f>
        <v>0</v>
      </c>
      <c r="L377" s="33" t="n">
        <f aca="false">IF(E377="",0,G377*IFERROR(INDEX(Catégories!$E$5:$E$60,MATCH(E377,Catégories!$A$5:$A$60,0)),0))</f>
        <v>0</v>
      </c>
    </row>
    <row r="378" customFormat="false" ht="15" hidden="false" customHeight="true" outlineLevel="0" collapsed="false">
      <c r="A378" s="34"/>
      <c r="B378" s="29" t="str">
        <f aca="false">IF(A378="","",YEAR(A378))</f>
        <v/>
      </c>
      <c r="G378" s="35"/>
      <c r="H378" s="32" t="str">
        <f aca="false">IF(E378="","",IFERROR(INDEX(Catégories!$B$5:$B$60,MATCH(E378,Catégories!$A$5:$A$60,0)),"?"))</f>
        <v/>
      </c>
      <c r="I378" s="32" t="str">
        <f aca="false">IF(E378="","",IFERROR(INDEX(Catégories!$C$5:$C$60,MATCH(E378,Catégories!$A$5:$A$60,0)),"?"))</f>
        <v/>
      </c>
      <c r="J378" s="32" t="str">
        <f aca="false">IF(E378="","",IFERROR(INDEX(Catégories!$D$5:$D$60,MATCH(E378,Catégories!$A$5:$A$60,0)),"?"))</f>
        <v/>
      </c>
      <c r="K378" s="33" t="n">
        <f aca="false">IF(H378="Recette",G378,IF(H378="Dépense",-G378,0))</f>
        <v>0</v>
      </c>
      <c r="L378" s="33" t="n">
        <f aca="false">IF(E378="",0,G378*IFERROR(INDEX(Catégories!$E$5:$E$60,MATCH(E378,Catégories!$A$5:$A$60,0)),0))</f>
        <v>0</v>
      </c>
    </row>
    <row r="379" customFormat="false" ht="15" hidden="false" customHeight="true" outlineLevel="0" collapsed="false">
      <c r="A379" s="34"/>
      <c r="B379" s="29" t="str">
        <f aca="false">IF(A379="","",YEAR(A379))</f>
        <v/>
      </c>
      <c r="G379" s="35"/>
      <c r="H379" s="32" t="str">
        <f aca="false">IF(E379="","",IFERROR(INDEX(Catégories!$B$5:$B$60,MATCH(E379,Catégories!$A$5:$A$60,0)),"?"))</f>
        <v/>
      </c>
      <c r="I379" s="32" t="str">
        <f aca="false">IF(E379="","",IFERROR(INDEX(Catégories!$C$5:$C$60,MATCH(E379,Catégories!$A$5:$A$60,0)),"?"))</f>
        <v/>
      </c>
      <c r="J379" s="32" t="str">
        <f aca="false">IF(E379="","",IFERROR(INDEX(Catégories!$D$5:$D$60,MATCH(E379,Catégories!$A$5:$A$60,0)),"?"))</f>
        <v/>
      </c>
      <c r="K379" s="33" t="n">
        <f aca="false">IF(H379="Recette",G379,IF(H379="Dépense",-G379,0))</f>
        <v>0</v>
      </c>
      <c r="L379" s="33" t="n">
        <f aca="false">IF(E379="",0,G379*IFERROR(INDEX(Catégories!$E$5:$E$60,MATCH(E379,Catégories!$A$5:$A$60,0)),0))</f>
        <v>0</v>
      </c>
    </row>
    <row r="380" customFormat="false" ht="15" hidden="false" customHeight="true" outlineLevel="0" collapsed="false">
      <c r="A380" s="34"/>
      <c r="B380" s="29" t="str">
        <f aca="false">IF(A380="","",YEAR(A380))</f>
        <v/>
      </c>
      <c r="G380" s="35"/>
      <c r="H380" s="32" t="str">
        <f aca="false">IF(E380="","",IFERROR(INDEX(Catégories!$B$5:$B$60,MATCH(E380,Catégories!$A$5:$A$60,0)),"?"))</f>
        <v/>
      </c>
      <c r="I380" s="32" t="str">
        <f aca="false">IF(E380="","",IFERROR(INDEX(Catégories!$C$5:$C$60,MATCH(E380,Catégories!$A$5:$A$60,0)),"?"))</f>
        <v/>
      </c>
      <c r="J380" s="32" t="str">
        <f aca="false">IF(E380="","",IFERROR(INDEX(Catégories!$D$5:$D$60,MATCH(E380,Catégories!$A$5:$A$60,0)),"?"))</f>
        <v/>
      </c>
      <c r="K380" s="33" t="n">
        <f aca="false">IF(H380="Recette",G380,IF(H380="Dépense",-G380,0))</f>
        <v>0</v>
      </c>
      <c r="L380" s="33" t="n">
        <f aca="false">IF(E380="",0,G380*IFERROR(INDEX(Catégories!$E$5:$E$60,MATCH(E380,Catégories!$A$5:$A$60,0)),0))</f>
        <v>0</v>
      </c>
    </row>
    <row r="381" customFormat="false" ht="15" hidden="false" customHeight="true" outlineLevel="0" collapsed="false">
      <c r="A381" s="34"/>
      <c r="B381" s="29" t="str">
        <f aca="false">IF(A381="","",YEAR(A381))</f>
        <v/>
      </c>
      <c r="G381" s="35"/>
      <c r="H381" s="32" t="str">
        <f aca="false">IF(E381="","",IFERROR(INDEX(Catégories!$B$5:$B$60,MATCH(E381,Catégories!$A$5:$A$60,0)),"?"))</f>
        <v/>
      </c>
      <c r="I381" s="32" t="str">
        <f aca="false">IF(E381="","",IFERROR(INDEX(Catégories!$C$5:$C$60,MATCH(E381,Catégories!$A$5:$A$60,0)),"?"))</f>
        <v/>
      </c>
      <c r="J381" s="32" t="str">
        <f aca="false">IF(E381="","",IFERROR(INDEX(Catégories!$D$5:$D$60,MATCH(E381,Catégories!$A$5:$A$60,0)),"?"))</f>
        <v/>
      </c>
      <c r="K381" s="33" t="n">
        <f aca="false">IF(H381="Recette",G381,IF(H381="Dépense",-G381,0))</f>
        <v>0</v>
      </c>
      <c r="L381" s="33" t="n">
        <f aca="false">IF(E381="",0,G381*IFERROR(INDEX(Catégories!$E$5:$E$60,MATCH(E381,Catégories!$A$5:$A$60,0)),0))</f>
        <v>0</v>
      </c>
    </row>
    <row r="382" customFormat="false" ht="15" hidden="false" customHeight="true" outlineLevel="0" collapsed="false">
      <c r="A382" s="34"/>
      <c r="B382" s="29" t="str">
        <f aca="false">IF(A382="","",YEAR(A382))</f>
        <v/>
      </c>
      <c r="G382" s="35"/>
      <c r="H382" s="32" t="str">
        <f aca="false">IF(E382="","",IFERROR(INDEX(Catégories!$B$5:$B$60,MATCH(E382,Catégories!$A$5:$A$60,0)),"?"))</f>
        <v/>
      </c>
      <c r="I382" s="32" t="str">
        <f aca="false">IF(E382="","",IFERROR(INDEX(Catégories!$C$5:$C$60,MATCH(E382,Catégories!$A$5:$A$60,0)),"?"))</f>
        <v/>
      </c>
      <c r="J382" s="32" t="str">
        <f aca="false">IF(E382="","",IFERROR(INDEX(Catégories!$D$5:$D$60,MATCH(E382,Catégories!$A$5:$A$60,0)),"?"))</f>
        <v/>
      </c>
      <c r="K382" s="33" t="n">
        <f aca="false">IF(H382="Recette",G382,IF(H382="Dépense",-G382,0))</f>
        <v>0</v>
      </c>
      <c r="L382" s="33" t="n">
        <f aca="false">IF(E382="",0,G382*IFERROR(INDEX(Catégories!$E$5:$E$60,MATCH(E382,Catégories!$A$5:$A$60,0)),0))</f>
        <v>0</v>
      </c>
    </row>
    <row r="383" customFormat="false" ht="15" hidden="false" customHeight="true" outlineLevel="0" collapsed="false">
      <c r="A383" s="34"/>
      <c r="B383" s="29" t="str">
        <f aca="false">IF(A383="","",YEAR(A383))</f>
        <v/>
      </c>
      <c r="G383" s="35"/>
      <c r="H383" s="32" t="str">
        <f aca="false">IF(E383="","",IFERROR(INDEX(Catégories!$B$5:$B$60,MATCH(E383,Catégories!$A$5:$A$60,0)),"?"))</f>
        <v/>
      </c>
      <c r="I383" s="32" t="str">
        <f aca="false">IF(E383="","",IFERROR(INDEX(Catégories!$C$5:$C$60,MATCH(E383,Catégories!$A$5:$A$60,0)),"?"))</f>
        <v/>
      </c>
      <c r="J383" s="32" t="str">
        <f aca="false">IF(E383="","",IFERROR(INDEX(Catégories!$D$5:$D$60,MATCH(E383,Catégories!$A$5:$A$60,0)),"?"))</f>
        <v/>
      </c>
      <c r="K383" s="33" t="n">
        <f aca="false">IF(H383="Recette",G383,IF(H383="Dépense",-G383,0))</f>
        <v>0</v>
      </c>
      <c r="L383" s="33" t="n">
        <f aca="false">IF(E383="",0,G383*IFERROR(INDEX(Catégories!$E$5:$E$60,MATCH(E383,Catégories!$A$5:$A$60,0)),0))</f>
        <v>0</v>
      </c>
    </row>
    <row r="384" customFormat="false" ht="15" hidden="false" customHeight="true" outlineLevel="0" collapsed="false">
      <c r="A384" s="34"/>
      <c r="B384" s="29" t="str">
        <f aca="false">IF(A384="","",YEAR(A384))</f>
        <v/>
      </c>
      <c r="G384" s="35"/>
      <c r="H384" s="32" t="str">
        <f aca="false">IF(E384="","",IFERROR(INDEX(Catégories!$B$5:$B$60,MATCH(E384,Catégories!$A$5:$A$60,0)),"?"))</f>
        <v/>
      </c>
      <c r="I384" s="32" t="str">
        <f aca="false">IF(E384="","",IFERROR(INDEX(Catégories!$C$5:$C$60,MATCH(E384,Catégories!$A$5:$A$60,0)),"?"))</f>
        <v/>
      </c>
      <c r="J384" s="32" t="str">
        <f aca="false">IF(E384="","",IFERROR(INDEX(Catégories!$D$5:$D$60,MATCH(E384,Catégories!$A$5:$A$60,0)),"?"))</f>
        <v/>
      </c>
      <c r="K384" s="33" t="n">
        <f aca="false">IF(H384="Recette",G384,IF(H384="Dépense",-G384,0))</f>
        <v>0</v>
      </c>
      <c r="L384" s="33" t="n">
        <f aca="false">IF(E384="",0,G384*IFERROR(INDEX(Catégories!$E$5:$E$60,MATCH(E384,Catégories!$A$5:$A$60,0)),0))</f>
        <v>0</v>
      </c>
    </row>
    <row r="385" customFormat="false" ht="15" hidden="false" customHeight="true" outlineLevel="0" collapsed="false">
      <c r="A385" s="34"/>
      <c r="B385" s="29" t="str">
        <f aca="false">IF(A385="","",YEAR(A385))</f>
        <v/>
      </c>
      <c r="G385" s="35"/>
      <c r="H385" s="32" t="str">
        <f aca="false">IF(E385="","",IFERROR(INDEX(Catégories!$B$5:$B$60,MATCH(E385,Catégories!$A$5:$A$60,0)),"?"))</f>
        <v/>
      </c>
      <c r="I385" s="32" t="str">
        <f aca="false">IF(E385="","",IFERROR(INDEX(Catégories!$C$5:$C$60,MATCH(E385,Catégories!$A$5:$A$60,0)),"?"))</f>
        <v/>
      </c>
      <c r="J385" s="32" t="str">
        <f aca="false">IF(E385="","",IFERROR(INDEX(Catégories!$D$5:$D$60,MATCH(E385,Catégories!$A$5:$A$60,0)),"?"))</f>
        <v/>
      </c>
      <c r="K385" s="33" t="n">
        <f aca="false">IF(H385="Recette",G385,IF(H385="Dépense",-G385,0))</f>
        <v>0</v>
      </c>
      <c r="L385" s="33" t="n">
        <f aca="false">IF(E385="",0,G385*IFERROR(INDEX(Catégories!$E$5:$E$60,MATCH(E385,Catégories!$A$5:$A$60,0)),0))</f>
        <v>0</v>
      </c>
    </row>
    <row r="386" customFormat="false" ht="15" hidden="false" customHeight="true" outlineLevel="0" collapsed="false">
      <c r="A386" s="34"/>
      <c r="B386" s="29" t="str">
        <f aca="false">IF(A386="","",YEAR(A386))</f>
        <v/>
      </c>
      <c r="G386" s="35"/>
      <c r="H386" s="32" t="str">
        <f aca="false">IF(E386="","",IFERROR(INDEX(Catégories!$B$5:$B$60,MATCH(E386,Catégories!$A$5:$A$60,0)),"?"))</f>
        <v/>
      </c>
      <c r="I386" s="32" t="str">
        <f aca="false">IF(E386="","",IFERROR(INDEX(Catégories!$C$5:$C$60,MATCH(E386,Catégories!$A$5:$A$60,0)),"?"))</f>
        <v/>
      </c>
      <c r="J386" s="32" t="str">
        <f aca="false">IF(E386="","",IFERROR(INDEX(Catégories!$D$5:$D$60,MATCH(E386,Catégories!$A$5:$A$60,0)),"?"))</f>
        <v/>
      </c>
      <c r="K386" s="33" t="n">
        <f aca="false">IF(H386="Recette",G386,IF(H386="Dépense",-G386,0))</f>
        <v>0</v>
      </c>
      <c r="L386" s="33" t="n">
        <f aca="false">IF(E386="",0,G386*IFERROR(INDEX(Catégories!$E$5:$E$60,MATCH(E386,Catégories!$A$5:$A$60,0)),0))</f>
        <v>0</v>
      </c>
    </row>
    <row r="387" customFormat="false" ht="15" hidden="false" customHeight="true" outlineLevel="0" collapsed="false">
      <c r="A387" s="34"/>
      <c r="B387" s="29" t="str">
        <f aca="false">IF(A387="","",YEAR(A387))</f>
        <v/>
      </c>
      <c r="G387" s="35"/>
      <c r="H387" s="32" t="str">
        <f aca="false">IF(E387="","",IFERROR(INDEX(Catégories!$B$5:$B$60,MATCH(E387,Catégories!$A$5:$A$60,0)),"?"))</f>
        <v/>
      </c>
      <c r="I387" s="32" t="str">
        <f aca="false">IF(E387="","",IFERROR(INDEX(Catégories!$C$5:$C$60,MATCH(E387,Catégories!$A$5:$A$60,0)),"?"))</f>
        <v/>
      </c>
      <c r="J387" s="32" t="str">
        <f aca="false">IF(E387="","",IFERROR(INDEX(Catégories!$D$5:$D$60,MATCH(E387,Catégories!$A$5:$A$60,0)),"?"))</f>
        <v/>
      </c>
      <c r="K387" s="33" t="n">
        <f aca="false">IF(H387="Recette",G387,IF(H387="Dépense",-G387,0))</f>
        <v>0</v>
      </c>
      <c r="L387" s="33" t="n">
        <f aca="false">IF(E387="",0,G387*IFERROR(INDEX(Catégories!$E$5:$E$60,MATCH(E387,Catégories!$A$5:$A$60,0)),0))</f>
        <v>0</v>
      </c>
    </row>
    <row r="388" customFormat="false" ht="15" hidden="false" customHeight="true" outlineLevel="0" collapsed="false">
      <c r="A388" s="34"/>
      <c r="B388" s="29" t="str">
        <f aca="false">IF(A388="","",YEAR(A388))</f>
        <v/>
      </c>
      <c r="G388" s="35"/>
      <c r="H388" s="32" t="str">
        <f aca="false">IF(E388="","",IFERROR(INDEX(Catégories!$B$5:$B$60,MATCH(E388,Catégories!$A$5:$A$60,0)),"?"))</f>
        <v/>
      </c>
      <c r="I388" s="32" t="str">
        <f aca="false">IF(E388="","",IFERROR(INDEX(Catégories!$C$5:$C$60,MATCH(E388,Catégories!$A$5:$A$60,0)),"?"))</f>
        <v/>
      </c>
      <c r="J388" s="32" t="str">
        <f aca="false">IF(E388="","",IFERROR(INDEX(Catégories!$D$5:$D$60,MATCH(E388,Catégories!$A$5:$A$60,0)),"?"))</f>
        <v/>
      </c>
      <c r="K388" s="33" t="n">
        <f aca="false">IF(H388="Recette",G388,IF(H388="Dépense",-G388,0))</f>
        <v>0</v>
      </c>
      <c r="L388" s="33" t="n">
        <f aca="false">IF(E388="",0,G388*IFERROR(INDEX(Catégories!$E$5:$E$60,MATCH(E388,Catégories!$A$5:$A$60,0)),0))</f>
        <v>0</v>
      </c>
    </row>
    <row r="389" customFormat="false" ht="15" hidden="false" customHeight="true" outlineLevel="0" collapsed="false">
      <c r="A389" s="34"/>
      <c r="B389" s="29" t="str">
        <f aca="false">IF(A389="","",YEAR(A389))</f>
        <v/>
      </c>
      <c r="G389" s="35"/>
      <c r="H389" s="32" t="str">
        <f aca="false">IF(E389="","",IFERROR(INDEX(Catégories!$B$5:$B$60,MATCH(E389,Catégories!$A$5:$A$60,0)),"?"))</f>
        <v/>
      </c>
      <c r="I389" s="32" t="str">
        <f aca="false">IF(E389="","",IFERROR(INDEX(Catégories!$C$5:$C$60,MATCH(E389,Catégories!$A$5:$A$60,0)),"?"))</f>
        <v/>
      </c>
      <c r="J389" s="32" t="str">
        <f aca="false">IF(E389="","",IFERROR(INDEX(Catégories!$D$5:$D$60,MATCH(E389,Catégories!$A$5:$A$60,0)),"?"))</f>
        <v/>
      </c>
      <c r="K389" s="33" t="n">
        <f aca="false">IF(H389="Recette",G389,IF(H389="Dépense",-G389,0))</f>
        <v>0</v>
      </c>
      <c r="L389" s="33" t="n">
        <f aca="false">IF(E389="",0,G389*IFERROR(INDEX(Catégories!$E$5:$E$60,MATCH(E389,Catégories!$A$5:$A$60,0)),0))</f>
        <v>0</v>
      </c>
    </row>
    <row r="390" customFormat="false" ht="15" hidden="false" customHeight="true" outlineLevel="0" collapsed="false">
      <c r="A390" s="34"/>
      <c r="B390" s="29" t="str">
        <f aca="false">IF(A390="","",YEAR(A390))</f>
        <v/>
      </c>
      <c r="G390" s="35"/>
      <c r="H390" s="32" t="str">
        <f aca="false">IF(E390="","",IFERROR(INDEX(Catégories!$B$5:$B$60,MATCH(E390,Catégories!$A$5:$A$60,0)),"?"))</f>
        <v/>
      </c>
      <c r="I390" s="32" t="str">
        <f aca="false">IF(E390="","",IFERROR(INDEX(Catégories!$C$5:$C$60,MATCH(E390,Catégories!$A$5:$A$60,0)),"?"))</f>
        <v/>
      </c>
      <c r="J390" s="32" t="str">
        <f aca="false">IF(E390="","",IFERROR(INDEX(Catégories!$D$5:$D$60,MATCH(E390,Catégories!$A$5:$A$60,0)),"?"))</f>
        <v/>
      </c>
      <c r="K390" s="33" t="n">
        <f aca="false">IF(H390="Recette",G390,IF(H390="Dépense",-G390,0))</f>
        <v>0</v>
      </c>
      <c r="L390" s="33" t="n">
        <f aca="false">IF(E390="",0,G390*IFERROR(INDEX(Catégories!$E$5:$E$60,MATCH(E390,Catégories!$A$5:$A$60,0)),0))</f>
        <v>0</v>
      </c>
    </row>
    <row r="391" customFormat="false" ht="15" hidden="false" customHeight="true" outlineLevel="0" collapsed="false">
      <c r="A391" s="34"/>
      <c r="B391" s="29" t="str">
        <f aca="false">IF(A391="","",YEAR(A391))</f>
        <v/>
      </c>
      <c r="G391" s="35"/>
      <c r="H391" s="32" t="str">
        <f aca="false">IF(E391="","",IFERROR(INDEX(Catégories!$B$5:$B$60,MATCH(E391,Catégories!$A$5:$A$60,0)),"?"))</f>
        <v/>
      </c>
      <c r="I391" s="32" t="str">
        <f aca="false">IF(E391="","",IFERROR(INDEX(Catégories!$C$5:$C$60,MATCH(E391,Catégories!$A$5:$A$60,0)),"?"))</f>
        <v/>
      </c>
      <c r="J391" s="32" t="str">
        <f aca="false">IF(E391="","",IFERROR(INDEX(Catégories!$D$5:$D$60,MATCH(E391,Catégories!$A$5:$A$60,0)),"?"))</f>
        <v/>
      </c>
      <c r="K391" s="33" t="n">
        <f aca="false">IF(H391="Recette",G391,IF(H391="Dépense",-G391,0))</f>
        <v>0</v>
      </c>
      <c r="L391" s="33" t="n">
        <f aca="false">IF(E391="",0,G391*IFERROR(INDEX(Catégories!$E$5:$E$60,MATCH(E391,Catégories!$A$5:$A$60,0)),0))</f>
        <v>0</v>
      </c>
    </row>
    <row r="392" customFormat="false" ht="15" hidden="false" customHeight="true" outlineLevel="0" collapsed="false">
      <c r="A392" s="34"/>
      <c r="B392" s="29" t="str">
        <f aca="false">IF(A392="","",YEAR(A392))</f>
        <v/>
      </c>
      <c r="G392" s="35"/>
      <c r="H392" s="32" t="str">
        <f aca="false">IF(E392="","",IFERROR(INDEX(Catégories!$B$5:$B$60,MATCH(E392,Catégories!$A$5:$A$60,0)),"?"))</f>
        <v/>
      </c>
      <c r="I392" s="32" t="str">
        <f aca="false">IF(E392="","",IFERROR(INDEX(Catégories!$C$5:$C$60,MATCH(E392,Catégories!$A$5:$A$60,0)),"?"))</f>
        <v/>
      </c>
      <c r="J392" s="32" t="str">
        <f aca="false">IF(E392="","",IFERROR(INDEX(Catégories!$D$5:$D$60,MATCH(E392,Catégories!$A$5:$A$60,0)),"?"))</f>
        <v/>
      </c>
      <c r="K392" s="33" t="n">
        <f aca="false">IF(H392="Recette",G392,IF(H392="Dépense",-G392,0))</f>
        <v>0</v>
      </c>
      <c r="L392" s="33" t="n">
        <f aca="false">IF(E392="",0,G392*IFERROR(INDEX(Catégories!$E$5:$E$60,MATCH(E392,Catégories!$A$5:$A$60,0)),0))</f>
        <v>0</v>
      </c>
    </row>
    <row r="393" customFormat="false" ht="15" hidden="false" customHeight="true" outlineLevel="0" collapsed="false">
      <c r="A393" s="34"/>
      <c r="B393" s="29" t="str">
        <f aca="false">IF(A393="","",YEAR(A393))</f>
        <v/>
      </c>
      <c r="G393" s="35"/>
      <c r="H393" s="32" t="str">
        <f aca="false">IF(E393="","",IFERROR(INDEX(Catégories!$B$5:$B$60,MATCH(E393,Catégories!$A$5:$A$60,0)),"?"))</f>
        <v/>
      </c>
      <c r="I393" s="32" t="str">
        <f aca="false">IF(E393="","",IFERROR(INDEX(Catégories!$C$5:$C$60,MATCH(E393,Catégories!$A$5:$A$60,0)),"?"))</f>
        <v/>
      </c>
      <c r="J393" s="32" t="str">
        <f aca="false">IF(E393="","",IFERROR(INDEX(Catégories!$D$5:$D$60,MATCH(E393,Catégories!$A$5:$A$60,0)),"?"))</f>
        <v/>
      </c>
      <c r="K393" s="33" t="n">
        <f aca="false">IF(H393="Recette",G393,IF(H393="Dépense",-G393,0))</f>
        <v>0</v>
      </c>
      <c r="L393" s="33" t="n">
        <f aca="false">IF(E393="",0,G393*IFERROR(INDEX(Catégories!$E$5:$E$60,MATCH(E393,Catégories!$A$5:$A$60,0)),0))</f>
        <v>0</v>
      </c>
    </row>
    <row r="394" customFormat="false" ht="15" hidden="false" customHeight="true" outlineLevel="0" collapsed="false">
      <c r="A394" s="34"/>
      <c r="B394" s="29" t="str">
        <f aca="false">IF(A394="","",YEAR(A394))</f>
        <v/>
      </c>
      <c r="G394" s="35"/>
      <c r="H394" s="32" t="str">
        <f aca="false">IF(E394="","",IFERROR(INDEX(Catégories!$B$5:$B$60,MATCH(E394,Catégories!$A$5:$A$60,0)),"?"))</f>
        <v/>
      </c>
      <c r="I394" s="32" t="str">
        <f aca="false">IF(E394="","",IFERROR(INDEX(Catégories!$C$5:$C$60,MATCH(E394,Catégories!$A$5:$A$60,0)),"?"))</f>
        <v/>
      </c>
      <c r="J394" s="32" t="str">
        <f aca="false">IF(E394="","",IFERROR(INDEX(Catégories!$D$5:$D$60,MATCH(E394,Catégories!$A$5:$A$60,0)),"?"))</f>
        <v/>
      </c>
      <c r="K394" s="33" t="n">
        <f aca="false">IF(H394="Recette",G394,IF(H394="Dépense",-G394,0))</f>
        <v>0</v>
      </c>
      <c r="L394" s="33" t="n">
        <f aca="false">IF(E394="",0,G394*IFERROR(INDEX(Catégories!$E$5:$E$60,MATCH(E394,Catégories!$A$5:$A$60,0)),0))</f>
        <v>0</v>
      </c>
    </row>
    <row r="395" customFormat="false" ht="15" hidden="false" customHeight="true" outlineLevel="0" collapsed="false">
      <c r="A395" s="34"/>
      <c r="B395" s="29" t="str">
        <f aca="false">IF(A395="","",YEAR(A395))</f>
        <v/>
      </c>
      <c r="G395" s="35"/>
      <c r="H395" s="32" t="str">
        <f aca="false">IF(E395="","",IFERROR(INDEX(Catégories!$B$5:$B$60,MATCH(E395,Catégories!$A$5:$A$60,0)),"?"))</f>
        <v/>
      </c>
      <c r="I395" s="32" t="str">
        <f aca="false">IF(E395="","",IFERROR(INDEX(Catégories!$C$5:$C$60,MATCH(E395,Catégories!$A$5:$A$60,0)),"?"))</f>
        <v/>
      </c>
      <c r="J395" s="32" t="str">
        <f aca="false">IF(E395="","",IFERROR(INDEX(Catégories!$D$5:$D$60,MATCH(E395,Catégories!$A$5:$A$60,0)),"?"))</f>
        <v/>
      </c>
      <c r="K395" s="33" t="n">
        <f aca="false">IF(H395="Recette",G395,IF(H395="Dépense",-G395,0))</f>
        <v>0</v>
      </c>
      <c r="L395" s="33" t="n">
        <f aca="false">IF(E395="",0,G395*IFERROR(INDEX(Catégories!$E$5:$E$60,MATCH(E395,Catégories!$A$5:$A$60,0)),0))</f>
        <v>0</v>
      </c>
    </row>
    <row r="396" customFormat="false" ht="15" hidden="false" customHeight="true" outlineLevel="0" collapsed="false">
      <c r="A396" s="34"/>
      <c r="B396" s="29" t="str">
        <f aca="false">IF(A396="","",YEAR(A396))</f>
        <v/>
      </c>
      <c r="G396" s="35"/>
      <c r="H396" s="32" t="str">
        <f aca="false">IF(E396="","",IFERROR(INDEX(Catégories!$B$5:$B$60,MATCH(E396,Catégories!$A$5:$A$60,0)),"?"))</f>
        <v/>
      </c>
      <c r="I396" s="32" t="str">
        <f aca="false">IF(E396="","",IFERROR(INDEX(Catégories!$C$5:$C$60,MATCH(E396,Catégories!$A$5:$A$60,0)),"?"))</f>
        <v/>
      </c>
      <c r="J396" s="32" t="str">
        <f aca="false">IF(E396="","",IFERROR(INDEX(Catégories!$D$5:$D$60,MATCH(E396,Catégories!$A$5:$A$60,0)),"?"))</f>
        <v/>
      </c>
      <c r="K396" s="33" t="n">
        <f aca="false">IF(H396="Recette",G396,IF(H396="Dépense",-G396,0))</f>
        <v>0</v>
      </c>
      <c r="L396" s="33" t="n">
        <f aca="false">IF(E396="",0,G396*IFERROR(INDEX(Catégories!$E$5:$E$60,MATCH(E396,Catégories!$A$5:$A$60,0)),0))</f>
        <v>0</v>
      </c>
    </row>
    <row r="397" customFormat="false" ht="15" hidden="false" customHeight="true" outlineLevel="0" collapsed="false">
      <c r="A397" s="34"/>
      <c r="B397" s="29" t="str">
        <f aca="false">IF(A397="","",YEAR(A397))</f>
        <v/>
      </c>
      <c r="G397" s="35"/>
      <c r="H397" s="32" t="str">
        <f aca="false">IF(E397="","",IFERROR(INDEX(Catégories!$B$5:$B$60,MATCH(E397,Catégories!$A$5:$A$60,0)),"?"))</f>
        <v/>
      </c>
      <c r="I397" s="32" t="str">
        <f aca="false">IF(E397="","",IFERROR(INDEX(Catégories!$C$5:$C$60,MATCH(E397,Catégories!$A$5:$A$60,0)),"?"))</f>
        <v/>
      </c>
      <c r="J397" s="32" t="str">
        <f aca="false">IF(E397="","",IFERROR(INDEX(Catégories!$D$5:$D$60,MATCH(E397,Catégories!$A$5:$A$60,0)),"?"))</f>
        <v/>
      </c>
      <c r="K397" s="33" t="n">
        <f aca="false">IF(H397="Recette",G397,IF(H397="Dépense",-G397,0))</f>
        <v>0</v>
      </c>
      <c r="L397" s="33" t="n">
        <f aca="false">IF(E397="",0,G397*IFERROR(INDEX(Catégories!$E$5:$E$60,MATCH(E397,Catégories!$A$5:$A$60,0)),0))</f>
        <v>0</v>
      </c>
    </row>
    <row r="398" customFormat="false" ht="15" hidden="false" customHeight="true" outlineLevel="0" collapsed="false">
      <c r="A398" s="34"/>
      <c r="B398" s="29" t="str">
        <f aca="false">IF(A398="","",YEAR(A398))</f>
        <v/>
      </c>
      <c r="G398" s="35"/>
      <c r="H398" s="32" t="str">
        <f aca="false">IF(E398="","",IFERROR(INDEX(Catégories!$B$5:$B$60,MATCH(E398,Catégories!$A$5:$A$60,0)),"?"))</f>
        <v/>
      </c>
      <c r="I398" s="32" t="str">
        <f aca="false">IF(E398="","",IFERROR(INDEX(Catégories!$C$5:$C$60,MATCH(E398,Catégories!$A$5:$A$60,0)),"?"))</f>
        <v/>
      </c>
      <c r="J398" s="32" t="str">
        <f aca="false">IF(E398="","",IFERROR(INDEX(Catégories!$D$5:$D$60,MATCH(E398,Catégories!$A$5:$A$60,0)),"?"))</f>
        <v/>
      </c>
      <c r="K398" s="33" t="n">
        <f aca="false">IF(H398="Recette",G398,IF(H398="Dépense",-G398,0))</f>
        <v>0</v>
      </c>
      <c r="L398" s="33" t="n">
        <f aca="false">IF(E398="",0,G398*IFERROR(INDEX(Catégories!$E$5:$E$60,MATCH(E398,Catégories!$A$5:$A$60,0)),0))</f>
        <v>0</v>
      </c>
    </row>
    <row r="399" customFormat="false" ht="15" hidden="false" customHeight="true" outlineLevel="0" collapsed="false">
      <c r="A399" s="34"/>
      <c r="B399" s="29" t="str">
        <f aca="false">IF(A399="","",YEAR(A399))</f>
        <v/>
      </c>
      <c r="G399" s="35"/>
      <c r="H399" s="32" t="str">
        <f aca="false">IF(E399="","",IFERROR(INDEX(Catégories!$B$5:$B$60,MATCH(E399,Catégories!$A$5:$A$60,0)),"?"))</f>
        <v/>
      </c>
      <c r="I399" s="32" t="str">
        <f aca="false">IF(E399="","",IFERROR(INDEX(Catégories!$C$5:$C$60,MATCH(E399,Catégories!$A$5:$A$60,0)),"?"))</f>
        <v/>
      </c>
      <c r="J399" s="32" t="str">
        <f aca="false">IF(E399="","",IFERROR(INDEX(Catégories!$D$5:$D$60,MATCH(E399,Catégories!$A$5:$A$60,0)),"?"))</f>
        <v/>
      </c>
      <c r="K399" s="33" t="n">
        <f aca="false">IF(H399="Recette",G399,IF(H399="Dépense",-G399,0))</f>
        <v>0</v>
      </c>
      <c r="L399" s="33" t="n">
        <f aca="false">IF(E399="",0,G399*IFERROR(INDEX(Catégories!$E$5:$E$60,MATCH(E399,Catégories!$A$5:$A$60,0)),0))</f>
        <v>0</v>
      </c>
    </row>
    <row r="400" customFormat="false" ht="15" hidden="false" customHeight="true" outlineLevel="0" collapsed="false">
      <c r="A400" s="34"/>
      <c r="B400" s="29" t="str">
        <f aca="false">IF(A400="","",YEAR(A400))</f>
        <v/>
      </c>
      <c r="G400" s="35"/>
      <c r="H400" s="32" t="str">
        <f aca="false">IF(E400="","",IFERROR(INDEX(Catégories!$B$5:$B$60,MATCH(E400,Catégories!$A$5:$A$60,0)),"?"))</f>
        <v/>
      </c>
      <c r="I400" s="32" t="str">
        <f aca="false">IF(E400="","",IFERROR(INDEX(Catégories!$C$5:$C$60,MATCH(E400,Catégories!$A$5:$A$60,0)),"?"))</f>
        <v/>
      </c>
      <c r="J400" s="32" t="str">
        <f aca="false">IF(E400="","",IFERROR(INDEX(Catégories!$D$5:$D$60,MATCH(E400,Catégories!$A$5:$A$60,0)),"?"))</f>
        <v/>
      </c>
      <c r="K400" s="33" t="n">
        <f aca="false">IF(H400="Recette",G400,IF(H400="Dépense",-G400,0))</f>
        <v>0</v>
      </c>
      <c r="L400" s="33" t="n">
        <f aca="false">IF(E400="",0,G400*IFERROR(INDEX(Catégories!$E$5:$E$60,MATCH(E400,Catégories!$A$5:$A$60,0)),0))</f>
        <v>0</v>
      </c>
    </row>
    <row r="401" customFormat="false" ht="15" hidden="false" customHeight="true" outlineLevel="0" collapsed="false">
      <c r="A401" s="34"/>
      <c r="B401" s="29" t="str">
        <f aca="false">IF(A401="","",YEAR(A401))</f>
        <v/>
      </c>
      <c r="G401" s="35"/>
      <c r="H401" s="32" t="str">
        <f aca="false">IF(E401="","",IFERROR(INDEX(Catégories!$B$5:$B$60,MATCH(E401,Catégories!$A$5:$A$60,0)),"?"))</f>
        <v/>
      </c>
      <c r="I401" s="32" t="str">
        <f aca="false">IF(E401="","",IFERROR(INDEX(Catégories!$C$5:$C$60,MATCH(E401,Catégories!$A$5:$A$60,0)),"?"))</f>
        <v/>
      </c>
      <c r="J401" s="32" t="str">
        <f aca="false">IF(E401="","",IFERROR(INDEX(Catégories!$D$5:$D$60,MATCH(E401,Catégories!$A$5:$A$60,0)),"?"))</f>
        <v/>
      </c>
      <c r="K401" s="33" t="n">
        <f aca="false">IF(H401="Recette",G401,IF(H401="Dépense",-G401,0))</f>
        <v>0</v>
      </c>
      <c r="L401" s="33" t="n">
        <f aca="false">IF(E401="",0,G401*IFERROR(INDEX(Catégories!$E$5:$E$60,MATCH(E401,Catégories!$A$5:$A$60,0)),0))</f>
        <v>0</v>
      </c>
    </row>
    <row r="402" customFormat="false" ht="15" hidden="false" customHeight="true" outlineLevel="0" collapsed="false">
      <c r="A402" s="34"/>
      <c r="B402" s="29" t="str">
        <f aca="false">IF(A402="","",YEAR(A402))</f>
        <v/>
      </c>
      <c r="G402" s="35"/>
      <c r="H402" s="32" t="str">
        <f aca="false">IF(E402="","",IFERROR(INDEX(Catégories!$B$5:$B$60,MATCH(E402,Catégories!$A$5:$A$60,0)),"?"))</f>
        <v/>
      </c>
      <c r="I402" s="32" t="str">
        <f aca="false">IF(E402="","",IFERROR(INDEX(Catégories!$C$5:$C$60,MATCH(E402,Catégories!$A$5:$A$60,0)),"?"))</f>
        <v/>
      </c>
      <c r="J402" s="32" t="str">
        <f aca="false">IF(E402="","",IFERROR(INDEX(Catégories!$D$5:$D$60,MATCH(E402,Catégories!$A$5:$A$60,0)),"?"))</f>
        <v/>
      </c>
      <c r="K402" s="33" t="n">
        <f aca="false">IF(H402="Recette",G402,IF(H402="Dépense",-G402,0))</f>
        <v>0</v>
      </c>
      <c r="L402" s="33" t="n">
        <f aca="false">IF(E402="",0,G402*IFERROR(INDEX(Catégories!$E$5:$E$60,MATCH(E402,Catégories!$A$5:$A$60,0)),0))</f>
        <v>0</v>
      </c>
    </row>
    <row r="403" customFormat="false" ht="15" hidden="false" customHeight="true" outlineLevel="0" collapsed="false">
      <c r="A403" s="34"/>
      <c r="B403" s="29" t="str">
        <f aca="false">IF(A403="","",YEAR(A403))</f>
        <v/>
      </c>
      <c r="G403" s="35"/>
      <c r="H403" s="32" t="str">
        <f aca="false">IF(E403="","",IFERROR(INDEX(Catégories!$B$5:$B$60,MATCH(E403,Catégories!$A$5:$A$60,0)),"?"))</f>
        <v/>
      </c>
      <c r="I403" s="32" t="str">
        <f aca="false">IF(E403="","",IFERROR(INDEX(Catégories!$C$5:$C$60,MATCH(E403,Catégories!$A$5:$A$60,0)),"?"))</f>
        <v/>
      </c>
      <c r="J403" s="32" t="str">
        <f aca="false">IF(E403="","",IFERROR(INDEX(Catégories!$D$5:$D$60,MATCH(E403,Catégories!$A$5:$A$60,0)),"?"))</f>
        <v/>
      </c>
      <c r="K403" s="33" t="n">
        <f aca="false">IF(H403="Recette",G403,IF(H403="Dépense",-G403,0))</f>
        <v>0</v>
      </c>
      <c r="L403" s="33" t="n">
        <f aca="false">IF(E403="",0,G403*IFERROR(INDEX(Catégories!$E$5:$E$60,MATCH(E403,Catégories!$A$5:$A$60,0)),0))</f>
        <v>0</v>
      </c>
    </row>
    <row r="404" customFormat="false" ht="15" hidden="false" customHeight="true" outlineLevel="0" collapsed="false">
      <c r="A404" s="34"/>
      <c r="B404" s="29" t="str">
        <f aca="false">IF(A404="","",YEAR(A404))</f>
        <v/>
      </c>
      <c r="G404" s="35"/>
      <c r="H404" s="32" t="str">
        <f aca="false">IF(E404="","",IFERROR(INDEX(Catégories!$B$5:$B$60,MATCH(E404,Catégories!$A$5:$A$60,0)),"?"))</f>
        <v/>
      </c>
      <c r="I404" s="32" t="str">
        <f aca="false">IF(E404="","",IFERROR(INDEX(Catégories!$C$5:$C$60,MATCH(E404,Catégories!$A$5:$A$60,0)),"?"))</f>
        <v/>
      </c>
      <c r="J404" s="32" t="str">
        <f aca="false">IF(E404="","",IFERROR(INDEX(Catégories!$D$5:$D$60,MATCH(E404,Catégories!$A$5:$A$60,0)),"?"))</f>
        <v/>
      </c>
      <c r="K404" s="33" t="n">
        <f aca="false">IF(H404="Recette",G404,IF(H404="Dépense",-G404,0))</f>
        <v>0</v>
      </c>
      <c r="L404" s="33" t="n">
        <f aca="false">IF(E404="",0,G404*IFERROR(INDEX(Catégories!$E$5:$E$60,MATCH(E404,Catégories!$A$5:$A$60,0)),0))</f>
        <v>0</v>
      </c>
    </row>
    <row r="405" customFormat="false" ht="15" hidden="false" customHeight="true" outlineLevel="0" collapsed="false">
      <c r="A405" s="34"/>
      <c r="B405" s="29" t="str">
        <f aca="false">IF(A405="","",YEAR(A405))</f>
        <v/>
      </c>
      <c r="G405" s="35"/>
      <c r="H405" s="32" t="str">
        <f aca="false">IF(E405="","",IFERROR(INDEX(Catégories!$B$5:$B$60,MATCH(E405,Catégories!$A$5:$A$60,0)),"?"))</f>
        <v/>
      </c>
      <c r="I405" s="32" t="str">
        <f aca="false">IF(E405="","",IFERROR(INDEX(Catégories!$C$5:$C$60,MATCH(E405,Catégories!$A$5:$A$60,0)),"?"))</f>
        <v/>
      </c>
      <c r="J405" s="32" t="str">
        <f aca="false">IF(E405="","",IFERROR(INDEX(Catégories!$D$5:$D$60,MATCH(E405,Catégories!$A$5:$A$60,0)),"?"))</f>
        <v/>
      </c>
      <c r="K405" s="33" t="n">
        <f aca="false">IF(H405="Recette",G405,IF(H405="Dépense",-G405,0))</f>
        <v>0</v>
      </c>
      <c r="L405" s="33" t="n">
        <f aca="false">IF(E405="",0,G405*IFERROR(INDEX(Catégories!$E$5:$E$60,MATCH(E405,Catégories!$A$5:$A$60,0)),0))</f>
        <v>0</v>
      </c>
    </row>
    <row r="406" customFormat="false" ht="15" hidden="false" customHeight="true" outlineLevel="0" collapsed="false">
      <c r="A406" s="34"/>
      <c r="B406" s="29" t="str">
        <f aca="false">IF(A406="","",YEAR(A406))</f>
        <v/>
      </c>
      <c r="G406" s="35"/>
      <c r="H406" s="32" t="str">
        <f aca="false">IF(E406="","",IFERROR(INDEX(Catégories!$B$5:$B$60,MATCH(E406,Catégories!$A$5:$A$60,0)),"?"))</f>
        <v/>
      </c>
      <c r="I406" s="32" t="str">
        <f aca="false">IF(E406="","",IFERROR(INDEX(Catégories!$C$5:$C$60,MATCH(E406,Catégories!$A$5:$A$60,0)),"?"))</f>
        <v/>
      </c>
      <c r="J406" s="32" t="str">
        <f aca="false">IF(E406="","",IFERROR(INDEX(Catégories!$D$5:$D$60,MATCH(E406,Catégories!$A$5:$A$60,0)),"?"))</f>
        <v/>
      </c>
      <c r="K406" s="33" t="n">
        <f aca="false">IF(H406="Recette",G406,IF(H406="Dépense",-G406,0))</f>
        <v>0</v>
      </c>
      <c r="L406" s="33" t="n">
        <f aca="false">IF(E406="",0,G406*IFERROR(INDEX(Catégories!$E$5:$E$60,MATCH(E406,Catégories!$A$5:$A$60,0)),0))</f>
        <v>0</v>
      </c>
    </row>
    <row r="407" customFormat="false" ht="15" hidden="false" customHeight="true" outlineLevel="0" collapsed="false">
      <c r="A407" s="34"/>
      <c r="B407" s="29" t="str">
        <f aca="false">IF(A407="","",YEAR(A407))</f>
        <v/>
      </c>
      <c r="G407" s="35"/>
      <c r="H407" s="32" t="str">
        <f aca="false">IF(E407="","",IFERROR(INDEX(Catégories!$B$5:$B$60,MATCH(E407,Catégories!$A$5:$A$60,0)),"?"))</f>
        <v/>
      </c>
      <c r="I407" s="32" t="str">
        <f aca="false">IF(E407="","",IFERROR(INDEX(Catégories!$C$5:$C$60,MATCH(E407,Catégories!$A$5:$A$60,0)),"?"))</f>
        <v/>
      </c>
      <c r="J407" s="32" t="str">
        <f aca="false">IF(E407="","",IFERROR(INDEX(Catégories!$D$5:$D$60,MATCH(E407,Catégories!$A$5:$A$60,0)),"?"))</f>
        <v/>
      </c>
      <c r="K407" s="33" t="n">
        <f aca="false">IF(H407="Recette",G407,IF(H407="Dépense",-G407,0))</f>
        <v>0</v>
      </c>
      <c r="L407" s="33" t="n">
        <f aca="false">IF(E407="",0,G407*IFERROR(INDEX(Catégories!$E$5:$E$60,MATCH(E407,Catégories!$A$5:$A$60,0)),0))</f>
        <v>0</v>
      </c>
    </row>
    <row r="408" customFormat="false" ht="15" hidden="false" customHeight="true" outlineLevel="0" collapsed="false">
      <c r="A408" s="34"/>
      <c r="B408" s="29" t="str">
        <f aca="false">IF(A408="","",YEAR(A408))</f>
        <v/>
      </c>
      <c r="G408" s="35"/>
      <c r="H408" s="32" t="str">
        <f aca="false">IF(E408="","",IFERROR(INDEX(Catégories!$B$5:$B$60,MATCH(E408,Catégories!$A$5:$A$60,0)),"?"))</f>
        <v/>
      </c>
      <c r="I408" s="32" t="str">
        <f aca="false">IF(E408="","",IFERROR(INDEX(Catégories!$C$5:$C$60,MATCH(E408,Catégories!$A$5:$A$60,0)),"?"))</f>
        <v/>
      </c>
      <c r="J408" s="32" t="str">
        <f aca="false">IF(E408="","",IFERROR(INDEX(Catégories!$D$5:$D$60,MATCH(E408,Catégories!$A$5:$A$60,0)),"?"))</f>
        <v/>
      </c>
      <c r="K408" s="33" t="n">
        <f aca="false">IF(H408="Recette",G408,IF(H408="Dépense",-G408,0))</f>
        <v>0</v>
      </c>
      <c r="L408" s="33" t="n">
        <f aca="false">IF(E408="",0,G408*IFERROR(INDEX(Catégories!$E$5:$E$60,MATCH(E408,Catégories!$A$5:$A$60,0)),0))</f>
        <v>0</v>
      </c>
    </row>
    <row r="409" customFormat="false" ht="15" hidden="false" customHeight="true" outlineLevel="0" collapsed="false">
      <c r="A409" s="34"/>
      <c r="B409" s="29" t="str">
        <f aca="false">IF(A409="","",YEAR(A409))</f>
        <v/>
      </c>
      <c r="G409" s="35"/>
      <c r="H409" s="32" t="str">
        <f aca="false">IF(E409="","",IFERROR(INDEX(Catégories!$B$5:$B$60,MATCH(E409,Catégories!$A$5:$A$60,0)),"?"))</f>
        <v/>
      </c>
      <c r="I409" s="32" t="str">
        <f aca="false">IF(E409="","",IFERROR(INDEX(Catégories!$C$5:$C$60,MATCH(E409,Catégories!$A$5:$A$60,0)),"?"))</f>
        <v/>
      </c>
      <c r="J409" s="32" t="str">
        <f aca="false">IF(E409="","",IFERROR(INDEX(Catégories!$D$5:$D$60,MATCH(E409,Catégories!$A$5:$A$60,0)),"?"))</f>
        <v/>
      </c>
      <c r="K409" s="33" t="n">
        <f aca="false">IF(H409="Recette",G409,IF(H409="Dépense",-G409,0))</f>
        <v>0</v>
      </c>
      <c r="L409" s="33" t="n">
        <f aca="false">IF(E409="",0,G409*IFERROR(INDEX(Catégories!$E$5:$E$60,MATCH(E409,Catégories!$A$5:$A$60,0)),0))</f>
        <v>0</v>
      </c>
    </row>
    <row r="410" customFormat="false" ht="15" hidden="false" customHeight="true" outlineLevel="0" collapsed="false">
      <c r="A410" s="34"/>
      <c r="B410" s="29" t="str">
        <f aca="false">IF(A410="","",YEAR(A410))</f>
        <v/>
      </c>
      <c r="G410" s="35"/>
      <c r="H410" s="32" t="str">
        <f aca="false">IF(E410="","",IFERROR(INDEX(Catégories!$B$5:$B$60,MATCH(E410,Catégories!$A$5:$A$60,0)),"?"))</f>
        <v/>
      </c>
      <c r="I410" s="32" t="str">
        <f aca="false">IF(E410="","",IFERROR(INDEX(Catégories!$C$5:$C$60,MATCH(E410,Catégories!$A$5:$A$60,0)),"?"))</f>
        <v/>
      </c>
      <c r="J410" s="32" t="str">
        <f aca="false">IF(E410="","",IFERROR(INDEX(Catégories!$D$5:$D$60,MATCH(E410,Catégories!$A$5:$A$60,0)),"?"))</f>
        <v/>
      </c>
      <c r="K410" s="33" t="n">
        <f aca="false">IF(H410="Recette",G410,IF(H410="Dépense",-G410,0))</f>
        <v>0</v>
      </c>
      <c r="L410" s="33" t="n">
        <f aca="false">IF(E410="",0,G410*IFERROR(INDEX(Catégories!$E$5:$E$60,MATCH(E410,Catégories!$A$5:$A$60,0)),0))</f>
        <v>0</v>
      </c>
    </row>
    <row r="411" customFormat="false" ht="15" hidden="false" customHeight="true" outlineLevel="0" collapsed="false">
      <c r="A411" s="34"/>
      <c r="B411" s="29" t="str">
        <f aca="false">IF(A411="","",YEAR(A411))</f>
        <v/>
      </c>
      <c r="G411" s="35"/>
      <c r="H411" s="32" t="str">
        <f aca="false">IF(E411="","",IFERROR(INDEX(Catégories!$B$5:$B$60,MATCH(E411,Catégories!$A$5:$A$60,0)),"?"))</f>
        <v/>
      </c>
      <c r="I411" s="32" t="str">
        <f aca="false">IF(E411="","",IFERROR(INDEX(Catégories!$C$5:$C$60,MATCH(E411,Catégories!$A$5:$A$60,0)),"?"))</f>
        <v/>
      </c>
      <c r="J411" s="32" t="str">
        <f aca="false">IF(E411="","",IFERROR(INDEX(Catégories!$D$5:$D$60,MATCH(E411,Catégories!$A$5:$A$60,0)),"?"))</f>
        <v/>
      </c>
      <c r="K411" s="33" t="n">
        <f aca="false">IF(H411="Recette",G411,IF(H411="Dépense",-G411,0))</f>
        <v>0</v>
      </c>
      <c r="L411" s="33" t="n">
        <f aca="false">IF(E411="",0,G411*IFERROR(INDEX(Catégories!$E$5:$E$60,MATCH(E411,Catégories!$A$5:$A$60,0)),0))</f>
        <v>0</v>
      </c>
    </row>
    <row r="412" customFormat="false" ht="15" hidden="false" customHeight="true" outlineLevel="0" collapsed="false">
      <c r="A412" s="34"/>
      <c r="B412" s="29" t="str">
        <f aca="false">IF(A412="","",YEAR(A412))</f>
        <v/>
      </c>
      <c r="G412" s="35"/>
      <c r="H412" s="32" t="str">
        <f aca="false">IF(E412="","",IFERROR(INDEX(Catégories!$B$5:$B$60,MATCH(E412,Catégories!$A$5:$A$60,0)),"?"))</f>
        <v/>
      </c>
      <c r="I412" s="32" t="str">
        <f aca="false">IF(E412="","",IFERROR(INDEX(Catégories!$C$5:$C$60,MATCH(E412,Catégories!$A$5:$A$60,0)),"?"))</f>
        <v/>
      </c>
      <c r="J412" s="32" t="str">
        <f aca="false">IF(E412="","",IFERROR(INDEX(Catégories!$D$5:$D$60,MATCH(E412,Catégories!$A$5:$A$60,0)),"?"))</f>
        <v/>
      </c>
      <c r="K412" s="33" t="n">
        <f aca="false">IF(H412="Recette",G412,IF(H412="Dépense",-G412,0))</f>
        <v>0</v>
      </c>
      <c r="L412" s="33" t="n">
        <f aca="false">IF(E412="",0,G412*IFERROR(INDEX(Catégories!$E$5:$E$60,MATCH(E412,Catégories!$A$5:$A$60,0)),0))</f>
        <v>0</v>
      </c>
    </row>
    <row r="413" customFormat="false" ht="15" hidden="false" customHeight="true" outlineLevel="0" collapsed="false">
      <c r="A413" s="34"/>
      <c r="B413" s="29" t="str">
        <f aca="false">IF(A413="","",YEAR(A413))</f>
        <v/>
      </c>
      <c r="G413" s="35"/>
      <c r="H413" s="32" t="str">
        <f aca="false">IF(E413="","",IFERROR(INDEX(Catégories!$B$5:$B$60,MATCH(E413,Catégories!$A$5:$A$60,0)),"?"))</f>
        <v/>
      </c>
      <c r="I413" s="32" t="str">
        <f aca="false">IF(E413="","",IFERROR(INDEX(Catégories!$C$5:$C$60,MATCH(E413,Catégories!$A$5:$A$60,0)),"?"))</f>
        <v/>
      </c>
      <c r="J413" s="32" t="str">
        <f aca="false">IF(E413="","",IFERROR(INDEX(Catégories!$D$5:$D$60,MATCH(E413,Catégories!$A$5:$A$60,0)),"?"))</f>
        <v/>
      </c>
      <c r="K413" s="33" t="n">
        <f aca="false">IF(H413="Recette",G413,IF(H413="Dépense",-G413,0))</f>
        <v>0</v>
      </c>
      <c r="L413" s="33" t="n">
        <f aca="false">IF(E413="",0,G413*IFERROR(INDEX(Catégories!$E$5:$E$60,MATCH(E413,Catégories!$A$5:$A$60,0)),0))</f>
        <v>0</v>
      </c>
    </row>
    <row r="414" customFormat="false" ht="15" hidden="false" customHeight="true" outlineLevel="0" collapsed="false">
      <c r="A414" s="34"/>
      <c r="B414" s="29" t="str">
        <f aca="false">IF(A414="","",YEAR(A414))</f>
        <v/>
      </c>
      <c r="G414" s="35"/>
      <c r="H414" s="32" t="str">
        <f aca="false">IF(E414="","",IFERROR(INDEX(Catégories!$B$5:$B$60,MATCH(E414,Catégories!$A$5:$A$60,0)),"?"))</f>
        <v/>
      </c>
      <c r="I414" s="32" t="str">
        <f aca="false">IF(E414="","",IFERROR(INDEX(Catégories!$C$5:$C$60,MATCH(E414,Catégories!$A$5:$A$60,0)),"?"))</f>
        <v/>
      </c>
      <c r="J414" s="32" t="str">
        <f aca="false">IF(E414="","",IFERROR(INDEX(Catégories!$D$5:$D$60,MATCH(E414,Catégories!$A$5:$A$60,0)),"?"))</f>
        <v/>
      </c>
      <c r="K414" s="33" t="n">
        <f aca="false">IF(H414="Recette",G414,IF(H414="Dépense",-G414,0))</f>
        <v>0</v>
      </c>
      <c r="L414" s="33" t="n">
        <f aca="false">IF(E414="",0,G414*IFERROR(INDEX(Catégories!$E$5:$E$60,MATCH(E414,Catégories!$A$5:$A$60,0)),0))</f>
        <v>0</v>
      </c>
    </row>
    <row r="415" customFormat="false" ht="15" hidden="false" customHeight="true" outlineLevel="0" collapsed="false">
      <c r="A415" s="34"/>
      <c r="B415" s="29" t="str">
        <f aca="false">IF(A415="","",YEAR(A415))</f>
        <v/>
      </c>
      <c r="G415" s="35"/>
      <c r="H415" s="32" t="str">
        <f aca="false">IF(E415="","",IFERROR(INDEX(Catégories!$B$5:$B$60,MATCH(E415,Catégories!$A$5:$A$60,0)),"?"))</f>
        <v/>
      </c>
      <c r="I415" s="32" t="str">
        <f aca="false">IF(E415="","",IFERROR(INDEX(Catégories!$C$5:$C$60,MATCH(E415,Catégories!$A$5:$A$60,0)),"?"))</f>
        <v/>
      </c>
      <c r="J415" s="32" t="str">
        <f aca="false">IF(E415="","",IFERROR(INDEX(Catégories!$D$5:$D$60,MATCH(E415,Catégories!$A$5:$A$60,0)),"?"))</f>
        <v/>
      </c>
      <c r="K415" s="33" t="n">
        <f aca="false">IF(H415="Recette",G415,IF(H415="Dépense",-G415,0))</f>
        <v>0</v>
      </c>
      <c r="L415" s="33" t="n">
        <f aca="false">IF(E415="",0,G415*IFERROR(INDEX(Catégories!$E$5:$E$60,MATCH(E415,Catégories!$A$5:$A$60,0)),0))</f>
        <v>0</v>
      </c>
    </row>
    <row r="416" customFormat="false" ht="15" hidden="false" customHeight="true" outlineLevel="0" collapsed="false">
      <c r="A416" s="34"/>
      <c r="B416" s="29" t="str">
        <f aca="false">IF(A416="","",YEAR(A416))</f>
        <v/>
      </c>
      <c r="G416" s="35"/>
      <c r="H416" s="32" t="str">
        <f aca="false">IF(E416="","",IFERROR(INDEX(Catégories!$B$5:$B$60,MATCH(E416,Catégories!$A$5:$A$60,0)),"?"))</f>
        <v/>
      </c>
      <c r="I416" s="32" t="str">
        <f aca="false">IF(E416="","",IFERROR(INDEX(Catégories!$C$5:$C$60,MATCH(E416,Catégories!$A$5:$A$60,0)),"?"))</f>
        <v/>
      </c>
      <c r="J416" s="32" t="str">
        <f aca="false">IF(E416="","",IFERROR(INDEX(Catégories!$D$5:$D$60,MATCH(E416,Catégories!$A$5:$A$60,0)),"?"))</f>
        <v/>
      </c>
      <c r="K416" s="33" t="n">
        <f aca="false">IF(H416="Recette",G416,IF(H416="Dépense",-G416,0))</f>
        <v>0</v>
      </c>
      <c r="L416" s="33" t="n">
        <f aca="false">IF(E416="",0,G416*IFERROR(INDEX(Catégories!$E$5:$E$60,MATCH(E416,Catégories!$A$5:$A$60,0)),0))</f>
        <v>0</v>
      </c>
    </row>
    <row r="417" customFormat="false" ht="15" hidden="false" customHeight="true" outlineLevel="0" collapsed="false">
      <c r="A417" s="34"/>
      <c r="B417" s="29" t="str">
        <f aca="false">IF(A417="","",YEAR(A417))</f>
        <v/>
      </c>
      <c r="G417" s="35"/>
      <c r="H417" s="32" t="str">
        <f aca="false">IF(E417="","",IFERROR(INDEX(Catégories!$B$5:$B$60,MATCH(E417,Catégories!$A$5:$A$60,0)),"?"))</f>
        <v/>
      </c>
      <c r="I417" s="32" t="str">
        <f aca="false">IF(E417="","",IFERROR(INDEX(Catégories!$C$5:$C$60,MATCH(E417,Catégories!$A$5:$A$60,0)),"?"))</f>
        <v/>
      </c>
      <c r="J417" s="32" t="str">
        <f aca="false">IF(E417="","",IFERROR(INDEX(Catégories!$D$5:$D$60,MATCH(E417,Catégories!$A$5:$A$60,0)),"?"))</f>
        <v/>
      </c>
      <c r="K417" s="33" t="n">
        <f aca="false">IF(H417="Recette",G417,IF(H417="Dépense",-G417,0))</f>
        <v>0</v>
      </c>
      <c r="L417" s="33" t="n">
        <f aca="false">IF(E417="",0,G417*IFERROR(INDEX(Catégories!$E$5:$E$60,MATCH(E417,Catégories!$A$5:$A$60,0)),0))</f>
        <v>0</v>
      </c>
    </row>
    <row r="418" customFormat="false" ht="15" hidden="false" customHeight="true" outlineLevel="0" collapsed="false">
      <c r="A418" s="34"/>
      <c r="B418" s="29" t="str">
        <f aca="false">IF(A418="","",YEAR(A418))</f>
        <v/>
      </c>
      <c r="G418" s="35"/>
      <c r="H418" s="32" t="str">
        <f aca="false">IF(E418="","",IFERROR(INDEX(Catégories!$B$5:$B$60,MATCH(E418,Catégories!$A$5:$A$60,0)),"?"))</f>
        <v/>
      </c>
      <c r="I418" s="32" t="str">
        <f aca="false">IF(E418="","",IFERROR(INDEX(Catégories!$C$5:$C$60,MATCH(E418,Catégories!$A$5:$A$60,0)),"?"))</f>
        <v/>
      </c>
      <c r="J418" s="32" t="str">
        <f aca="false">IF(E418="","",IFERROR(INDEX(Catégories!$D$5:$D$60,MATCH(E418,Catégories!$A$5:$A$60,0)),"?"))</f>
        <v/>
      </c>
      <c r="K418" s="33" t="n">
        <f aca="false">IF(H418="Recette",G418,IF(H418="Dépense",-G418,0))</f>
        <v>0</v>
      </c>
      <c r="L418" s="33" t="n">
        <f aca="false">IF(E418="",0,G418*IFERROR(INDEX(Catégories!$E$5:$E$60,MATCH(E418,Catégories!$A$5:$A$60,0)),0))</f>
        <v>0</v>
      </c>
    </row>
    <row r="419" customFormat="false" ht="15" hidden="false" customHeight="true" outlineLevel="0" collapsed="false">
      <c r="A419" s="34"/>
      <c r="B419" s="29" t="str">
        <f aca="false">IF(A419="","",YEAR(A419))</f>
        <v/>
      </c>
      <c r="G419" s="35"/>
      <c r="H419" s="32" t="str">
        <f aca="false">IF(E419="","",IFERROR(INDEX(Catégories!$B$5:$B$60,MATCH(E419,Catégories!$A$5:$A$60,0)),"?"))</f>
        <v/>
      </c>
      <c r="I419" s="32" t="str">
        <f aca="false">IF(E419="","",IFERROR(INDEX(Catégories!$C$5:$C$60,MATCH(E419,Catégories!$A$5:$A$60,0)),"?"))</f>
        <v/>
      </c>
      <c r="J419" s="32" t="str">
        <f aca="false">IF(E419="","",IFERROR(INDEX(Catégories!$D$5:$D$60,MATCH(E419,Catégories!$A$5:$A$60,0)),"?"))</f>
        <v/>
      </c>
      <c r="K419" s="33" t="n">
        <f aca="false">IF(H419="Recette",G419,IF(H419="Dépense",-G419,0))</f>
        <v>0</v>
      </c>
      <c r="L419" s="33" t="n">
        <f aca="false">IF(E419="",0,G419*IFERROR(INDEX(Catégories!$E$5:$E$60,MATCH(E419,Catégories!$A$5:$A$60,0)),0))</f>
        <v>0</v>
      </c>
    </row>
    <row r="420" customFormat="false" ht="15" hidden="false" customHeight="true" outlineLevel="0" collapsed="false">
      <c r="A420" s="34"/>
      <c r="B420" s="29" t="str">
        <f aca="false">IF(A420="","",YEAR(A420))</f>
        <v/>
      </c>
      <c r="G420" s="35"/>
      <c r="H420" s="32" t="str">
        <f aca="false">IF(E420="","",IFERROR(INDEX(Catégories!$B$5:$B$60,MATCH(E420,Catégories!$A$5:$A$60,0)),"?"))</f>
        <v/>
      </c>
      <c r="I420" s="32" t="str">
        <f aca="false">IF(E420="","",IFERROR(INDEX(Catégories!$C$5:$C$60,MATCH(E420,Catégories!$A$5:$A$60,0)),"?"))</f>
        <v/>
      </c>
      <c r="J420" s="32" t="str">
        <f aca="false">IF(E420="","",IFERROR(INDEX(Catégories!$D$5:$D$60,MATCH(E420,Catégories!$A$5:$A$60,0)),"?"))</f>
        <v/>
      </c>
      <c r="K420" s="33" t="n">
        <f aca="false">IF(H420="Recette",G420,IF(H420="Dépense",-G420,0))</f>
        <v>0</v>
      </c>
      <c r="L420" s="33" t="n">
        <f aca="false">IF(E420="",0,G420*IFERROR(INDEX(Catégories!$E$5:$E$60,MATCH(E420,Catégories!$A$5:$A$60,0)),0))</f>
        <v>0</v>
      </c>
    </row>
    <row r="421" customFormat="false" ht="15" hidden="false" customHeight="true" outlineLevel="0" collapsed="false">
      <c r="A421" s="34"/>
      <c r="B421" s="29" t="str">
        <f aca="false">IF(A421="","",YEAR(A421))</f>
        <v/>
      </c>
      <c r="G421" s="35"/>
      <c r="H421" s="32" t="str">
        <f aca="false">IF(E421="","",IFERROR(INDEX(Catégories!$B$5:$B$60,MATCH(E421,Catégories!$A$5:$A$60,0)),"?"))</f>
        <v/>
      </c>
      <c r="I421" s="32" t="str">
        <f aca="false">IF(E421="","",IFERROR(INDEX(Catégories!$C$5:$C$60,MATCH(E421,Catégories!$A$5:$A$60,0)),"?"))</f>
        <v/>
      </c>
      <c r="J421" s="32" t="str">
        <f aca="false">IF(E421="","",IFERROR(INDEX(Catégories!$D$5:$D$60,MATCH(E421,Catégories!$A$5:$A$60,0)),"?"))</f>
        <v/>
      </c>
      <c r="K421" s="33" t="n">
        <f aca="false">IF(H421="Recette",G421,IF(H421="Dépense",-G421,0))</f>
        <v>0</v>
      </c>
      <c r="L421" s="33" t="n">
        <f aca="false">IF(E421="",0,G421*IFERROR(INDEX(Catégories!$E$5:$E$60,MATCH(E421,Catégories!$A$5:$A$60,0)),0))</f>
        <v>0</v>
      </c>
    </row>
    <row r="422" customFormat="false" ht="15" hidden="false" customHeight="true" outlineLevel="0" collapsed="false">
      <c r="A422" s="34"/>
      <c r="B422" s="29" t="str">
        <f aca="false">IF(A422="","",YEAR(A422))</f>
        <v/>
      </c>
      <c r="G422" s="35"/>
      <c r="H422" s="32" t="str">
        <f aca="false">IF(E422="","",IFERROR(INDEX(Catégories!$B$5:$B$60,MATCH(E422,Catégories!$A$5:$A$60,0)),"?"))</f>
        <v/>
      </c>
      <c r="I422" s="32" t="str">
        <f aca="false">IF(E422="","",IFERROR(INDEX(Catégories!$C$5:$C$60,MATCH(E422,Catégories!$A$5:$A$60,0)),"?"))</f>
        <v/>
      </c>
      <c r="J422" s="32" t="str">
        <f aca="false">IF(E422="","",IFERROR(INDEX(Catégories!$D$5:$D$60,MATCH(E422,Catégories!$A$5:$A$60,0)),"?"))</f>
        <v/>
      </c>
      <c r="K422" s="33" t="n">
        <f aca="false">IF(H422="Recette",G422,IF(H422="Dépense",-G422,0))</f>
        <v>0</v>
      </c>
      <c r="L422" s="33" t="n">
        <f aca="false">IF(E422="",0,G422*IFERROR(INDEX(Catégories!$E$5:$E$60,MATCH(E422,Catégories!$A$5:$A$60,0)),0))</f>
        <v>0</v>
      </c>
    </row>
    <row r="423" customFormat="false" ht="15" hidden="false" customHeight="true" outlineLevel="0" collapsed="false">
      <c r="A423" s="34"/>
      <c r="B423" s="29" t="str">
        <f aca="false">IF(A423="","",YEAR(A423))</f>
        <v/>
      </c>
      <c r="G423" s="35"/>
      <c r="H423" s="32" t="str">
        <f aca="false">IF(E423="","",IFERROR(INDEX(Catégories!$B$5:$B$60,MATCH(E423,Catégories!$A$5:$A$60,0)),"?"))</f>
        <v/>
      </c>
      <c r="I423" s="32" t="str">
        <f aca="false">IF(E423="","",IFERROR(INDEX(Catégories!$C$5:$C$60,MATCH(E423,Catégories!$A$5:$A$60,0)),"?"))</f>
        <v/>
      </c>
      <c r="J423" s="32" t="str">
        <f aca="false">IF(E423="","",IFERROR(INDEX(Catégories!$D$5:$D$60,MATCH(E423,Catégories!$A$5:$A$60,0)),"?"))</f>
        <v/>
      </c>
      <c r="K423" s="33" t="n">
        <f aca="false">IF(H423="Recette",G423,IF(H423="Dépense",-G423,0))</f>
        <v>0</v>
      </c>
      <c r="L423" s="33" t="n">
        <f aca="false">IF(E423="",0,G423*IFERROR(INDEX(Catégories!$E$5:$E$60,MATCH(E423,Catégories!$A$5:$A$60,0)),0))</f>
        <v>0</v>
      </c>
    </row>
    <row r="424" customFormat="false" ht="15" hidden="false" customHeight="true" outlineLevel="0" collapsed="false">
      <c r="A424" s="34"/>
      <c r="B424" s="29" t="str">
        <f aca="false">IF(A424="","",YEAR(A424))</f>
        <v/>
      </c>
      <c r="G424" s="35"/>
      <c r="H424" s="32" t="str">
        <f aca="false">IF(E424="","",IFERROR(INDEX(Catégories!$B$5:$B$60,MATCH(E424,Catégories!$A$5:$A$60,0)),"?"))</f>
        <v/>
      </c>
      <c r="I424" s="32" t="str">
        <f aca="false">IF(E424="","",IFERROR(INDEX(Catégories!$C$5:$C$60,MATCH(E424,Catégories!$A$5:$A$60,0)),"?"))</f>
        <v/>
      </c>
      <c r="J424" s="32" t="str">
        <f aca="false">IF(E424="","",IFERROR(INDEX(Catégories!$D$5:$D$60,MATCH(E424,Catégories!$A$5:$A$60,0)),"?"))</f>
        <v/>
      </c>
      <c r="K424" s="33" t="n">
        <f aca="false">IF(H424="Recette",G424,IF(H424="Dépense",-G424,0))</f>
        <v>0</v>
      </c>
      <c r="L424" s="33" t="n">
        <f aca="false">IF(E424="",0,G424*IFERROR(INDEX(Catégories!$E$5:$E$60,MATCH(E424,Catégories!$A$5:$A$60,0)),0))</f>
        <v>0</v>
      </c>
    </row>
    <row r="425" customFormat="false" ht="15" hidden="false" customHeight="true" outlineLevel="0" collapsed="false">
      <c r="A425" s="34"/>
      <c r="B425" s="29" t="str">
        <f aca="false">IF(A425="","",YEAR(A425))</f>
        <v/>
      </c>
      <c r="G425" s="35"/>
      <c r="H425" s="32" t="str">
        <f aca="false">IF(E425="","",IFERROR(INDEX(Catégories!$B$5:$B$60,MATCH(E425,Catégories!$A$5:$A$60,0)),"?"))</f>
        <v/>
      </c>
      <c r="I425" s="32" t="str">
        <f aca="false">IF(E425="","",IFERROR(INDEX(Catégories!$C$5:$C$60,MATCH(E425,Catégories!$A$5:$A$60,0)),"?"))</f>
        <v/>
      </c>
      <c r="J425" s="32" t="str">
        <f aca="false">IF(E425="","",IFERROR(INDEX(Catégories!$D$5:$D$60,MATCH(E425,Catégories!$A$5:$A$60,0)),"?"))</f>
        <v/>
      </c>
      <c r="K425" s="33" t="n">
        <f aca="false">IF(H425="Recette",G425,IF(H425="Dépense",-G425,0))</f>
        <v>0</v>
      </c>
      <c r="L425" s="33" t="n">
        <f aca="false">IF(E425="",0,G425*IFERROR(INDEX(Catégories!$E$5:$E$60,MATCH(E425,Catégories!$A$5:$A$60,0)),0))</f>
        <v>0</v>
      </c>
    </row>
    <row r="426" customFormat="false" ht="15" hidden="false" customHeight="true" outlineLevel="0" collapsed="false">
      <c r="A426" s="34"/>
      <c r="B426" s="29" t="str">
        <f aca="false">IF(A426="","",YEAR(A426))</f>
        <v/>
      </c>
      <c r="G426" s="35"/>
      <c r="H426" s="32" t="str">
        <f aca="false">IF(E426="","",IFERROR(INDEX(Catégories!$B$5:$B$60,MATCH(E426,Catégories!$A$5:$A$60,0)),"?"))</f>
        <v/>
      </c>
      <c r="I426" s="32" t="str">
        <f aca="false">IF(E426="","",IFERROR(INDEX(Catégories!$C$5:$C$60,MATCH(E426,Catégories!$A$5:$A$60,0)),"?"))</f>
        <v/>
      </c>
      <c r="J426" s="32" t="str">
        <f aca="false">IF(E426="","",IFERROR(INDEX(Catégories!$D$5:$D$60,MATCH(E426,Catégories!$A$5:$A$60,0)),"?"))</f>
        <v/>
      </c>
      <c r="K426" s="33" t="n">
        <f aca="false">IF(H426="Recette",G426,IF(H426="Dépense",-G426,0))</f>
        <v>0</v>
      </c>
      <c r="L426" s="33" t="n">
        <f aca="false">IF(E426="",0,G426*IFERROR(INDEX(Catégories!$E$5:$E$60,MATCH(E426,Catégories!$A$5:$A$60,0)),0))</f>
        <v>0</v>
      </c>
    </row>
    <row r="427" customFormat="false" ht="15" hidden="false" customHeight="true" outlineLevel="0" collapsed="false">
      <c r="A427" s="34"/>
      <c r="B427" s="29" t="str">
        <f aca="false">IF(A427="","",YEAR(A427))</f>
        <v/>
      </c>
      <c r="G427" s="35"/>
      <c r="H427" s="32" t="str">
        <f aca="false">IF(E427="","",IFERROR(INDEX(Catégories!$B$5:$B$60,MATCH(E427,Catégories!$A$5:$A$60,0)),"?"))</f>
        <v/>
      </c>
      <c r="I427" s="32" t="str">
        <f aca="false">IF(E427="","",IFERROR(INDEX(Catégories!$C$5:$C$60,MATCH(E427,Catégories!$A$5:$A$60,0)),"?"))</f>
        <v/>
      </c>
      <c r="J427" s="32" t="str">
        <f aca="false">IF(E427="","",IFERROR(INDEX(Catégories!$D$5:$D$60,MATCH(E427,Catégories!$A$5:$A$60,0)),"?"))</f>
        <v/>
      </c>
      <c r="K427" s="33" t="n">
        <f aca="false">IF(H427="Recette",G427,IF(H427="Dépense",-G427,0))</f>
        <v>0</v>
      </c>
      <c r="L427" s="33" t="n">
        <f aca="false">IF(E427="",0,G427*IFERROR(INDEX(Catégories!$E$5:$E$60,MATCH(E427,Catégories!$A$5:$A$60,0)),0))</f>
        <v>0</v>
      </c>
    </row>
    <row r="428" customFormat="false" ht="15" hidden="false" customHeight="true" outlineLevel="0" collapsed="false">
      <c r="A428" s="34"/>
      <c r="B428" s="29" t="str">
        <f aca="false">IF(A428="","",YEAR(A428))</f>
        <v/>
      </c>
      <c r="G428" s="35"/>
      <c r="H428" s="32" t="str">
        <f aca="false">IF(E428="","",IFERROR(INDEX(Catégories!$B$5:$B$60,MATCH(E428,Catégories!$A$5:$A$60,0)),"?"))</f>
        <v/>
      </c>
      <c r="I428" s="32" t="str">
        <f aca="false">IF(E428="","",IFERROR(INDEX(Catégories!$C$5:$C$60,MATCH(E428,Catégories!$A$5:$A$60,0)),"?"))</f>
        <v/>
      </c>
      <c r="J428" s="32" t="str">
        <f aca="false">IF(E428="","",IFERROR(INDEX(Catégories!$D$5:$D$60,MATCH(E428,Catégories!$A$5:$A$60,0)),"?"))</f>
        <v/>
      </c>
      <c r="K428" s="33" t="n">
        <f aca="false">IF(H428="Recette",G428,IF(H428="Dépense",-G428,0))</f>
        <v>0</v>
      </c>
      <c r="L428" s="33" t="n">
        <f aca="false">IF(E428="",0,G428*IFERROR(INDEX(Catégories!$E$5:$E$60,MATCH(E428,Catégories!$A$5:$A$60,0)),0))</f>
        <v>0</v>
      </c>
    </row>
    <row r="429" customFormat="false" ht="15" hidden="false" customHeight="true" outlineLevel="0" collapsed="false">
      <c r="A429" s="34"/>
      <c r="B429" s="29" t="str">
        <f aca="false">IF(A429="","",YEAR(A429))</f>
        <v/>
      </c>
      <c r="G429" s="35"/>
      <c r="H429" s="32" t="str">
        <f aca="false">IF(E429="","",IFERROR(INDEX(Catégories!$B$5:$B$60,MATCH(E429,Catégories!$A$5:$A$60,0)),"?"))</f>
        <v/>
      </c>
      <c r="I429" s="32" t="str">
        <f aca="false">IF(E429="","",IFERROR(INDEX(Catégories!$C$5:$C$60,MATCH(E429,Catégories!$A$5:$A$60,0)),"?"))</f>
        <v/>
      </c>
      <c r="J429" s="32" t="str">
        <f aca="false">IF(E429="","",IFERROR(INDEX(Catégories!$D$5:$D$60,MATCH(E429,Catégories!$A$5:$A$60,0)),"?"))</f>
        <v/>
      </c>
      <c r="K429" s="33" t="n">
        <f aca="false">IF(H429="Recette",G429,IF(H429="Dépense",-G429,0))</f>
        <v>0</v>
      </c>
      <c r="L429" s="33" t="n">
        <f aca="false">IF(E429="",0,G429*IFERROR(INDEX(Catégories!$E$5:$E$60,MATCH(E429,Catégories!$A$5:$A$60,0)),0))</f>
        <v>0</v>
      </c>
    </row>
    <row r="430" customFormat="false" ht="15" hidden="false" customHeight="true" outlineLevel="0" collapsed="false">
      <c r="A430" s="34"/>
      <c r="B430" s="29" t="str">
        <f aca="false">IF(A430="","",YEAR(A430))</f>
        <v/>
      </c>
      <c r="G430" s="35"/>
      <c r="H430" s="32" t="str">
        <f aca="false">IF(E430="","",IFERROR(INDEX(Catégories!$B$5:$B$60,MATCH(E430,Catégories!$A$5:$A$60,0)),"?"))</f>
        <v/>
      </c>
      <c r="I430" s="32" t="str">
        <f aca="false">IF(E430="","",IFERROR(INDEX(Catégories!$C$5:$C$60,MATCH(E430,Catégories!$A$5:$A$60,0)),"?"))</f>
        <v/>
      </c>
      <c r="J430" s="32" t="str">
        <f aca="false">IF(E430="","",IFERROR(INDEX(Catégories!$D$5:$D$60,MATCH(E430,Catégories!$A$5:$A$60,0)),"?"))</f>
        <v/>
      </c>
      <c r="K430" s="33" t="n">
        <f aca="false">IF(H430="Recette",G430,IF(H430="Dépense",-G430,0))</f>
        <v>0</v>
      </c>
      <c r="L430" s="33" t="n">
        <f aca="false">IF(E430="",0,G430*IFERROR(INDEX(Catégories!$E$5:$E$60,MATCH(E430,Catégories!$A$5:$A$60,0)),0))</f>
        <v>0</v>
      </c>
    </row>
    <row r="431" customFormat="false" ht="15" hidden="false" customHeight="true" outlineLevel="0" collapsed="false">
      <c r="A431" s="34"/>
      <c r="B431" s="29" t="str">
        <f aca="false">IF(A431="","",YEAR(A431))</f>
        <v/>
      </c>
      <c r="G431" s="35"/>
      <c r="H431" s="32" t="str">
        <f aca="false">IF(E431="","",IFERROR(INDEX(Catégories!$B$5:$B$60,MATCH(E431,Catégories!$A$5:$A$60,0)),"?"))</f>
        <v/>
      </c>
      <c r="I431" s="32" t="str">
        <f aca="false">IF(E431="","",IFERROR(INDEX(Catégories!$C$5:$C$60,MATCH(E431,Catégories!$A$5:$A$60,0)),"?"))</f>
        <v/>
      </c>
      <c r="J431" s="32" t="str">
        <f aca="false">IF(E431="","",IFERROR(INDEX(Catégories!$D$5:$D$60,MATCH(E431,Catégories!$A$5:$A$60,0)),"?"))</f>
        <v/>
      </c>
      <c r="K431" s="33" t="n">
        <f aca="false">IF(H431="Recette",G431,IF(H431="Dépense",-G431,0))</f>
        <v>0</v>
      </c>
      <c r="L431" s="33" t="n">
        <f aca="false">IF(E431="",0,G431*IFERROR(INDEX(Catégories!$E$5:$E$60,MATCH(E431,Catégories!$A$5:$A$60,0)),0))</f>
        <v>0</v>
      </c>
    </row>
    <row r="432" customFormat="false" ht="15" hidden="false" customHeight="true" outlineLevel="0" collapsed="false">
      <c r="A432" s="34"/>
      <c r="B432" s="29" t="str">
        <f aca="false">IF(A432="","",YEAR(A432))</f>
        <v/>
      </c>
      <c r="G432" s="35"/>
      <c r="H432" s="32" t="str">
        <f aca="false">IF(E432="","",IFERROR(INDEX(Catégories!$B$5:$B$60,MATCH(E432,Catégories!$A$5:$A$60,0)),"?"))</f>
        <v/>
      </c>
      <c r="I432" s="32" t="str">
        <f aca="false">IF(E432="","",IFERROR(INDEX(Catégories!$C$5:$C$60,MATCH(E432,Catégories!$A$5:$A$60,0)),"?"))</f>
        <v/>
      </c>
      <c r="J432" s="32" t="str">
        <f aca="false">IF(E432="","",IFERROR(INDEX(Catégories!$D$5:$D$60,MATCH(E432,Catégories!$A$5:$A$60,0)),"?"))</f>
        <v/>
      </c>
      <c r="K432" s="33" t="n">
        <f aca="false">IF(H432="Recette",G432,IF(H432="Dépense",-G432,0))</f>
        <v>0</v>
      </c>
      <c r="L432" s="33" t="n">
        <f aca="false">IF(E432="",0,G432*IFERROR(INDEX(Catégories!$E$5:$E$60,MATCH(E432,Catégories!$A$5:$A$60,0)),0))</f>
        <v>0</v>
      </c>
    </row>
    <row r="433" customFormat="false" ht="15" hidden="false" customHeight="true" outlineLevel="0" collapsed="false">
      <c r="A433" s="34"/>
      <c r="B433" s="29" t="str">
        <f aca="false">IF(A433="","",YEAR(A433))</f>
        <v/>
      </c>
      <c r="G433" s="35"/>
      <c r="H433" s="32" t="str">
        <f aca="false">IF(E433="","",IFERROR(INDEX(Catégories!$B$5:$B$60,MATCH(E433,Catégories!$A$5:$A$60,0)),"?"))</f>
        <v/>
      </c>
      <c r="I433" s="32" t="str">
        <f aca="false">IF(E433="","",IFERROR(INDEX(Catégories!$C$5:$C$60,MATCH(E433,Catégories!$A$5:$A$60,0)),"?"))</f>
        <v/>
      </c>
      <c r="J433" s="32" t="str">
        <f aca="false">IF(E433="","",IFERROR(INDEX(Catégories!$D$5:$D$60,MATCH(E433,Catégories!$A$5:$A$60,0)),"?"))</f>
        <v/>
      </c>
      <c r="K433" s="33" t="n">
        <f aca="false">IF(H433="Recette",G433,IF(H433="Dépense",-G433,0))</f>
        <v>0</v>
      </c>
      <c r="L433" s="33" t="n">
        <f aca="false">IF(E433="",0,G433*IFERROR(INDEX(Catégories!$E$5:$E$60,MATCH(E433,Catégories!$A$5:$A$60,0)),0))</f>
        <v>0</v>
      </c>
    </row>
    <row r="434" customFormat="false" ht="15" hidden="false" customHeight="true" outlineLevel="0" collapsed="false">
      <c r="A434" s="34"/>
      <c r="B434" s="29" t="str">
        <f aca="false">IF(A434="","",YEAR(A434))</f>
        <v/>
      </c>
      <c r="G434" s="35"/>
      <c r="H434" s="32" t="str">
        <f aca="false">IF(E434="","",IFERROR(INDEX(Catégories!$B$5:$B$60,MATCH(E434,Catégories!$A$5:$A$60,0)),"?"))</f>
        <v/>
      </c>
      <c r="I434" s="32" t="str">
        <f aca="false">IF(E434="","",IFERROR(INDEX(Catégories!$C$5:$C$60,MATCH(E434,Catégories!$A$5:$A$60,0)),"?"))</f>
        <v/>
      </c>
      <c r="J434" s="32" t="str">
        <f aca="false">IF(E434="","",IFERROR(INDEX(Catégories!$D$5:$D$60,MATCH(E434,Catégories!$A$5:$A$60,0)),"?"))</f>
        <v/>
      </c>
      <c r="K434" s="33" t="n">
        <f aca="false">IF(H434="Recette",G434,IF(H434="Dépense",-G434,0))</f>
        <v>0</v>
      </c>
      <c r="L434" s="33" t="n">
        <f aca="false">IF(E434="",0,G434*IFERROR(INDEX(Catégories!$E$5:$E$60,MATCH(E434,Catégories!$A$5:$A$60,0)),0))</f>
        <v>0</v>
      </c>
    </row>
    <row r="435" customFormat="false" ht="15" hidden="false" customHeight="true" outlineLevel="0" collapsed="false">
      <c r="A435" s="34"/>
      <c r="B435" s="29" t="str">
        <f aca="false">IF(A435="","",YEAR(A435))</f>
        <v/>
      </c>
      <c r="G435" s="35"/>
      <c r="H435" s="32" t="str">
        <f aca="false">IF(E435="","",IFERROR(INDEX(Catégories!$B$5:$B$60,MATCH(E435,Catégories!$A$5:$A$60,0)),"?"))</f>
        <v/>
      </c>
      <c r="I435" s="32" t="str">
        <f aca="false">IF(E435="","",IFERROR(INDEX(Catégories!$C$5:$C$60,MATCH(E435,Catégories!$A$5:$A$60,0)),"?"))</f>
        <v/>
      </c>
      <c r="J435" s="32" t="str">
        <f aca="false">IF(E435="","",IFERROR(INDEX(Catégories!$D$5:$D$60,MATCH(E435,Catégories!$A$5:$A$60,0)),"?"))</f>
        <v/>
      </c>
      <c r="K435" s="33" t="n">
        <f aca="false">IF(H435="Recette",G435,IF(H435="Dépense",-G435,0))</f>
        <v>0</v>
      </c>
      <c r="L435" s="33" t="n">
        <f aca="false">IF(E435="",0,G435*IFERROR(INDEX(Catégories!$E$5:$E$60,MATCH(E435,Catégories!$A$5:$A$60,0)),0))</f>
        <v>0</v>
      </c>
    </row>
    <row r="436" customFormat="false" ht="15" hidden="false" customHeight="true" outlineLevel="0" collapsed="false">
      <c r="A436" s="34"/>
      <c r="B436" s="29" t="str">
        <f aca="false">IF(A436="","",YEAR(A436))</f>
        <v/>
      </c>
      <c r="G436" s="35"/>
      <c r="H436" s="32" t="str">
        <f aca="false">IF(E436="","",IFERROR(INDEX(Catégories!$B$5:$B$60,MATCH(E436,Catégories!$A$5:$A$60,0)),"?"))</f>
        <v/>
      </c>
      <c r="I436" s="32" t="str">
        <f aca="false">IF(E436="","",IFERROR(INDEX(Catégories!$C$5:$C$60,MATCH(E436,Catégories!$A$5:$A$60,0)),"?"))</f>
        <v/>
      </c>
      <c r="J436" s="32" t="str">
        <f aca="false">IF(E436="","",IFERROR(INDEX(Catégories!$D$5:$D$60,MATCH(E436,Catégories!$A$5:$A$60,0)),"?"))</f>
        <v/>
      </c>
      <c r="K436" s="33" t="n">
        <f aca="false">IF(H436="Recette",G436,IF(H436="Dépense",-G436,0))</f>
        <v>0</v>
      </c>
      <c r="L436" s="33" t="n">
        <f aca="false">IF(E436="",0,G436*IFERROR(INDEX(Catégories!$E$5:$E$60,MATCH(E436,Catégories!$A$5:$A$60,0)),0))</f>
        <v>0</v>
      </c>
    </row>
    <row r="437" customFormat="false" ht="15" hidden="false" customHeight="true" outlineLevel="0" collapsed="false">
      <c r="A437" s="34"/>
      <c r="B437" s="29" t="str">
        <f aca="false">IF(A437="","",YEAR(A437))</f>
        <v/>
      </c>
      <c r="G437" s="35"/>
      <c r="H437" s="32" t="str">
        <f aca="false">IF(E437="","",IFERROR(INDEX(Catégories!$B$5:$B$60,MATCH(E437,Catégories!$A$5:$A$60,0)),"?"))</f>
        <v/>
      </c>
      <c r="I437" s="32" t="str">
        <f aca="false">IF(E437="","",IFERROR(INDEX(Catégories!$C$5:$C$60,MATCH(E437,Catégories!$A$5:$A$60,0)),"?"))</f>
        <v/>
      </c>
      <c r="J437" s="32" t="str">
        <f aca="false">IF(E437="","",IFERROR(INDEX(Catégories!$D$5:$D$60,MATCH(E437,Catégories!$A$5:$A$60,0)),"?"))</f>
        <v/>
      </c>
      <c r="K437" s="33" t="n">
        <f aca="false">IF(H437="Recette",G437,IF(H437="Dépense",-G437,0))</f>
        <v>0</v>
      </c>
      <c r="L437" s="33" t="n">
        <f aca="false">IF(E437="",0,G437*IFERROR(INDEX(Catégories!$E$5:$E$60,MATCH(E437,Catégories!$A$5:$A$60,0)),0))</f>
        <v>0</v>
      </c>
    </row>
    <row r="438" customFormat="false" ht="15" hidden="false" customHeight="true" outlineLevel="0" collapsed="false">
      <c r="A438" s="34"/>
      <c r="B438" s="29" t="str">
        <f aca="false">IF(A438="","",YEAR(A438))</f>
        <v/>
      </c>
      <c r="G438" s="35"/>
      <c r="H438" s="32" t="str">
        <f aca="false">IF(E438="","",IFERROR(INDEX(Catégories!$B$5:$B$60,MATCH(E438,Catégories!$A$5:$A$60,0)),"?"))</f>
        <v/>
      </c>
      <c r="I438" s="32" t="str">
        <f aca="false">IF(E438="","",IFERROR(INDEX(Catégories!$C$5:$C$60,MATCH(E438,Catégories!$A$5:$A$60,0)),"?"))</f>
        <v/>
      </c>
      <c r="J438" s="32" t="str">
        <f aca="false">IF(E438="","",IFERROR(INDEX(Catégories!$D$5:$D$60,MATCH(E438,Catégories!$A$5:$A$60,0)),"?"))</f>
        <v/>
      </c>
      <c r="K438" s="33" t="n">
        <f aca="false">IF(H438="Recette",G438,IF(H438="Dépense",-G438,0))</f>
        <v>0</v>
      </c>
      <c r="L438" s="33" t="n">
        <f aca="false">IF(E438="",0,G438*IFERROR(INDEX(Catégories!$E$5:$E$60,MATCH(E438,Catégories!$A$5:$A$60,0)),0))</f>
        <v>0</v>
      </c>
    </row>
    <row r="439" customFormat="false" ht="15" hidden="false" customHeight="true" outlineLevel="0" collapsed="false">
      <c r="A439" s="34"/>
      <c r="B439" s="29" t="str">
        <f aca="false">IF(A439="","",YEAR(A439))</f>
        <v/>
      </c>
      <c r="G439" s="35"/>
      <c r="H439" s="32" t="str">
        <f aca="false">IF(E439="","",IFERROR(INDEX(Catégories!$B$5:$B$60,MATCH(E439,Catégories!$A$5:$A$60,0)),"?"))</f>
        <v/>
      </c>
      <c r="I439" s="32" t="str">
        <f aca="false">IF(E439="","",IFERROR(INDEX(Catégories!$C$5:$C$60,MATCH(E439,Catégories!$A$5:$A$60,0)),"?"))</f>
        <v/>
      </c>
      <c r="J439" s="32" t="str">
        <f aca="false">IF(E439="","",IFERROR(INDEX(Catégories!$D$5:$D$60,MATCH(E439,Catégories!$A$5:$A$60,0)),"?"))</f>
        <v/>
      </c>
      <c r="K439" s="33" t="n">
        <f aca="false">IF(H439="Recette",G439,IF(H439="Dépense",-G439,0))</f>
        <v>0</v>
      </c>
      <c r="L439" s="33" t="n">
        <f aca="false">IF(E439="",0,G439*IFERROR(INDEX(Catégories!$E$5:$E$60,MATCH(E439,Catégories!$A$5:$A$60,0)),0))</f>
        <v>0</v>
      </c>
    </row>
    <row r="440" customFormat="false" ht="15" hidden="false" customHeight="true" outlineLevel="0" collapsed="false">
      <c r="A440" s="34"/>
      <c r="B440" s="29" t="str">
        <f aca="false">IF(A440="","",YEAR(A440))</f>
        <v/>
      </c>
      <c r="G440" s="35"/>
      <c r="H440" s="32" t="str">
        <f aca="false">IF(E440="","",IFERROR(INDEX(Catégories!$B$5:$B$60,MATCH(E440,Catégories!$A$5:$A$60,0)),"?"))</f>
        <v/>
      </c>
      <c r="I440" s="32" t="str">
        <f aca="false">IF(E440="","",IFERROR(INDEX(Catégories!$C$5:$C$60,MATCH(E440,Catégories!$A$5:$A$60,0)),"?"))</f>
        <v/>
      </c>
      <c r="J440" s="32" t="str">
        <f aca="false">IF(E440="","",IFERROR(INDEX(Catégories!$D$5:$D$60,MATCH(E440,Catégories!$A$5:$A$60,0)),"?"))</f>
        <v/>
      </c>
      <c r="K440" s="33" t="n">
        <f aca="false">IF(H440="Recette",G440,IF(H440="Dépense",-G440,0))</f>
        <v>0</v>
      </c>
      <c r="L440" s="33" t="n">
        <f aca="false">IF(E440="",0,G440*IFERROR(INDEX(Catégories!$E$5:$E$60,MATCH(E440,Catégories!$A$5:$A$60,0)),0))</f>
        <v>0</v>
      </c>
    </row>
    <row r="441" customFormat="false" ht="15" hidden="false" customHeight="true" outlineLevel="0" collapsed="false">
      <c r="A441" s="34"/>
      <c r="B441" s="29" t="str">
        <f aca="false">IF(A441="","",YEAR(A441))</f>
        <v/>
      </c>
      <c r="G441" s="35"/>
      <c r="H441" s="32" t="str">
        <f aca="false">IF(E441="","",IFERROR(INDEX(Catégories!$B$5:$B$60,MATCH(E441,Catégories!$A$5:$A$60,0)),"?"))</f>
        <v/>
      </c>
      <c r="I441" s="32" t="str">
        <f aca="false">IF(E441="","",IFERROR(INDEX(Catégories!$C$5:$C$60,MATCH(E441,Catégories!$A$5:$A$60,0)),"?"))</f>
        <v/>
      </c>
      <c r="J441" s="32" t="str">
        <f aca="false">IF(E441="","",IFERROR(INDEX(Catégories!$D$5:$D$60,MATCH(E441,Catégories!$A$5:$A$60,0)),"?"))</f>
        <v/>
      </c>
      <c r="K441" s="33" t="n">
        <f aca="false">IF(H441="Recette",G441,IF(H441="Dépense",-G441,0))</f>
        <v>0</v>
      </c>
      <c r="L441" s="33" t="n">
        <f aca="false">IF(E441="",0,G441*IFERROR(INDEX(Catégories!$E$5:$E$60,MATCH(E441,Catégories!$A$5:$A$60,0)),0))</f>
        <v>0</v>
      </c>
    </row>
    <row r="442" customFormat="false" ht="15" hidden="false" customHeight="true" outlineLevel="0" collapsed="false">
      <c r="A442" s="34"/>
      <c r="B442" s="29" t="str">
        <f aca="false">IF(A442="","",YEAR(A442))</f>
        <v/>
      </c>
      <c r="G442" s="35"/>
      <c r="H442" s="32" t="str">
        <f aca="false">IF(E442="","",IFERROR(INDEX(Catégories!$B$5:$B$60,MATCH(E442,Catégories!$A$5:$A$60,0)),"?"))</f>
        <v/>
      </c>
      <c r="I442" s="32" t="str">
        <f aca="false">IF(E442="","",IFERROR(INDEX(Catégories!$C$5:$C$60,MATCH(E442,Catégories!$A$5:$A$60,0)),"?"))</f>
        <v/>
      </c>
      <c r="J442" s="32" t="str">
        <f aca="false">IF(E442="","",IFERROR(INDEX(Catégories!$D$5:$D$60,MATCH(E442,Catégories!$A$5:$A$60,0)),"?"))</f>
        <v/>
      </c>
      <c r="K442" s="33" t="n">
        <f aca="false">IF(H442="Recette",G442,IF(H442="Dépense",-G442,0))</f>
        <v>0</v>
      </c>
      <c r="L442" s="33" t="n">
        <f aca="false">IF(E442="",0,G442*IFERROR(INDEX(Catégories!$E$5:$E$60,MATCH(E442,Catégories!$A$5:$A$60,0)),0))</f>
        <v>0</v>
      </c>
    </row>
    <row r="443" customFormat="false" ht="15" hidden="false" customHeight="true" outlineLevel="0" collapsed="false">
      <c r="A443" s="34"/>
      <c r="B443" s="29" t="str">
        <f aca="false">IF(A443="","",YEAR(A443))</f>
        <v/>
      </c>
      <c r="G443" s="35"/>
      <c r="H443" s="32" t="str">
        <f aca="false">IF(E443="","",IFERROR(INDEX(Catégories!$B$5:$B$60,MATCH(E443,Catégories!$A$5:$A$60,0)),"?"))</f>
        <v/>
      </c>
      <c r="I443" s="32" t="str">
        <f aca="false">IF(E443="","",IFERROR(INDEX(Catégories!$C$5:$C$60,MATCH(E443,Catégories!$A$5:$A$60,0)),"?"))</f>
        <v/>
      </c>
      <c r="J443" s="32" t="str">
        <f aca="false">IF(E443="","",IFERROR(INDEX(Catégories!$D$5:$D$60,MATCH(E443,Catégories!$A$5:$A$60,0)),"?"))</f>
        <v/>
      </c>
      <c r="K443" s="33" t="n">
        <f aca="false">IF(H443="Recette",G443,IF(H443="Dépense",-G443,0))</f>
        <v>0</v>
      </c>
      <c r="L443" s="33" t="n">
        <f aca="false">IF(E443="",0,G443*IFERROR(INDEX(Catégories!$E$5:$E$60,MATCH(E443,Catégories!$A$5:$A$60,0)),0))</f>
        <v>0</v>
      </c>
    </row>
    <row r="444" customFormat="false" ht="15" hidden="false" customHeight="true" outlineLevel="0" collapsed="false">
      <c r="A444" s="34"/>
      <c r="B444" s="29" t="str">
        <f aca="false">IF(A444="","",YEAR(A444))</f>
        <v/>
      </c>
      <c r="G444" s="35"/>
      <c r="H444" s="32" t="str">
        <f aca="false">IF(E444="","",IFERROR(INDEX(Catégories!$B$5:$B$60,MATCH(E444,Catégories!$A$5:$A$60,0)),"?"))</f>
        <v/>
      </c>
      <c r="I444" s="32" t="str">
        <f aca="false">IF(E444="","",IFERROR(INDEX(Catégories!$C$5:$C$60,MATCH(E444,Catégories!$A$5:$A$60,0)),"?"))</f>
        <v/>
      </c>
      <c r="J444" s="32" t="str">
        <f aca="false">IF(E444="","",IFERROR(INDEX(Catégories!$D$5:$D$60,MATCH(E444,Catégories!$A$5:$A$60,0)),"?"))</f>
        <v/>
      </c>
      <c r="K444" s="33" t="n">
        <f aca="false">IF(H444="Recette",G444,IF(H444="Dépense",-G444,0))</f>
        <v>0</v>
      </c>
      <c r="L444" s="33" t="n">
        <f aca="false">IF(E444="",0,G444*IFERROR(INDEX(Catégories!$E$5:$E$60,MATCH(E444,Catégories!$A$5:$A$60,0)),0))</f>
        <v>0</v>
      </c>
    </row>
    <row r="445" customFormat="false" ht="15" hidden="false" customHeight="true" outlineLevel="0" collapsed="false">
      <c r="A445" s="34"/>
      <c r="B445" s="29" t="str">
        <f aca="false">IF(A445="","",YEAR(A445))</f>
        <v/>
      </c>
      <c r="G445" s="35"/>
      <c r="H445" s="32" t="str">
        <f aca="false">IF(E445="","",IFERROR(INDEX(Catégories!$B$5:$B$60,MATCH(E445,Catégories!$A$5:$A$60,0)),"?"))</f>
        <v/>
      </c>
      <c r="I445" s="32" t="str">
        <f aca="false">IF(E445="","",IFERROR(INDEX(Catégories!$C$5:$C$60,MATCH(E445,Catégories!$A$5:$A$60,0)),"?"))</f>
        <v/>
      </c>
      <c r="J445" s="32" t="str">
        <f aca="false">IF(E445="","",IFERROR(INDEX(Catégories!$D$5:$D$60,MATCH(E445,Catégories!$A$5:$A$60,0)),"?"))</f>
        <v/>
      </c>
      <c r="K445" s="33" t="n">
        <f aca="false">IF(H445="Recette",G445,IF(H445="Dépense",-G445,0))</f>
        <v>0</v>
      </c>
      <c r="L445" s="33" t="n">
        <f aca="false">IF(E445="",0,G445*IFERROR(INDEX(Catégories!$E$5:$E$60,MATCH(E445,Catégories!$A$5:$A$60,0)),0))</f>
        <v>0</v>
      </c>
    </row>
    <row r="446" customFormat="false" ht="15" hidden="false" customHeight="true" outlineLevel="0" collapsed="false">
      <c r="A446" s="34"/>
      <c r="B446" s="29" t="str">
        <f aca="false">IF(A446="","",YEAR(A446))</f>
        <v/>
      </c>
      <c r="G446" s="35"/>
      <c r="H446" s="32" t="str">
        <f aca="false">IF(E446="","",IFERROR(INDEX(Catégories!$B$5:$B$60,MATCH(E446,Catégories!$A$5:$A$60,0)),"?"))</f>
        <v/>
      </c>
      <c r="I446" s="32" t="str">
        <f aca="false">IF(E446="","",IFERROR(INDEX(Catégories!$C$5:$C$60,MATCH(E446,Catégories!$A$5:$A$60,0)),"?"))</f>
        <v/>
      </c>
      <c r="J446" s="32" t="str">
        <f aca="false">IF(E446="","",IFERROR(INDEX(Catégories!$D$5:$D$60,MATCH(E446,Catégories!$A$5:$A$60,0)),"?"))</f>
        <v/>
      </c>
      <c r="K446" s="33" t="n">
        <f aca="false">IF(H446="Recette",G446,IF(H446="Dépense",-G446,0))</f>
        <v>0</v>
      </c>
      <c r="L446" s="33" t="n">
        <f aca="false">IF(E446="",0,G446*IFERROR(INDEX(Catégories!$E$5:$E$60,MATCH(E446,Catégories!$A$5:$A$60,0)),0))</f>
        <v>0</v>
      </c>
    </row>
    <row r="447" customFormat="false" ht="15" hidden="false" customHeight="true" outlineLevel="0" collapsed="false">
      <c r="A447" s="34"/>
      <c r="B447" s="29" t="str">
        <f aca="false">IF(A447="","",YEAR(A447))</f>
        <v/>
      </c>
      <c r="G447" s="35"/>
      <c r="H447" s="32" t="str">
        <f aca="false">IF(E447="","",IFERROR(INDEX(Catégories!$B$5:$B$60,MATCH(E447,Catégories!$A$5:$A$60,0)),"?"))</f>
        <v/>
      </c>
      <c r="I447" s="32" t="str">
        <f aca="false">IF(E447="","",IFERROR(INDEX(Catégories!$C$5:$C$60,MATCH(E447,Catégories!$A$5:$A$60,0)),"?"))</f>
        <v/>
      </c>
      <c r="J447" s="32" t="str">
        <f aca="false">IF(E447="","",IFERROR(INDEX(Catégories!$D$5:$D$60,MATCH(E447,Catégories!$A$5:$A$60,0)),"?"))</f>
        <v/>
      </c>
      <c r="K447" s="33" t="n">
        <f aca="false">IF(H447="Recette",G447,IF(H447="Dépense",-G447,0))</f>
        <v>0</v>
      </c>
      <c r="L447" s="33" t="n">
        <f aca="false">IF(E447="",0,G447*IFERROR(INDEX(Catégories!$E$5:$E$60,MATCH(E447,Catégories!$A$5:$A$60,0)),0))</f>
        <v>0</v>
      </c>
    </row>
    <row r="448" customFormat="false" ht="15" hidden="false" customHeight="true" outlineLevel="0" collapsed="false">
      <c r="A448" s="34"/>
      <c r="B448" s="29" t="str">
        <f aca="false">IF(A448="","",YEAR(A448))</f>
        <v/>
      </c>
      <c r="G448" s="35"/>
      <c r="H448" s="32" t="str">
        <f aca="false">IF(E448="","",IFERROR(INDEX(Catégories!$B$5:$B$60,MATCH(E448,Catégories!$A$5:$A$60,0)),"?"))</f>
        <v/>
      </c>
      <c r="I448" s="32" t="str">
        <f aca="false">IF(E448="","",IFERROR(INDEX(Catégories!$C$5:$C$60,MATCH(E448,Catégories!$A$5:$A$60,0)),"?"))</f>
        <v/>
      </c>
      <c r="J448" s="32" t="str">
        <f aca="false">IF(E448="","",IFERROR(INDEX(Catégories!$D$5:$D$60,MATCH(E448,Catégories!$A$5:$A$60,0)),"?"))</f>
        <v/>
      </c>
      <c r="K448" s="33" t="n">
        <f aca="false">IF(H448="Recette",G448,IF(H448="Dépense",-G448,0))</f>
        <v>0</v>
      </c>
      <c r="L448" s="33" t="n">
        <f aca="false">IF(E448="",0,G448*IFERROR(INDEX(Catégories!$E$5:$E$60,MATCH(E448,Catégories!$A$5:$A$60,0)),0))</f>
        <v>0</v>
      </c>
    </row>
    <row r="449" customFormat="false" ht="15" hidden="false" customHeight="true" outlineLevel="0" collapsed="false">
      <c r="A449" s="34"/>
      <c r="B449" s="29" t="str">
        <f aca="false">IF(A449="","",YEAR(A449))</f>
        <v/>
      </c>
      <c r="G449" s="35"/>
      <c r="H449" s="32" t="str">
        <f aca="false">IF(E449="","",IFERROR(INDEX(Catégories!$B$5:$B$60,MATCH(E449,Catégories!$A$5:$A$60,0)),"?"))</f>
        <v/>
      </c>
      <c r="I449" s="32" t="str">
        <f aca="false">IF(E449="","",IFERROR(INDEX(Catégories!$C$5:$C$60,MATCH(E449,Catégories!$A$5:$A$60,0)),"?"))</f>
        <v/>
      </c>
      <c r="J449" s="32" t="str">
        <f aca="false">IF(E449="","",IFERROR(INDEX(Catégories!$D$5:$D$60,MATCH(E449,Catégories!$A$5:$A$60,0)),"?"))</f>
        <v/>
      </c>
      <c r="K449" s="33" t="n">
        <f aca="false">IF(H449="Recette",G449,IF(H449="Dépense",-G449,0))</f>
        <v>0</v>
      </c>
      <c r="L449" s="33" t="n">
        <f aca="false">IF(E449="",0,G449*IFERROR(INDEX(Catégories!$E$5:$E$60,MATCH(E449,Catégories!$A$5:$A$60,0)),0))</f>
        <v>0</v>
      </c>
    </row>
    <row r="450" customFormat="false" ht="15" hidden="false" customHeight="true" outlineLevel="0" collapsed="false">
      <c r="A450" s="34"/>
      <c r="B450" s="29" t="str">
        <f aca="false">IF(A450="","",YEAR(A450))</f>
        <v/>
      </c>
      <c r="G450" s="35"/>
      <c r="H450" s="32" t="str">
        <f aca="false">IF(E450="","",IFERROR(INDEX(Catégories!$B$5:$B$60,MATCH(E450,Catégories!$A$5:$A$60,0)),"?"))</f>
        <v/>
      </c>
      <c r="I450" s="32" t="str">
        <f aca="false">IF(E450="","",IFERROR(INDEX(Catégories!$C$5:$C$60,MATCH(E450,Catégories!$A$5:$A$60,0)),"?"))</f>
        <v/>
      </c>
      <c r="J450" s="32" t="str">
        <f aca="false">IF(E450="","",IFERROR(INDEX(Catégories!$D$5:$D$60,MATCH(E450,Catégories!$A$5:$A$60,0)),"?"))</f>
        <v/>
      </c>
      <c r="K450" s="33" t="n">
        <f aca="false">IF(H450="Recette",G450,IF(H450="Dépense",-G450,0))</f>
        <v>0</v>
      </c>
      <c r="L450" s="33" t="n">
        <f aca="false">IF(E450="",0,G450*IFERROR(INDEX(Catégories!$E$5:$E$60,MATCH(E450,Catégories!$A$5:$A$60,0)),0))</f>
        <v>0</v>
      </c>
    </row>
    <row r="451" customFormat="false" ht="15" hidden="false" customHeight="true" outlineLevel="0" collapsed="false">
      <c r="A451" s="34"/>
      <c r="B451" s="29" t="str">
        <f aca="false">IF(A451="","",YEAR(A451))</f>
        <v/>
      </c>
      <c r="G451" s="35"/>
      <c r="H451" s="32" t="str">
        <f aca="false">IF(E451="","",IFERROR(INDEX(Catégories!$B$5:$B$60,MATCH(E451,Catégories!$A$5:$A$60,0)),"?"))</f>
        <v/>
      </c>
      <c r="I451" s="32" t="str">
        <f aca="false">IF(E451="","",IFERROR(INDEX(Catégories!$C$5:$C$60,MATCH(E451,Catégories!$A$5:$A$60,0)),"?"))</f>
        <v/>
      </c>
      <c r="J451" s="32" t="str">
        <f aca="false">IF(E451="","",IFERROR(INDEX(Catégories!$D$5:$D$60,MATCH(E451,Catégories!$A$5:$A$60,0)),"?"))</f>
        <v/>
      </c>
      <c r="K451" s="33" t="n">
        <f aca="false">IF(H451="Recette",G451,IF(H451="Dépense",-G451,0))</f>
        <v>0</v>
      </c>
      <c r="L451" s="33" t="n">
        <f aca="false">IF(E451="",0,G451*IFERROR(INDEX(Catégories!$E$5:$E$60,MATCH(E451,Catégories!$A$5:$A$60,0)),0))</f>
        <v>0</v>
      </c>
    </row>
    <row r="452" customFormat="false" ht="15" hidden="false" customHeight="true" outlineLevel="0" collapsed="false">
      <c r="A452" s="34"/>
      <c r="B452" s="29" t="str">
        <f aca="false">IF(A452="","",YEAR(A452))</f>
        <v/>
      </c>
      <c r="G452" s="35"/>
      <c r="H452" s="32" t="str">
        <f aca="false">IF(E452="","",IFERROR(INDEX(Catégories!$B$5:$B$60,MATCH(E452,Catégories!$A$5:$A$60,0)),"?"))</f>
        <v/>
      </c>
      <c r="I452" s="32" t="str">
        <f aca="false">IF(E452="","",IFERROR(INDEX(Catégories!$C$5:$C$60,MATCH(E452,Catégories!$A$5:$A$60,0)),"?"))</f>
        <v/>
      </c>
      <c r="J452" s="32" t="str">
        <f aca="false">IF(E452="","",IFERROR(INDEX(Catégories!$D$5:$D$60,MATCH(E452,Catégories!$A$5:$A$60,0)),"?"))</f>
        <v/>
      </c>
      <c r="K452" s="33" t="n">
        <f aca="false">IF(H452="Recette",G452,IF(H452="Dépense",-G452,0))</f>
        <v>0</v>
      </c>
      <c r="L452" s="33" t="n">
        <f aca="false">IF(E452="",0,G452*IFERROR(INDEX(Catégories!$E$5:$E$60,MATCH(E452,Catégories!$A$5:$A$60,0)),0))</f>
        <v>0</v>
      </c>
    </row>
    <row r="453" customFormat="false" ht="15" hidden="false" customHeight="true" outlineLevel="0" collapsed="false">
      <c r="A453" s="34"/>
      <c r="B453" s="29" t="str">
        <f aca="false">IF(A453="","",YEAR(A453))</f>
        <v/>
      </c>
      <c r="G453" s="35"/>
      <c r="H453" s="32" t="str">
        <f aca="false">IF(E453="","",IFERROR(INDEX(Catégories!$B$5:$B$60,MATCH(E453,Catégories!$A$5:$A$60,0)),"?"))</f>
        <v/>
      </c>
      <c r="I453" s="32" t="str">
        <f aca="false">IF(E453="","",IFERROR(INDEX(Catégories!$C$5:$C$60,MATCH(E453,Catégories!$A$5:$A$60,0)),"?"))</f>
        <v/>
      </c>
      <c r="J453" s="32" t="str">
        <f aca="false">IF(E453="","",IFERROR(INDEX(Catégories!$D$5:$D$60,MATCH(E453,Catégories!$A$5:$A$60,0)),"?"))</f>
        <v/>
      </c>
      <c r="K453" s="33" t="n">
        <f aca="false">IF(H453="Recette",G453,IF(H453="Dépense",-G453,0))</f>
        <v>0</v>
      </c>
      <c r="L453" s="33" t="n">
        <f aca="false">IF(E453="",0,G453*IFERROR(INDEX(Catégories!$E$5:$E$60,MATCH(E453,Catégories!$A$5:$A$60,0)),0))</f>
        <v>0</v>
      </c>
    </row>
    <row r="454" customFormat="false" ht="15" hidden="false" customHeight="true" outlineLevel="0" collapsed="false">
      <c r="A454" s="34"/>
      <c r="B454" s="29" t="str">
        <f aca="false">IF(A454="","",YEAR(A454))</f>
        <v/>
      </c>
      <c r="G454" s="35"/>
      <c r="H454" s="32" t="str">
        <f aca="false">IF(E454="","",IFERROR(INDEX(Catégories!$B$5:$B$60,MATCH(E454,Catégories!$A$5:$A$60,0)),"?"))</f>
        <v/>
      </c>
      <c r="I454" s="32" t="str">
        <f aca="false">IF(E454="","",IFERROR(INDEX(Catégories!$C$5:$C$60,MATCH(E454,Catégories!$A$5:$A$60,0)),"?"))</f>
        <v/>
      </c>
      <c r="J454" s="32" t="str">
        <f aca="false">IF(E454="","",IFERROR(INDEX(Catégories!$D$5:$D$60,MATCH(E454,Catégories!$A$5:$A$60,0)),"?"))</f>
        <v/>
      </c>
      <c r="K454" s="33" t="n">
        <f aca="false">IF(H454="Recette",G454,IF(H454="Dépense",-G454,0))</f>
        <v>0</v>
      </c>
      <c r="L454" s="33" t="n">
        <f aca="false">IF(E454="",0,G454*IFERROR(INDEX(Catégories!$E$5:$E$60,MATCH(E454,Catégories!$A$5:$A$60,0)),0))</f>
        <v>0</v>
      </c>
    </row>
    <row r="455" customFormat="false" ht="15" hidden="false" customHeight="true" outlineLevel="0" collapsed="false">
      <c r="A455" s="34"/>
      <c r="B455" s="29" t="str">
        <f aca="false">IF(A455="","",YEAR(A455))</f>
        <v/>
      </c>
      <c r="G455" s="35"/>
      <c r="H455" s="32" t="str">
        <f aca="false">IF(E455="","",IFERROR(INDEX(Catégories!$B$5:$B$60,MATCH(E455,Catégories!$A$5:$A$60,0)),"?"))</f>
        <v/>
      </c>
      <c r="I455" s="32" t="str">
        <f aca="false">IF(E455="","",IFERROR(INDEX(Catégories!$C$5:$C$60,MATCH(E455,Catégories!$A$5:$A$60,0)),"?"))</f>
        <v/>
      </c>
      <c r="J455" s="32" t="str">
        <f aca="false">IF(E455="","",IFERROR(INDEX(Catégories!$D$5:$D$60,MATCH(E455,Catégories!$A$5:$A$60,0)),"?"))</f>
        <v/>
      </c>
      <c r="K455" s="33" t="n">
        <f aca="false">IF(H455="Recette",G455,IF(H455="Dépense",-G455,0))</f>
        <v>0</v>
      </c>
      <c r="L455" s="33" t="n">
        <f aca="false">IF(E455="",0,G455*IFERROR(INDEX(Catégories!$E$5:$E$60,MATCH(E455,Catégories!$A$5:$A$60,0)),0))</f>
        <v>0</v>
      </c>
    </row>
    <row r="456" customFormat="false" ht="15" hidden="false" customHeight="true" outlineLevel="0" collapsed="false">
      <c r="A456" s="34"/>
      <c r="B456" s="29" t="str">
        <f aca="false">IF(A456="","",YEAR(A456))</f>
        <v/>
      </c>
      <c r="G456" s="35"/>
      <c r="H456" s="32" t="str">
        <f aca="false">IF(E456="","",IFERROR(INDEX(Catégories!$B$5:$B$60,MATCH(E456,Catégories!$A$5:$A$60,0)),"?"))</f>
        <v/>
      </c>
      <c r="I456" s="32" t="str">
        <f aca="false">IF(E456="","",IFERROR(INDEX(Catégories!$C$5:$C$60,MATCH(E456,Catégories!$A$5:$A$60,0)),"?"))</f>
        <v/>
      </c>
      <c r="J456" s="32" t="str">
        <f aca="false">IF(E456="","",IFERROR(INDEX(Catégories!$D$5:$D$60,MATCH(E456,Catégories!$A$5:$A$60,0)),"?"))</f>
        <v/>
      </c>
      <c r="K456" s="33" t="n">
        <f aca="false">IF(H456="Recette",G456,IF(H456="Dépense",-G456,0))</f>
        <v>0</v>
      </c>
      <c r="L456" s="33" t="n">
        <f aca="false">IF(E456="",0,G456*IFERROR(INDEX(Catégories!$E$5:$E$60,MATCH(E456,Catégories!$A$5:$A$60,0)),0))</f>
        <v>0</v>
      </c>
    </row>
    <row r="457" customFormat="false" ht="15" hidden="false" customHeight="true" outlineLevel="0" collapsed="false">
      <c r="A457" s="34"/>
      <c r="B457" s="29" t="str">
        <f aca="false">IF(A457="","",YEAR(A457))</f>
        <v/>
      </c>
      <c r="G457" s="35"/>
      <c r="H457" s="32" t="str">
        <f aca="false">IF(E457="","",IFERROR(INDEX(Catégories!$B$5:$B$60,MATCH(E457,Catégories!$A$5:$A$60,0)),"?"))</f>
        <v/>
      </c>
      <c r="I457" s="32" t="str">
        <f aca="false">IF(E457="","",IFERROR(INDEX(Catégories!$C$5:$C$60,MATCH(E457,Catégories!$A$5:$A$60,0)),"?"))</f>
        <v/>
      </c>
      <c r="J457" s="32" t="str">
        <f aca="false">IF(E457="","",IFERROR(INDEX(Catégories!$D$5:$D$60,MATCH(E457,Catégories!$A$5:$A$60,0)),"?"))</f>
        <v/>
      </c>
      <c r="K457" s="33" t="n">
        <f aca="false">IF(H457="Recette",G457,IF(H457="Dépense",-G457,0))</f>
        <v>0</v>
      </c>
      <c r="L457" s="33" t="n">
        <f aca="false">IF(E457="",0,G457*IFERROR(INDEX(Catégories!$E$5:$E$60,MATCH(E457,Catégories!$A$5:$A$60,0)),0))</f>
        <v>0</v>
      </c>
    </row>
    <row r="458" customFormat="false" ht="15" hidden="false" customHeight="true" outlineLevel="0" collapsed="false">
      <c r="A458" s="34"/>
      <c r="B458" s="29" t="str">
        <f aca="false">IF(A458="","",YEAR(A458))</f>
        <v/>
      </c>
      <c r="G458" s="35"/>
      <c r="H458" s="32" t="str">
        <f aca="false">IF(E458="","",IFERROR(INDEX(Catégories!$B$5:$B$60,MATCH(E458,Catégories!$A$5:$A$60,0)),"?"))</f>
        <v/>
      </c>
      <c r="I458" s="32" t="str">
        <f aca="false">IF(E458="","",IFERROR(INDEX(Catégories!$C$5:$C$60,MATCH(E458,Catégories!$A$5:$A$60,0)),"?"))</f>
        <v/>
      </c>
      <c r="J458" s="32" t="str">
        <f aca="false">IF(E458="","",IFERROR(INDEX(Catégories!$D$5:$D$60,MATCH(E458,Catégories!$A$5:$A$60,0)),"?"))</f>
        <v/>
      </c>
      <c r="K458" s="33" t="n">
        <f aca="false">IF(H458="Recette",G458,IF(H458="Dépense",-G458,0))</f>
        <v>0</v>
      </c>
      <c r="L458" s="33" t="n">
        <f aca="false">IF(E458="",0,G458*IFERROR(INDEX(Catégories!$E$5:$E$60,MATCH(E458,Catégories!$A$5:$A$60,0)),0))</f>
        <v>0</v>
      </c>
    </row>
    <row r="459" customFormat="false" ht="15" hidden="false" customHeight="true" outlineLevel="0" collapsed="false">
      <c r="A459" s="34"/>
      <c r="B459" s="29" t="str">
        <f aca="false">IF(A459="","",YEAR(A459))</f>
        <v/>
      </c>
      <c r="G459" s="35"/>
      <c r="H459" s="32" t="str">
        <f aca="false">IF(E459="","",IFERROR(INDEX(Catégories!$B$5:$B$60,MATCH(E459,Catégories!$A$5:$A$60,0)),"?"))</f>
        <v/>
      </c>
      <c r="I459" s="32" t="str">
        <f aca="false">IF(E459="","",IFERROR(INDEX(Catégories!$C$5:$C$60,MATCH(E459,Catégories!$A$5:$A$60,0)),"?"))</f>
        <v/>
      </c>
      <c r="J459" s="32" t="str">
        <f aca="false">IF(E459="","",IFERROR(INDEX(Catégories!$D$5:$D$60,MATCH(E459,Catégories!$A$5:$A$60,0)),"?"))</f>
        <v/>
      </c>
      <c r="K459" s="33" t="n">
        <f aca="false">IF(H459="Recette",G459,IF(H459="Dépense",-G459,0))</f>
        <v>0</v>
      </c>
      <c r="L459" s="33" t="n">
        <f aca="false">IF(E459="",0,G459*IFERROR(INDEX(Catégories!$E$5:$E$60,MATCH(E459,Catégories!$A$5:$A$60,0)),0))</f>
        <v>0</v>
      </c>
    </row>
    <row r="460" customFormat="false" ht="15" hidden="false" customHeight="true" outlineLevel="0" collapsed="false">
      <c r="A460" s="34"/>
      <c r="B460" s="29" t="str">
        <f aca="false">IF(A460="","",YEAR(A460))</f>
        <v/>
      </c>
      <c r="G460" s="35"/>
      <c r="H460" s="32" t="str">
        <f aca="false">IF(E460="","",IFERROR(INDEX(Catégories!$B$5:$B$60,MATCH(E460,Catégories!$A$5:$A$60,0)),"?"))</f>
        <v/>
      </c>
      <c r="I460" s="32" t="str">
        <f aca="false">IF(E460="","",IFERROR(INDEX(Catégories!$C$5:$C$60,MATCH(E460,Catégories!$A$5:$A$60,0)),"?"))</f>
        <v/>
      </c>
      <c r="J460" s="32" t="str">
        <f aca="false">IF(E460="","",IFERROR(INDEX(Catégories!$D$5:$D$60,MATCH(E460,Catégories!$A$5:$A$60,0)),"?"))</f>
        <v/>
      </c>
      <c r="K460" s="33" t="n">
        <f aca="false">IF(H460="Recette",G460,IF(H460="Dépense",-G460,0))</f>
        <v>0</v>
      </c>
      <c r="L460" s="33" t="n">
        <f aca="false">IF(E460="",0,G460*IFERROR(INDEX(Catégories!$E$5:$E$60,MATCH(E460,Catégories!$A$5:$A$60,0)),0))</f>
        <v>0</v>
      </c>
    </row>
    <row r="461" customFormat="false" ht="15" hidden="false" customHeight="true" outlineLevel="0" collapsed="false">
      <c r="A461" s="34"/>
      <c r="B461" s="29" t="str">
        <f aca="false">IF(A461="","",YEAR(A461))</f>
        <v/>
      </c>
      <c r="G461" s="35"/>
      <c r="H461" s="32" t="str">
        <f aca="false">IF(E461="","",IFERROR(INDEX(Catégories!$B$5:$B$60,MATCH(E461,Catégories!$A$5:$A$60,0)),"?"))</f>
        <v/>
      </c>
      <c r="I461" s="32" t="str">
        <f aca="false">IF(E461="","",IFERROR(INDEX(Catégories!$C$5:$C$60,MATCH(E461,Catégories!$A$5:$A$60,0)),"?"))</f>
        <v/>
      </c>
      <c r="J461" s="32" t="str">
        <f aca="false">IF(E461="","",IFERROR(INDEX(Catégories!$D$5:$D$60,MATCH(E461,Catégories!$A$5:$A$60,0)),"?"))</f>
        <v/>
      </c>
      <c r="K461" s="33" t="n">
        <f aca="false">IF(H461="Recette",G461,IF(H461="Dépense",-G461,0))</f>
        <v>0</v>
      </c>
      <c r="L461" s="33" t="n">
        <f aca="false">IF(E461="",0,G461*IFERROR(INDEX(Catégories!$E$5:$E$60,MATCH(E461,Catégories!$A$5:$A$60,0)),0))</f>
        <v>0</v>
      </c>
    </row>
    <row r="462" customFormat="false" ht="15" hidden="false" customHeight="true" outlineLevel="0" collapsed="false">
      <c r="A462" s="34"/>
      <c r="B462" s="29" t="str">
        <f aca="false">IF(A462="","",YEAR(A462))</f>
        <v/>
      </c>
      <c r="G462" s="35"/>
      <c r="H462" s="32" t="str">
        <f aca="false">IF(E462="","",IFERROR(INDEX(Catégories!$B$5:$B$60,MATCH(E462,Catégories!$A$5:$A$60,0)),"?"))</f>
        <v/>
      </c>
      <c r="I462" s="32" t="str">
        <f aca="false">IF(E462="","",IFERROR(INDEX(Catégories!$C$5:$C$60,MATCH(E462,Catégories!$A$5:$A$60,0)),"?"))</f>
        <v/>
      </c>
      <c r="J462" s="32" t="str">
        <f aca="false">IF(E462="","",IFERROR(INDEX(Catégories!$D$5:$D$60,MATCH(E462,Catégories!$A$5:$A$60,0)),"?"))</f>
        <v/>
      </c>
      <c r="K462" s="33" t="n">
        <f aca="false">IF(H462="Recette",G462,IF(H462="Dépense",-G462,0))</f>
        <v>0</v>
      </c>
      <c r="L462" s="33" t="n">
        <f aca="false">IF(E462="",0,G462*IFERROR(INDEX(Catégories!$E$5:$E$60,MATCH(E462,Catégories!$A$5:$A$60,0)),0))</f>
        <v>0</v>
      </c>
    </row>
    <row r="463" customFormat="false" ht="15" hidden="false" customHeight="true" outlineLevel="0" collapsed="false">
      <c r="A463" s="34"/>
      <c r="B463" s="29" t="str">
        <f aca="false">IF(A463="","",YEAR(A463))</f>
        <v/>
      </c>
      <c r="G463" s="35"/>
      <c r="H463" s="32" t="str">
        <f aca="false">IF(E463="","",IFERROR(INDEX(Catégories!$B$5:$B$60,MATCH(E463,Catégories!$A$5:$A$60,0)),"?"))</f>
        <v/>
      </c>
      <c r="I463" s="32" t="str">
        <f aca="false">IF(E463="","",IFERROR(INDEX(Catégories!$C$5:$C$60,MATCH(E463,Catégories!$A$5:$A$60,0)),"?"))</f>
        <v/>
      </c>
      <c r="J463" s="32" t="str">
        <f aca="false">IF(E463="","",IFERROR(INDEX(Catégories!$D$5:$D$60,MATCH(E463,Catégories!$A$5:$A$60,0)),"?"))</f>
        <v/>
      </c>
      <c r="K463" s="33" t="n">
        <f aca="false">IF(H463="Recette",G463,IF(H463="Dépense",-G463,0))</f>
        <v>0</v>
      </c>
      <c r="L463" s="33" t="n">
        <f aca="false">IF(E463="",0,G463*IFERROR(INDEX(Catégories!$E$5:$E$60,MATCH(E463,Catégories!$A$5:$A$60,0)),0))</f>
        <v>0</v>
      </c>
    </row>
    <row r="464" customFormat="false" ht="15" hidden="false" customHeight="true" outlineLevel="0" collapsed="false">
      <c r="A464" s="34"/>
      <c r="B464" s="29" t="str">
        <f aca="false">IF(A464="","",YEAR(A464))</f>
        <v/>
      </c>
      <c r="G464" s="35"/>
      <c r="H464" s="32" t="str">
        <f aca="false">IF(E464="","",IFERROR(INDEX(Catégories!$B$5:$B$60,MATCH(E464,Catégories!$A$5:$A$60,0)),"?"))</f>
        <v/>
      </c>
      <c r="I464" s="32" t="str">
        <f aca="false">IF(E464="","",IFERROR(INDEX(Catégories!$C$5:$C$60,MATCH(E464,Catégories!$A$5:$A$60,0)),"?"))</f>
        <v/>
      </c>
      <c r="J464" s="32" t="str">
        <f aca="false">IF(E464="","",IFERROR(INDEX(Catégories!$D$5:$D$60,MATCH(E464,Catégories!$A$5:$A$60,0)),"?"))</f>
        <v/>
      </c>
      <c r="K464" s="33" t="n">
        <f aca="false">IF(H464="Recette",G464,IF(H464="Dépense",-G464,0))</f>
        <v>0</v>
      </c>
      <c r="L464" s="33" t="n">
        <f aca="false">IF(E464="",0,G464*IFERROR(INDEX(Catégories!$E$5:$E$60,MATCH(E464,Catégories!$A$5:$A$60,0)),0))</f>
        <v>0</v>
      </c>
    </row>
    <row r="465" customFormat="false" ht="15" hidden="false" customHeight="true" outlineLevel="0" collapsed="false">
      <c r="A465" s="34"/>
      <c r="B465" s="29" t="str">
        <f aca="false">IF(A465="","",YEAR(A465))</f>
        <v/>
      </c>
      <c r="G465" s="35"/>
      <c r="H465" s="32" t="str">
        <f aca="false">IF(E465="","",IFERROR(INDEX(Catégories!$B$5:$B$60,MATCH(E465,Catégories!$A$5:$A$60,0)),"?"))</f>
        <v/>
      </c>
      <c r="I465" s="32" t="str">
        <f aca="false">IF(E465="","",IFERROR(INDEX(Catégories!$C$5:$C$60,MATCH(E465,Catégories!$A$5:$A$60,0)),"?"))</f>
        <v/>
      </c>
      <c r="J465" s="32" t="str">
        <f aca="false">IF(E465="","",IFERROR(INDEX(Catégories!$D$5:$D$60,MATCH(E465,Catégories!$A$5:$A$60,0)),"?"))</f>
        <v/>
      </c>
      <c r="K465" s="33" t="n">
        <f aca="false">IF(H465="Recette",G465,IF(H465="Dépense",-G465,0))</f>
        <v>0</v>
      </c>
      <c r="L465" s="33" t="n">
        <f aca="false">IF(E465="",0,G465*IFERROR(INDEX(Catégories!$E$5:$E$60,MATCH(E465,Catégories!$A$5:$A$60,0)),0))</f>
        <v>0</v>
      </c>
    </row>
    <row r="466" customFormat="false" ht="15" hidden="false" customHeight="true" outlineLevel="0" collapsed="false">
      <c r="A466" s="34"/>
      <c r="B466" s="29" t="str">
        <f aca="false">IF(A466="","",YEAR(A466))</f>
        <v/>
      </c>
      <c r="G466" s="35"/>
      <c r="H466" s="32" t="str">
        <f aca="false">IF(E466="","",IFERROR(INDEX(Catégories!$B$5:$B$60,MATCH(E466,Catégories!$A$5:$A$60,0)),"?"))</f>
        <v/>
      </c>
      <c r="I466" s="32" t="str">
        <f aca="false">IF(E466="","",IFERROR(INDEX(Catégories!$C$5:$C$60,MATCH(E466,Catégories!$A$5:$A$60,0)),"?"))</f>
        <v/>
      </c>
      <c r="J466" s="32" t="str">
        <f aca="false">IF(E466="","",IFERROR(INDEX(Catégories!$D$5:$D$60,MATCH(E466,Catégories!$A$5:$A$60,0)),"?"))</f>
        <v/>
      </c>
      <c r="K466" s="33" t="n">
        <f aca="false">IF(H466="Recette",G466,IF(H466="Dépense",-G466,0))</f>
        <v>0</v>
      </c>
      <c r="L466" s="33" t="n">
        <f aca="false">IF(E466="",0,G466*IFERROR(INDEX(Catégories!$E$5:$E$60,MATCH(E466,Catégories!$A$5:$A$60,0)),0))</f>
        <v>0</v>
      </c>
    </row>
    <row r="467" customFormat="false" ht="15" hidden="false" customHeight="true" outlineLevel="0" collapsed="false">
      <c r="A467" s="34"/>
      <c r="B467" s="29" t="str">
        <f aca="false">IF(A467="","",YEAR(A467))</f>
        <v/>
      </c>
      <c r="G467" s="35"/>
      <c r="H467" s="32" t="str">
        <f aca="false">IF(E467="","",IFERROR(INDEX(Catégories!$B$5:$B$60,MATCH(E467,Catégories!$A$5:$A$60,0)),"?"))</f>
        <v/>
      </c>
      <c r="I467" s="32" t="str">
        <f aca="false">IF(E467="","",IFERROR(INDEX(Catégories!$C$5:$C$60,MATCH(E467,Catégories!$A$5:$A$60,0)),"?"))</f>
        <v/>
      </c>
      <c r="J467" s="32" t="str">
        <f aca="false">IF(E467="","",IFERROR(INDEX(Catégories!$D$5:$D$60,MATCH(E467,Catégories!$A$5:$A$60,0)),"?"))</f>
        <v/>
      </c>
      <c r="K467" s="33" t="n">
        <f aca="false">IF(H467="Recette",G467,IF(H467="Dépense",-G467,0))</f>
        <v>0</v>
      </c>
      <c r="L467" s="33" t="n">
        <f aca="false">IF(E467="",0,G467*IFERROR(INDEX(Catégories!$E$5:$E$60,MATCH(E467,Catégories!$A$5:$A$60,0)),0))</f>
        <v>0</v>
      </c>
    </row>
    <row r="468" customFormat="false" ht="15" hidden="false" customHeight="true" outlineLevel="0" collapsed="false">
      <c r="A468" s="34"/>
      <c r="B468" s="29" t="str">
        <f aca="false">IF(A468="","",YEAR(A468))</f>
        <v/>
      </c>
      <c r="G468" s="35"/>
      <c r="H468" s="32" t="str">
        <f aca="false">IF(E468="","",IFERROR(INDEX(Catégories!$B$5:$B$60,MATCH(E468,Catégories!$A$5:$A$60,0)),"?"))</f>
        <v/>
      </c>
      <c r="I468" s="32" t="str">
        <f aca="false">IF(E468="","",IFERROR(INDEX(Catégories!$C$5:$C$60,MATCH(E468,Catégories!$A$5:$A$60,0)),"?"))</f>
        <v/>
      </c>
      <c r="J468" s="32" t="str">
        <f aca="false">IF(E468="","",IFERROR(INDEX(Catégories!$D$5:$D$60,MATCH(E468,Catégories!$A$5:$A$60,0)),"?"))</f>
        <v/>
      </c>
      <c r="K468" s="33" t="n">
        <f aca="false">IF(H468="Recette",G468,IF(H468="Dépense",-G468,0))</f>
        <v>0</v>
      </c>
      <c r="L468" s="33" t="n">
        <f aca="false">IF(E468="",0,G468*IFERROR(INDEX(Catégories!$E$5:$E$60,MATCH(E468,Catégories!$A$5:$A$60,0)),0))</f>
        <v>0</v>
      </c>
    </row>
    <row r="469" customFormat="false" ht="15" hidden="false" customHeight="true" outlineLevel="0" collapsed="false">
      <c r="A469" s="34"/>
      <c r="B469" s="29" t="str">
        <f aca="false">IF(A469="","",YEAR(A469))</f>
        <v/>
      </c>
      <c r="G469" s="35"/>
      <c r="H469" s="32" t="str">
        <f aca="false">IF(E469="","",IFERROR(INDEX(Catégories!$B$5:$B$60,MATCH(E469,Catégories!$A$5:$A$60,0)),"?"))</f>
        <v/>
      </c>
      <c r="I469" s="32" t="str">
        <f aca="false">IF(E469="","",IFERROR(INDEX(Catégories!$C$5:$C$60,MATCH(E469,Catégories!$A$5:$A$60,0)),"?"))</f>
        <v/>
      </c>
      <c r="J469" s="32" t="str">
        <f aca="false">IF(E469="","",IFERROR(INDEX(Catégories!$D$5:$D$60,MATCH(E469,Catégories!$A$5:$A$60,0)),"?"))</f>
        <v/>
      </c>
      <c r="K469" s="33" t="n">
        <f aca="false">IF(H469="Recette",G469,IF(H469="Dépense",-G469,0))</f>
        <v>0</v>
      </c>
      <c r="L469" s="33" t="n">
        <f aca="false">IF(E469="",0,G469*IFERROR(INDEX(Catégories!$E$5:$E$60,MATCH(E469,Catégories!$A$5:$A$60,0)),0))</f>
        <v>0</v>
      </c>
    </row>
    <row r="470" customFormat="false" ht="15" hidden="false" customHeight="true" outlineLevel="0" collapsed="false">
      <c r="A470" s="34"/>
      <c r="B470" s="29" t="str">
        <f aca="false">IF(A470="","",YEAR(A470))</f>
        <v/>
      </c>
      <c r="G470" s="35"/>
      <c r="H470" s="32" t="str">
        <f aca="false">IF(E470="","",IFERROR(INDEX(Catégories!$B$5:$B$60,MATCH(E470,Catégories!$A$5:$A$60,0)),"?"))</f>
        <v/>
      </c>
      <c r="I470" s="32" t="str">
        <f aca="false">IF(E470="","",IFERROR(INDEX(Catégories!$C$5:$C$60,MATCH(E470,Catégories!$A$5:$A$60,0)),"?"))</f>
        <v/>
      </c>
      <c r="J470" s="32" t="str">
        <f aca="false">IF(E470="","",IFERROR(INDEX(Catégories!$D$5:$D$60,MATCH(E470,Catégories!$A$5:$A$60,0)),"?"))</f>
        <v/>
      </c>
      <c r="K470" s="33" t="n">
        <f aca="false">IF(H470="Recette",G470,IF(H470="Dépense",-G470,0))</f>
        <v>0</v>
      </c>
      <c r="L470" s="33" t="n">
        <f aca="false">IF(E470="",0,G470*IFERROR(INDEX(Catégories!$E$5:$E$60,MATCH(E470,Catégories!$A$5:$A$60,0)),0))</f>
        <v>0</v>
      </c>
    </row>
    <row r="471" customFormat="false" ht="15" hidden="false" customHeight="true" outlineLevel="0" collapsed="false">
      <c r="A471" s="34"/>
      <c r="B471" s="29" t="str">
        <f aca="false">IF(A471="","",YEAR(A471))</f>
        <v/>
      </c>
      <c r="G471" s="35"/>
      <c r="H471" s="32" t="str">
        <f aca="false">IF(E471="","",IFERROR(INDEX(Catégories!$B$5:$B$60,MATCH(E471,Catégories!$A$5:$A$60,0)),"?"))</f>
        <v/>
      </c>
      <c r="I471" s="32" t="str">
        <f aca="false">IF(E471="","",IFERROR(INDEX(Catégories!$C$5:$C$60,MATCH(E471,Catégories!$A$5:$A$60,0)),"?"))</f>
        <v/>
      </c>
      <c r="J471" s="32" t="str">
        <f aca="false">IF(E471="","",IFERROR(INDEX(Catégories!$D$5:$D$60,MATCH(E471,Catégories!$A$5:$A$60,0)),"?"))</f>
        <v/>
      </c>
      <c r="K471" s="33" t="n">
        <f aca="false">IF(H471="Recette",G471,IF(H471="Dépense",-G471,0))</f>
        <v>0</v>
      </c>
      <c r="L471" s="33" t="n">
        <f aca="false">IF(E471="",0,G471*IFERROR(INDEX(Catégories!$E$5:$E$60,MATCH(E471,Catégories!$A$5:$A$60,0)),0))</f>
        <v>0</v>
      </c>
    </row>
    <row r="472" customFormat="false" ht="15" hidden="false" customHeight="true" outlineLevel="0" collapsed="false">
      <c r="A472" s="34"/>
      <c r="B472" s="29" t="str">
        <f aca="false">IF(A472="","",YEAR(A472))</f>
        <v/>
      </c>
      <c r="G472" s="35"/>
      <c r="H472" s="32" t="str">
        <f aca="false">IF(E472="","",IFERROR(INDEX(Catégories!$B$5:$B$60,MATCH(E472,Catégories!$A$5:$A$60,0)),"?"))</f>
        <v/>
      </c>
      <c r="I472" s="32" t="str">
        <f aca="false">IF(E472="","",IFERROR(INDEX(Catégories!$C$5:$C$60,MATCH(E472,Catégories!$A$5:$A$60,0)),"?"))</f>
        <v/>
      </c>
      <c r="J472" s="32" t="str">
        <f aca="false">IF(E472="","",IFERROR(INDEX(Catégories!$D$5:$D$60,MATCH(E472,Catégories!$A$5:$A$60,0)),"?"))</f>
        <v/>
      </c>
      <c r="K472" s="33" t="n">
        <f aca="false">IF(H472="Recette",G472,IF(H472="Dépense",-G472,0))</f>
        <v>0</v>
      </c>
      <c r="L472" s="33" t="n">
        <f aca="false">IF(E472="",0,G472*IFERROR(INDEX(Catégories!$E$5:$E$60,MATCH(E472,Catégories!$A$5:$A$60,0)),0))</f>
        <v>0</v>
      </c>
    </row>
    <row r="473" customFormat="false" ht="15" hidden="false" customHeight="true" outlineLevel="0" collapsed="false">
      <c r="A473" s="34"/>
      <c r="B473" s="29" t="str">
        <f aca="false">IF(A473="","",YEAR(A473))</f>
        <v/>
      </c>
      <c r="G473" s="35"/>
      <c r="H473" s="32" t="str">
        <f aca="false">IF(E473="","",IFERROR(INDEX(Catégories!$B$5:$B$60,MATCH(E473,Catégories!$A$5:$A$60,0)),"?"))</f>
        <v/>
      </c>
      <c r="I473" s="32" t="str">
        <f aca="false">IF(E473="","",IFERROR(INDEX(Catégories!$C$5:$C$60,MATCH(E473,Catégories!$A$5:$A$60,0)),"?"))</f>
        <v/>
      </c>
      <c r="J473" s="32" t="str">
        <f aca="false">IF(E473="","",IFERROR(INDEX(Catégories!$D$5:$D$60,MATCH(E473,Catégories!$A$5:$A$60,0)),"?"))</f>
        <v/>
      </c>
      <c r="K473" s="33" t="n">
        <f aca="false">IF(H473="Recette",G473,IF(H473="Dépense",-G473,0))</f>
        <v>0</v>
      </c>
      <c r="L473" s="33" t="n">
        <f aca="false">IF(E473="",0,G473*IFERROR(INDEX(Catégories!$E$5:$E$60,MATCH(E473,Catégories!$A$5:$A$60,0)),0))</f>
        <v>0</v>
      </c>
    </row>
    <row r="474" customFormat="false" ht="15" hidden="false" customHeight="true" outlineLevel="0" collapsed="false">
      <c r="A474" s="34"/>
      <c r="B474" s="29" t="str">
        <f aca="false">IF(A474="","",YEAR(A474))</f>
        <v/>
      </c>
      <c r="G474" s="35"/>
      <c r="H474" s="32" t="str">
        <f aca="false">IF(E474="","",IFERROR(INDEX(Catégories!$B$5:$B$60,MATCH(E474,Catégories!$A$5:$A$60,0)),"?"))</f>
        <v/>
      </c>
      <c r="I474" s="32" t="str">
        <f aca="false">IF(E474="","",IFERROR(INDEX(Catégories!$C$5:$C$60,MATCH(E474,Catégories!$A$5:$A$60,0)),"?"))</f>
        <v/>
      </c>
      <c r="J474" s="32" t="str">
        <f aca="false">IF(E474="","",IFERROR(INDEX(Catégories!$D$5:$D$60,MATCH(E474,Catégories!$A$5:$A$60,0)),"?"))</f>
        <v/>
      </c>
      <c r="K474" s="33" t="n">
        <f aca="false">IF(H474="Recette",G474,IF(H474="Dépense",-G474,0))</f>
        <v>0</v>
      </c>
      <c r="L474" s="33" t="n">
        <f aca="false">IF(E474="",0,G474*IFERROR(INDEX(Catégories!$E$5:$E$60,MATCH(E474,Catégories!$A$5:$A$60,0)),0))</f>
        <v>0</v>
      </c>
    </row>
    <row r="475" customFormat="false" ht="15" hidden="false" customHeight="true" outlineLevel="0" collapsed="false">
      <c r="A475" s="34"/>
      <c r="B475" s="29" t="str">
        <f aca="false">IF(A475="","",YEAR(A475))</f>
        <v/>
      </c>
      <c r="G475" s="35"/>
      <c r="H475" s="32" t="str">
        <f aca="false">IF(E475="","",IFERROR(INDEX(Catégories!$B$5:$B$60,MATCH(E475,Catégories!$A$5:$A$60,0)),"?"))</f>
        <v/>
      </c>
      <c r="I475" s="32" t="str">
        <f aca="false">IF(E475="","",IFERROR(INDEX(Catégories!$C$5:$C$60,MATCH(E475,Catégories!$A$5:$A$60,0)),"?"))</f>
        <v/>
      </c>
      <c r="J475" s="32" t="str">
        <f aca="false">IF(E475="","",IFERROR(INDEX(Catégories!$D$5:$D$60,MATCH(E475,Catégories!$A$5:$A$60,0)),"?"))</f>
        <v/>
      </c>
      <c r="K475" s="33" t="n">
        <f aca="false">IF(H475="Recette",G475,IF(H475="Dépense",-G475,0))</f>
        <v>0</v>
      </c>
      <c r="L475" s="33" t="n">
        <f aca="false">IF(E475="",0,G475*IFERROR(INDEX(Catégories!$E$5:$E$60,MATCH(E475,Catégories!$A$5:$A$60,0)),0))</f>
        <v>0</v>
      </c>
    </row>
    <row r="476" customFormat="false" ht="15" hidden="false" customHeight="true" outlineLevel="0" collapsed="false">
      <c r="A476" s="34"/>
      <c r="B476" s="29" t="str">
        <f aca="false">IF(A476="","",YEAR(A476))</f>
        <v/>
      </c>
      <c r="G476" s="35"/>
      <c r="H476" s="32" t="str">
        <f aca="false">IF(E476="","",IFERROR(INDEX(Catégories!$B$5:$B$60,MATCH(E476,Catégories!$A$5:$A$60,0)),"?"))</f>
        <v/>
      </c>
      <c r="I476" s="32" t="str">
        <f aca="false">IF(E476="","",IFERROR(INDEX(Catégories!$C$5:$C$60,MATCH(E476,Catégories!$A$5:$A$60,0)),"?"))</f>
        <v/>
      </c>
      <c r="J476" s="32" t="str">
        <f aca="false">IF(E476="","",IFERROR(INDEX(Catégories!$D$5:$D$60,MATCH(E476,Catégories!$A$5:$A$60,0)),"?"))</f>
        <v/>
      </c>
      <c r="K476" s="33" t="n">
        <f aca="false">IF(H476="Recette",G476,IF(H476="Dépense",-G476,0))</f>
        <v>0</v>
      </c>
      <c r="L476" s="33" t="n">
        <f aca="false">IF(E476="",0,G476*IFERROR(INDEX(Catégories!$E$5:$E$60,MATCH(E476,Catégories!$A$5:$A$60,0)),0))</f>
        <v>0</v>
      </c>
    </row>
    <row r="477" customFormat="false" ht="15" hidden="false" customHeight="true" outlineLevel="0" collapsed="false">
      <c r="A477" s="34"/>
      <c r="B477" s="29" t="str">
        <f aca="false">IF(A477="","",YEAR(A477))</f>
        <v/>
      </c>
      <c r="G477" s="35"/>
      <c r="H477" s="32" t="str">
        <f aca="false">IF(E477="","",IFERROR(INDEX(Catégories!$B$5:$B$60,MATCH(E477,Catégories!$A$5:$A$60,0)),"?"))</f>
        <v/>
      </c>
      <c r="I477" s="32" t="str">
        <f aca="false">IF(E477="","",IFERROR(INDEX(Catégories!$C$5:$C$60,MATCH(E477,Catégories!$A$5:$A$60,0)),"?"))</f>
        <v/>
      </c>
      <c r="J477" s="32" t="str">
        <f aca="false">IF(E477="","",IFERROR(INDEX(Catégories!$D$5:$D$60,MATCH(E477,Catégories!$A$5:$A$60,0)),"?"))</f>
        <v/>
      </c>
      <c r="K477" s="33" t="n">
        <f aca="false">IF(H477="Recette",G477,IF(H477="Dépense",-G477,0))</f>
        <v>0</v>
      </c>
      <c r="L477" s="33" t="n">
        <f aca="false">IF(E477="",0,G477*IFERROR(INDEX(Catégories!$E$5:$E$60,MATCH(E477,Catégories!$A$5:$A$60,0)),0))</f>
        <v>0</v>
      </c>
    </row>
    <row r="478" customFormat="false" ht="15" hidden="false" customHeight="true" outlineLevel="0" collapsed="false">
      <c r="A478" s="34"/>
      <c r="B478" s="29" t="str">
        <f aca="false">IF(A478="","",YEAR(A478))</f>
        <v/>
      </c>
      <c r="G478" s="35"/>
      <c r="H478" s="32" t="str">
        <f aca="false">IF(E478="","",IFERROR(INDEX(Catégories!$B$5:$B$60,MATCH(E478,Catégories!$A$5:$A$60,0)),"?"))</f>
        <v/>
      </c>
      <c r="I478" s="32" t="str">
        <f aca="false">IF(E478="","",IFERROR(INDEX(Catégories!$C$5:$C$60,MATCH(E478,Catégories!$A$5:$A$60,0)),"?"))</f>
        <v/>
      </c>
      <c r="J478" s="32" t="str">
        <f aca="false">IF(E478="","",IFERROR(INDEX(Catégories!$D$5:$D$60,MATCH(E478,Catégories!$A$5:$A$60,0)),"?"))</f>
        <v/>
      </c>
      <c r="K478" s="33" t="n">
        <f aca="false">IF(H478="Recette",G478,IF(H478="Dépense",-G478,0))</f>
        <v>0</v>
      </c>
      <c r="L478" s="33" t="n">
        <f aca="false">IF(E478="",0,G478*IFERROR(INDEX(Catégories!$E$5:$E$60,MATCH(E478,Catégories!$A$5:$A$60,0)),0))</f>
        <v>0</v>
      </c>
    </row>
    <row r="479" customFormat="false" ht="15" hidden="false" customHeight="true" outlineLevel="0" collapsed="false">
      <c r="A479" s="34"/>
      <c r="B479" s="29" t="str">
        <f aca="false">IF(A479="","",YEAR(A479))</f>
        <v/>
      </c>
      <c r="G479" s="35"/>
      <c r="H479" s="32" t="str">
        <f aca="false">IF(E479="","",IFERROR(INDEX(Catégories!$B$5:$B$60,MATCH(E479,Catégories!$A$5:$A$60,0)),"?"))</f>
        <v/>
      </c>
      <c r="I479" s="32" t="str">
        <f aca="false">IF(E479="","",IFERROR(INDEX(Catégories!$C$5:$C$60,MATCH(E479,Catégories!$A$5:$A$60,0)),"?"))</f>
        <v/>
      </c>
      <c r="J479" s="32" t="str">
        <f aca="false">IF(E479="","",IFERROR(INDEX(Catégories!$D$5:$D$60,MATCH(E479,Catégories!$A$5:$A$60,0)),"?"))</f>
        <v/>
      </c>
      <c r="K479" s="33" t="n">
        <f aca="false">IF(H479="Recette",G479,IF(H479="Dépense",-G479,0))</f>
        <v>0</v>
      </c>
      <c r="L479" s="33" t="n">
        <f aca="false">IF(E479="",0,G479*IFERROR(INDEX(Catégories!$E$5:$E$60,MATCH(E479,Catégories!$A$5:$A$60,0)),0))</f>
        <v>0</v>
      </c>
    </row>
    <row r="480" customFormat="false" ht="15" hidden="false" customHeight="true" outlineLevel="0" collapsed="false">
      <c r="A480" s="34"/>
      <c r="B480" s="29" t="str">
        <f aca="false">IF(A480="","",YEAR(A480))</f>
        <v/>
      </c>
      <c r="G480" s="35"/>
      <c r="H480" s="32" t="str">
        <f aca="false">IF(E480="","",IFERROR(INDEX(Catégories!$B$5:$B$60,MATCH(E480,Catégories!$A$5:$A$60,0)),"?"))</f>
        <v/>
      </c>
      <c r="I480" s="32" t="str">
        <f aca="false">IF(E480="","",IFERROR(INDEX(Catégories!$C$5:$C$60,MATCH(E480,Catégories!$A$5:$A$60,0)),"?"))</f>
        <v/>
      </c>
      <c r="J480" s="32" t="str">
        <f aca="false">IF(E480="","",IFERROR(INDEX(Catégories!$D$5:$D$60,MATCH(E480,Catégories!$A$5:$A$60,0)),"?"))</f>
        <v/>
      </c>
      <c r="K480" s="33" t="n">
        <f aca="false">IF(H480="Recette",G480,IF(H480="Dépense",-G480,0))</f>
        <v>0</v>
      </c>
      <c r="L480" s="33" t="n">
        <f aca="false">IF(E480="",0,G480*IFERROR(INDEX(Catégories!$E$5:$E$60,MATCH(E480,Catégories!$A$5:$A$60,0)),0))</f>
        <v>0</v>
      </c>
    </row>
    <row r="481" customFormat="false" ht="15" hidden="false" customHeight="true" outlineLevel="0" collapsed="false">
      <c r="A481" s="34"/>
      <c r="B481" s="29" t="str">
        <f aca="false">IF(A481="","",YEAR(A481))</f>
        <v/>
      </c>
      <c r="G481" s="35"/>
      <c r="H481" s="32" t="str">
        <f aca="false">IF(E481="","",IFERROR(INDEX(Catégories!$B$5:$B$60,MATCH(E481,Catégories!$A$5:$A$60,0)),"?"))</f>
        <v/>
      </c>
      <c r="I481" s="32" t="str">
        <f aca="false">IF(E481="","",IFERROR(INDEX(Catégories!$C$5:$C$60,MATCH(E481,Catégories!$A$5:$A$60,0)),"?"))</f>
        <v/>
      </c>
      <c r="J481" s="32" t="str">
        <f aca="false">IF(E481="","",IFERROR(INDEX(Catégories!$D$5:$D$60,MATCH(E481,Catégories!$A$5:$A$60,0)),"?"))</f>
        <v/>
      </c>
      <c r="K481" s="33" t="n">
        <f aca="false">IF(H481="Recette",G481,IF(H481="Dépense",-G481,0))</f>
        <v>0</v>
      </c>
      <c r="L481" s="33" t="n">
        <f aca="false">IF(E481="",0,G481*IFERROR(INDEX(Catégories!$E$5:$E$60,MATCH(E481,Catégories!$A$5:$A$60,0)),0))</f>
        <v>0</v>
      </c>
    </row>
    <row r="482" customFormat="false" ht="15" hidden="false" customHeight="true" outlineLevel="0" collapsed="false">
      <c r="A482" s="34"/>
      <c r="B482" s="29" t="str">
        <f aca="false">IF(A482="","",YEAR(A482))</f>
        <v/>
      </c>
      <c r="G482" s="35"/>
      <c r="H482" s="32" t="str">
        <f aca="false">IF(E482="","",IFERROR(INDEX(Catégories!$B$5:$B$60,MATCH(E482,Catégories!$A$5:$A$60,0)),"?"))</f>
        <v/>
      </c>
      <c r="I482" s="32" t="str">
        <f aca="false">IF(E482="","",IFERROR(INDEX(Catégories!$C$5:$C$60,MATCH(E482,Catégories!$A$5:$A$60,0)),"?"))</f>
        <v/>
      </c>
      <c r="J482" s="32" t="str">
        <f aca="false">IF(E482="","",IFERROR(INDEX(Catégories!$D$5:$D$60,MATCH(E482,Catégories!$A$5:$A$60,0)),"?"))</f>
        <v/>
      </c>
      <c r="K482" s="33" t="n">
        <f aca="false">IF(H482="Recette",G482,IF(H482="Dépense",-G482,0))</f>
        <v>0</v>
      </c>
      <c r="L482" s="33" t="n">
        <f aca="false">IF(E482="",0,G482*IFERROR(INDEX(Catégories!$E$5:$E$60,MATCH(E482,Catégories!$A$5:$A$60,0)),0))</f>
        <v>0</v>
      </c>
    </row>
    <row r="483" customFormat="false" ht="15" hidden="false" customHeight="true" outlineLevel="0" collapsed="false">
      <c r="A483" s="34"/>
      <c r="B483" s="29" t="str">
        <f aca="false">IF(A483="","",YEAR(A483))</f>
        <v/>
      </c>
      <c r="G483" s="35"/>
      <c r="H483" s="32" t="str">
        <f aca="false">IF(E483="","",IFERROR(INDEX(Catégories!$B$5:$B$60,MATCH(E483,Catégories!$A$5:$A$60,0)),"?"))</f>
        <v/>
      </c>
      <c r="I483" s="32" t="str">
        <f aca="false">IF(E483="","",IFERROR(INDEX(Catégories!$C$5:$C$60,MATCH(E483,Catégories!$A$5:$A$60,0)),"?"))</f>
        <v/>
      </c>
      <c r="J483" s="32" t="str">
        <f aca="false">IF(E483="","",IFERROR(INDEX(Catégories!$D$5:$D$60,MATCH(E483,Catégories!$A$5:$A$60,0)),"?"))</f>
        <v/>
      </c>
      <c r="K483" s="33" t="n">
        <f aca="false">IF(H483="Recette",G483,IF(H483="Dépense",-G483,0))</f>
        <v>0</v>
      </c>
      <c r="L483" s="33" t="n">
        <f aca="false">IF(E483="",0,G483*IFERROR(INDEX(Catégories!$E$5:$E$60,MATCH(E483,Catégories!$A$5:$A$60,0)),0))</f>
        <v>0</v>
      </c>
    </row>
    <row r="484" customFormat="false" ht="15" hidden="false" customHeight="true" outlineLevel="0" collapsed="false">
      <c r="A484" s="34"/>
      <c r="B484" s="29" t="str">
        <f aca="false">IF(A484="","",YEAR(A484))</f>
        <v/>
      </c>
      <c r="G484" s="35"/>
      <c r="H484" s="32" t="str">
        <f aca="false">IF(E484="","",IFERROR(INDEX(Catégories!$B$5:$B$60,MATCH(E484,Catégories!$A$5:$A$60,0)),"?"))</f>
        <v/>
      </c>
      <c r="I484" s="32" t="str">
        <f aca="false">IF(E484="","",IFERROR(INDEX(Catégories!$C$5:$C$60,MATCH(E484,Catégories!$A$5:$A$60,0)),"?"))</f>
        <v/>
      </c>
      <c r="J484" s="32" t="str">
        <f aca="false">IF(E484="","",IFERROR(INDEX(Catégories!$D$5:$D$60,MATCH(E484,Catégories!$A$5:$A$60,0)),"?"))</f>
        <v/>
      </c>
      <c r="K484" s="33" t="n">
        <f aca="false">IF(H484="Recette",G484,IF(H484="Dépense",-G484,0))</f>
        <v>0</v>
      </c>
      <c r="L484" s="33" t="n">
        <f aca="false">IF(E484="",0,G484*IFERROR(INDEX(Catégories!$E$5:$E$60,MATCH(E484,Catégories!$A$5:$A$60,0)),0))</f>
        <v>0</v>
      </c>
    </row>
    <row r="485" customFormat="false" ht="15" hidden="false" customHeight="true" outlineLevel="0" collapsed="false">
      <c r="A485" s="34"/>
      <c r="B485" s="29" t="str">
        <f aca="false">IF(A485="","",YEAR(A485))</f>
        <v/>
      </c>
      <c r="G485" s="35"/>
      <c r="H485" s="32" t="str">
        <f aca="false">IF(E485="","",IFERROR(INDEX(Catégories!$B$5:$B$60,MATCH(E485,Catégories!$A$5:$A$60,0)),"?"))</f>
        <v/>
      </c>
      <c r="I485" s="32" t="str">
        <f aca="false">IF(E485="","",IFERROR(INDEX(Catégories!$C$5:$C$60,MATCH(E485,Catégories!$A$5:$A$60,0)),"?"))</f>
        <v/>
      </c>
      <c r="J485" s="32" t="str">
        <f aca="false">IF(E485="","",IFERROR(INDEX(Catégories!$D$5:$D$60,MATCH(E485,Catégories!$A$5:$A$60,0)),"?"))</f>
        <v/>
      </c>
      <c r="K485" s="33" t="n">
        <f aca="false">IF(H485="Recette",G485,IF(H485="Dépense",-G485,0))</f>
        <v>0</v>
      </c>
      <c r="L485" s="33" t="n">
        <f aca="false">IF(E485="",0,G485*IFERROR(INDEX(Catégories!$E$5:$E$60,MATCH(E485,Catégories!$A$5:$A$60,0)),0))</f>
        <v>0</v>
      </c>
    </row>
    <row r="486" customFormat="false" ht="15" hidden="false" customHeight="true" outlineLevel="0" collapsed="false">
      <c r="A486" s="34"/>
      <c r="B486" s="29" t="str">
        <f aca="false">IF(A486="","",YEAR(A486))</f>
        <v/>
      </c>
      <c r="G486" s="35"/>
      <c r="H486" s="32" t="str">
        <f aca="false">IF(E486="","",IFERROR(INDEX(Catégories!$B$5:$B$60,MATCH(E486,Catégories!$A$5:$A$60,0)),"?"))</f>
        <v/>
      </c>
      <c r="I486" s="32" t="str">
        <f aca="false">IF(E486="","",IFERROR(INDEX(Catégories!$C$5:$C$60,MATCH(E486,Catégories!$A$5:$A$60,0)),"?"))</f>
        <v/>
      </c>
      <c r="J486" s="32" t="str">
        <f aca="false">IF(E486="","",IFERROR(INDEX(Catégories!$D$5:$D$60,MATCH(E486,Catégories!$A$5:$A$60,0)),"?"))</f>
        <v/>
      </c>
      <c r="K486" s="33" t="n">
        <f aca="false">IF(H486="Recette",G486,IF(H486="Dépense",-G486,0))</f>
        <v>0</v>
      </c>
      <c r="L486" s="33" t="n">
        <f aca="false">IF(E486="",0,G486*IFERROR(INDEX(Catégories!$E$5:$E$60,MATCH(E486,Catégories!$A$5:$A$60,0)),0))</f>
        <v>0</v>
      </c>
    </row>
    <row r="487" customFormat="false" ht="15" hidden="false" customHeight="true" outlineLevel="0" collapsed="false">
      <c r="A487" s="34"/>
      <c r="B487" s="29" t="str">
        <f aca="false">IF(A487="","",YEAR(A487))</f>
        <v/>
      </c>
      <c r="G487" s="35"/>
      <c r="H487" s="32" t="str">
        <f aca="false">IF(E487="","",IFERROR(INDEX(Catégories!$B$5:$B$60,MATCH(E487,Catégories!$A$5:$A$60,0)),"?"))</f>
        <v/>
      </c>
      <c r="I487" s="32" t="str">
        <f aca="false">IF(E487="","",IFERROR(INDEX(Catégories!$C$5:$C$60,MATCH(E487,Catégories!$A$5:$A$60,0)),"?"))</f>
        <v/>
      </c>
      <c r="J487" s="32" t="str">
        <f aca="false">IF(E487="","",IFERROR(INDEX(Catégories!$D$5:$D$60,MATCH(E487,Catégories!$A$5:$A$60,0)),"?"))</f>
        <v/>
      </c>
      <c r="K487" s="33" t="n">
        <f aca="false">IF(H487="Recette",G487,IF(H487="Dépense",-G487,0))</f>
        <v>0</v>
      </c>
      <c r="L487" s="33" t="n">
        <f aca="false">IF(E487="",0,G487*IFERROR(INDEX(Catégories!$E$5:$E$60,MATCH(E487,Catégories!$A$5:$A$60,0)),0))</f>
        <v>0</v>
      </c>
    </row>
    <row r="488" customFormat="false" ht="15" hidden="false" customHeight="true" outlineLevel="0" collapsed="false">
      <c r="A488" s="34"/>
      <c r="B488" s="29" t="str">
        <f aca="false">IF(A488="","",YEAR(A488))</f>
        <v/>
      </c>
      <c r="G488" s="35"/>
      <c r="H488" s="32" t="str">
        <f aca="false">IF(E488="","",IFERROR(INDEX(Catégories!$B$5:$B$60,MATCH(E488,Catégories!$A$5:$A$60,0)),"?"))</f>
        <v/>
      </c>
      <c r="I488" s="32" t="str">
        <f aca="false">IF(E488="","",IFERROR(INDEX(Catégories!$C$5:$C$60,MATCH(E488,Catégories!$A$5:$A$60,0)),"?"))</f>
        <v/>
      </c>
      <c r="J488" s="32" t="str">
        <f aca="false">IF(E488="","",IFERROR(INDEX(Catégories!$D$5:$D$60,MATCH(E488,Catégories!$A$5:$A$60,0)),"?"))</f>
        <v/>
      </c>
      <c r="K488" s="33" t="n">
        <f aca="false">IF(H488="Recette",G488,IF(H488="Dépense",-G488,0))</f>
        <v>0</v>
      </c>
      <c r="L488" s="33" t="n">
        <f aca="false">IF(E488="",0,G488*IFERROR(INDEX(Catégories!$E$5:$E$60,MATCH(E488,Catégories!$A$5:$A$60,0)),0))</f>
        <v>0</v>
      </c>
    </row>
    <row r="489" customFormat="false" ht="15" hidden="false" customHeight="true" outlineLevel="0" collapsed="false">
      <c r="A489" s="34"/>
      <c r="B489" s="29" t="str">
        <f aca="false">IF(A489="","",YEAR(A489))</f>
        <v/>
      </c>
      <c r="G489" s="35"/>
      <c r="H489" s="32" t="str">
        <f aca="false">IF(E489="","",IFERROR(INDEX(Catégories!$B$5:$B$60,MATCH(E489,Catégories!$A$5:$A$60,0)),"?"))</f>
        <v/>
      </c>
      <c r="I489" s="32" t="str">
        <f aca="false">IF(E489="","",IFERROR(INDEX(Catégories!$C$5:$C$60,MATCH(E489,Catégories!$A$5:$A$60,0)),"?"))</f>
        <v/>
      </c>
      <c r="J489" s="32" t="str">
        <f aca="false">IF(E489="","",IFERROR(INDEX(Catégories!$D$5:$D$60,MATCH(E489,Catégories!$A$5:$A$60,0)),"?"))</f>
        <v/>
      </c>
      <c r="K489" s="33" t="n">
        <f aca="false">IF(H489="Recette",G489,IF(H489="Dépense",-G489,0))</f>
        <v>0</v>
      </c>
      <c r="L489" s="33" t="n">
        <f aca="false">IF(E489="",0,G489*IFERROR(INDEX(Catégories!$E$5:$E$60,MATCH(E489,Catégories!$A$5:$A$60,0)),0))</f>
        <v>0</v>
      </c>
    </row>
    <row r="490" customFormat="false" ht="15" hidden="false" customHeight="true" outlineLevel="0" collapsed="false">
      <c r="A490" s="34"/>
      <c r="B490" s="29" t="str">
        <f aca="false">IF(A490="","",YEAR(A490))</f>
        <v/>
      </c>
      <c r="G490" s="35"/>
      <c r="H490" s="32" t="str">
        <f aca="false">IF(E490="","",IFERROR(INDEX(Catégories!$B$5:$B$60,MATCH(E490,Catégories!$A$5:$A$60,0)),"?"))</f>
        <v/>
      </c>
      <c r="I490" s="32" t="str">
        <f aca="false">IF(E490="","",IFERROR(INDEX(Catégories!$C$5:$C$60,MATCH(E490,Catégories!$A$5:$A$60,0)),"?"))</f>
        <v/>
      </c>
      <c r="J490" s="32" t="str">
        <f aca="false">IF(E490="","",IFERROR(INDEX(Catégories!$D$5:$D$60,MATCH(E490,Catégories!$A$5:$A$60,0)),"?"))</f>
        <v/>
      </c>
      <c r="K490" s="33" t="n">
        <f aca="false">IF(H490="Recette",G490,IF(H490="Dépense",-G490,0))</f>
        <v>0</v>
      </c>
      <c r="L490" s="33" t="n">
        <f aca="false">IF(E490="",0,G490*IFERROR(INDEX(Catégories!$E$5:$E$60,MATCH(E490,Catégories!$A$5:$A$60,0)),0))</f>
        <v>0</v>
      </c>
    </row>
    <row r="491" customFormat="false" ht="15" hidden="false" customHeight="true" outlineLevel="0" collapsed="false">
      <c r="A491" s="34"/>
      <c r="B491" s="29" t="str">
        <f aca="false">IF(A491="","",YEAR(A491))</f>
        <v/>
      </c>
      <c r="G491" s="35"/>
      <c r="H491" s="32" t="str">
        <f aca="false">IF(E491="","",IFERROR(INDEX(Catégories!$B$5:$B$60,MATCH(E491,Catégories!$A$5:$A$60,0)),"?"))</f>
        <v/>
      </c>
      <c r="I491" s="32" t="str">
        <f aca="false">IF(E491="","",IFERROR(INDEX(Catégories!$C$5:$C$60,MATCH(E491,Catégories!$A$5:$A$60,0)),"?"))</f>
        <v/>
      </c>
      <c r="J491" s="32" t="str">
        <f aca="false">IF(E491="","",IFERROR(INDEX(Catégories!$D$5:$D$60,MATCH(E491,Catégories!$A$5:$A$60,0)),"?"))</f>
        <v/>
      </c>
      <c r="K491" s="33" t="n">
        <f aca="false">IF(H491="Recette",G491,IF(H491="Dépense",-G491,0))</f>
        <v>0</v>
      </c>
      <c r="L491" s="33" t="n">
        <f aca="false">IF(E491="",0,G491*IFERROR(INDEX(Catégories!$E$5:$E$60,MATCH(E491,Catégories!$A$5:$A$60,0)),0))</f>
        <v>0</v>
      </c>
    </row>
    <row r="492" customFormat="false" ht="15" hidden="false" customHeight="true" outlineLevel="0" collapsed="false">
      <c r="A492" s="34"/>
      <c r="B492" s="29" t="str">
        <f aca="false">IF(A492="","",YEAR(A492))</f>
        <v/>
      </c>
      <c r="G492" s="35"/>
      <c r="H492" s="32" t="str">
        <f aca="false">IF(E492="","",IFERROR(INDEX(Catégories!$B$5:$B$60,MATCH(E492,Catégories!$A$5:$A$60,0)),"?"))</f>
        <v/>
      </c>
      <c r="I492" s="32" t="str">
        <f aca="false">IF(E492="","",IFERROR(INDEX(Catégories!$C$5:$C$60,MATCH(E492,Catégories!$A$5:$A$60,0)),"?"))</f>
        <v/>
      </c>
      <c r="J492" s="32" t="str">
        <f aca="false">IF(E492="","",IFERROR(INDEX(Catégories!$D$5:$D$60,MATCH(E492,Catégories!$A$5:$A$60,0)),"?"))</f>
        <v/>
      </c>
      <c r="K492" s="33" t="n">
        <f aca="false">IF(H492="Recette",G492,IF(H492="Dépense",-G492,0))</f>
        <v>0</v>
      </c>
      <c r="L492" s="33" t="n">
        <f aca="false">IF(E492="",0,G492*IFERROR(INDEX(Catégories!$E$5:$E$60,MATCH(E492,Catégories!$A$5:$A$60,0)),0))</f>
        <v>0</v>
      </c>
    </row>
    <row r="493" customFormat="false" ht="15" hidden="false" customHeight="true" outlineLevel="0" collapsed="false">
      <c r="A493" s="34"/>
      <c r="B493" s="29" t="str">
        <f aca="false">IF(A493="","",YEAR(A493))</f>
        <v/>
      </c>
      <c r="G493" s="35"/>
      <c r="H493" s="32" t="str">
        <f aca="false">IF(E493="","",IFERROR(INDEX(Catégories!$B$5:$B$60,MATCH(E493,Catégories!$A$5:$A$60,0)),"?"))</f>
        <v/>
      </c>
      <c r="I493" s="32" t="str">
        <f aca="false">IF(E493="","",IFERROR(INDEX(Catégories!$C$5:$C$60,MATCH(E493,Catégories!$A$5:$A$60,0)),"?"))</f>
        <v/>
      </c>
      <c r="J493" s="32" t="str">
        <f aca="false">IF(E493="","",IFERROR(INDEX(Catégories!$D$5:$D$60,MATCH(E493,Catégories!$A$5:$A$60,0)),"?"))</f>
        <v/>
      </c>
      <c r="K493" s="33" t="n">
        <f aca="false">IF(H493="Recette",G493,IF(H493="Dépense",-G493,0))</f>
        <v>0</v>
      </c>
      <c r="L493" s="33" t="n">
        <f aca="false">IF(E493="",0,G493*IFERROR(INDEX(Catégories!$E$5:$E$60,MATCH(E493,Catégories!$A$5:$A$60,0)),0))</f>
        <v>0</v>
      </c>
    </row>
    <row r="494" customFormat="false" ht="15" hidden="false" customHeight="true" outlineLevel="0" collapsed="false">
      <c r="A494" s="34"/>
      <c r="B494" s="29" t="str">
        <f aca="false">IF(A494="","",YEAR(A494))</f>
        <v/>
      </c>
      <c r="G494" s="35"/>
      <c r="H494" s="32" t="str">
        <f aca="false">IF(E494="","",IFERROR(INDEX(Catégories!$B$5:$B$60,MATCH(E494,Catégories!$A$5:$A$60,0)),"?"))</f>
        <v/>
      </c>
      <c r="I494" s="32" t="str">
        <f aca="false">IF(E494="","",IFERROR(INDEX(Catégories!$C$5:$C$60,MATCH(E494,Catégories!$A$5:$A$60,0)),"?"))</f>
        <v/>
      </c>
      <c r="J494" s="32" t="str">
        <f aca="false">IF(E494="","",IFERROR(INDEX(Catégories!$D$5:$D$60,MATCH(E494,Catégories!$A$5:$A$60,0)),"?"))</f>
        <v/>
      </c>
      <c r="K494" s="33" t="n">
        <f aca="false">IF(H494="Recette",G494,IF(H494="Dépense",-G494,0))</f>
        <v>0</v>
      </c>
      <c r="L494" s="33" t="n">
        <f aca="false">IF(E494="",0,G494*IFERROR(INDEX(Catégories!$E$5:$E$60,MATCH(E494,Catégories!$A$5:$A$60,0)),0))</f>
        <v>0</v>
      </c>
    </row>
    <row r="495" customFormat="false" ht="15" hidden="false" customHeight="true" outlineLevel="0" collapsed="false">
      <c r="A495" s="34"/>
      <c r="B495" s="29" t="str">
        <f aca="false">IF(A495="","",YEAR(A495))</f>
        <v/>
      </c>
      <c r="G495" s="35"/>
      <c r="H495" s="32" t="str">
        <f aca="false">IF(E495="","",IFERROR(INDEX(Catégories!$B$5:$B$60,MATCH(E495,Catégories!$A$5:$A$60,0)),"?"))</f>
        <v/>
      </c>
      <c r="I495" s="32" t="str">
        <f aca="false">IF(E495="","",IFERROR(INDEX(Catégories!$C$5:$C$60,MATCH(E495,Catégories!$A$5:$A$60,0)),"?"))</f>
        <v/>
      </c>
      <c r="J495" s="32" t="str">
        <f aca="false">IF(E495="","",IFERROR(INDEX(Catégories!$D$5:$D$60,MATCH(E495,Catégories!$A$5:$A$60,0)),"?"))</f>
        <v/>
      </c>
      <c r="K495" s="33" t="n">
        <f aca="false">IF(H495="Recette",G495,IF(H495="Dépense",-G495,0))</f>
        <v>0</v>
      </c>
      <c r="L495" s="33" t="n">
        <f aca="false">IF(E495="",0,G495*IFERROR(INDEX(Catégories!$E$5:$E$60,MATCH(E495,Catégories!$A$5:$A$60,0)),0))</f>
        <v>0</v>
      </c>
    </row>
    <row r="496" customFormat="false" ht="15" hidden="false" customHeight="true" outlineLevel="0" collapsed="false">
      <c r="A496" s="34"/>
      <c r="B496" s="29" t="str">
        <f aca="false">IF(A496="","",YEAR(A496))</f>
        <v/>
      </c>
      <c r="G496" s="35"/>
      <c r="H496" s="32" t="str">
        <f aca="false">IF(E496="","",IFERROR(INDEX(Catégories!$B$5:$B$60,MATCH(E496,Catégories!$A$5:$A$60,0)),"?"))</f>
        <v/>
      </c>
      <c r="I496" s="32" t="str">
        <f aca="false">IF(E496="","",IFERROR(INDEX(Catégories!$C$5:$C$60,MATCH(E496,Catégories!$A$5:$A$60,0)),"?"))</f>
        <v/>
      </c>
      <c r="J496" s="32" t="str">
        <f aca="false">IF(E496="","",IFERROR(INDEX(Catégories!$D$5:$D$60,MATCH(E496,Catégories!$A$5:$A$60,0)),"?"))</f>
        <v/>
      </c>
      <c r="K496" s="33" t="n">
        <f aca="false">IF(H496="Recette",G496,IF(H496="Dépense",-G496,0))</f>
        <v>0</v>
      </c>
      <c r="L496" s="33" t="n">
        <f aca="false">IF(E496="",0,G496*IFERROR(INDEX(Catégories!$E$5:$E$60,MATCH(E496,Catégories!$A$5:$A$60,0)),0))</f>
        <v>0</v>
      </c>
    </row>
    <row r="497" customFormat="false" ht="15" hidden="false" customHeight="true" outlineLevel="0" collapsed="false">
      <c r="A497" s="34"/>
      <c r="B497" s="29" t="str">
        <f aca="false">IF(A497="","",YEAR(A497))</f>
        <v/>
      </c>
      <c r="G497" s="35"/>
      <c r="H497" s="32" t="str">
        <f aca="false">IF(E497="","",IFERROR(INDEX(Catégories!$B$5:$B$60,MATCH(E497,Catégories!$A$5:$A$60,0)),"?"))</f>
        <v/>
      </c>
      <c r="I497" s="32" t="str">
        <f aca="false">IF(E497="","",IFERROR(INDEX(Catégories!$C$5:$C$60,MATCH(E497,Catégories!$A$5:$A$60,0)),"?"))</f>
        <v/>
      </c>
      <c r="J497" s="32" t="str">
        <f aca="false">IF(E497="","",IFERROR(INDEX(Catégories!$D$5:$D$60,MATCH(E497,Catégories!$A$5:$A$60,0)),"?"))</f>
        <v/>
      </c>
      <c r="K497" s="33" t="n">
        <f aca="false">IF(H497="Recette",G497,IF(H497="Dépense",-G497,0))</f>
        <v>0</v>
      </c>
      <c r="L497" s="33" t="n">
        <f aca="false">IF(E497="",0,G497*IFERROR(INDEX(Catégories!$E$5:$E$60,MATCH(E497,Catégories!$A$5:$A$60,0)),0))</f>
        <v>0</v>
      </c>
    </row>
    <row r="498" customFormat="false" ht="15" hidden="false" customHeight="true" outlineLevel="0" collapsed="false">
      <c r="A498" s="34"/>
      <c r="B498" s="29" t="str">
        <f aca="false">IF(A498="","",YEAR(A498))</f>
        <v/>
      </c>
      <c r="G498" s="35"/>
      <c r="H498" s="32" t="str">
        <f aca="false">IF(E498="","",IFERROR(INDEX(Catégories!$B$5:$B$60,MATCH(E498,Catégories!$A$5:$A$60,0)),"?"))</f>
        <v/>
      </c>
      <c r="I498" s="32" t="str">
        <f aca="false">IF(E498="","",IFERROR(INDEX(Catégories!$C$5:$C$60,MATCH(E498,Catégories!$A$5:$A$60,0)),"?"))</f>
        <v/>
      </c>
      <c r="J498" s="32" t="str">
        <f aca="false">IF(E498="","",IFERROR(INDEX(Catégories!$D$5:$D$60,MATCH(E498,Catégories!$A$5:$A$60,0)),"?"))</f>
        <v/>
      </c>
      <c r="K498" s="33" t="n">
        <f aca="false">IF(H498="Recette",G498,IF(H498="Dépense",-G498,0))</f>
        <v>0</v>
      </c>
      <c r="L498" s="33" t="n">
        <f aca="false">IF(E498="",0,G498*IFERROR(INDEX(Catégories!$E$5:$E$60,MATCH(E498,Catégories!$A$5:$A$60,0)),0))</f>
        <v>0</v>
      </c>
    </row>
    <row r="499" customFormat="false" ht="15" hidden="false" customHeight="true" outlineLevel="0" collapsed="false">
      <c r="A499" s="34"/>
      <c r="B499" s="29" t="str">
        <f aca="false">IF(A499="","",YEAR(A499))</f>
        <v/>
      </c>
      <c r="G499" s="35"/>
      <c r="H499" s="32" t="str">
        <f aca="false">IF(E499="","",IFERROR(INDEX(Catégories!$B$5:$B$60,MATCH(E499,Catégories!$A$5:$A$60,0)),"?"))</f>
        <v/>
      </c>
      <c r="I499" s="32" t="str">
        <f aca="false">IF(E499="","",IFERROR(INDEX(Catégories!$C$5:$C$60,MATCH(E499,Catégories!$A$5:$A$60,0)),"?"))</f>
        <v/>
      </c>
      <c r="J499" s="32" t="str">
        <f aca="false">IF(E499="","",IFERROR(INDEX(Catégories!$D$5:$D$60,MATCH(E499,Catégories!$A$5:$A$60,0)),"?"))</f>
        <v/>
      </c>
      <c r="K499" s="33" t="n">
        <f aca="false">IF(H499="Recette",G499,IF(H499="Dépense",-G499,0))</f>
        <v>0</v>
      </c>
      <c r="L499" s="33" t="n">
        <f aca="false">IF(E499="",0,G499*IFERROR(INDEX(Catégories!$E$5:$E$60,MATCH(E499,Catégories!$A$5:$A$60,0)),0))</f>
        <v>0</v>
      </c>
    </row>
    <row r="500" customFormat="false" ht="15" hidden="false" customHeight="true" outlineLevel="0" collapsed="false">
      <c r="A500" s="34"/>
      <c r="B500" s="29" t="str">
        <f aca="false">IF(A500="","",YEAR(A500))</f>
        <v/>
      </c>
      <c r="G500" s="35"/>
      <c r="H500" s="32" t="str">
        <f aca="false">IF(E500="","",IFERROR(INDEX(Catégories!$B$5:$B$60,MATCH(E500,Catégories!$A$5:$A$60,0)),"?"))</f>
        <v/>
      </c>
      <c r="I500" s="32" t="str">
        <f aca="false">IF(E500="","",IFERROR(INDEX(Catégories!$C$5:$C$60,MATCH(E500,Catégories!$A$5:$A$60,0)),"?"))</f>
        <v/>
      </c>
      <c r="J500" s="32" t="str">
        <f aca="false">IF(E500="","",IFERROR(INDEX(Catégories!$D$5:$D$60,MATCH(E500,Catégories!$A$5:$A$60,0)),"?"))</f>
        <v/>
      </c>
      <c r="K500" s="33" t="n">
        <f aca="false">IF(H500="Recette",G500,IF(H500="Dépense",-G500,0))</f>
        <v>0</v>
      </c>
      <c r="L500" s="33" t="n">
        <f aca="false">IF(E500="",0,G500*IFERROR(INDEX(Catégories!$E$5:$E$60,MATCH(E500,Catégories!$A$5:$A$60,0)),0))</f>
        <v>0</v>
      </c>
    </row>
    <row r="501" customFormat="false" ht="15" hidden="false" customHeight="true" outlineLevel="0" collapsed="false">
      <c r="A501" s="34"/>
      <c r="B501" s="29" t="str">
        <f aca="false">IF(A501="","",YEAR(A501))</f>
        <v/>
      </c>
      <c r="G501" s="35"/>
      <c r="H501" s="32" t="str">
        <f aca="false">IF(E501="","",IFERROR(INDEX(Catégories!$B$5:$B$60,MATCH(E501,Catégories!$A$5:$A$60,0)),"?"))</f>
        <v/>
      </c>
      <c r="I501" s="32" t="str">
        <f aca="false">IF(E501="","",IFERROR(INDEX(Catégories!$C$5:$C$60,MATCH(E501,Catégories!$A$5:$A$60,0)),"?"))</f>
        <v/>
      </c>
      <c r="J501" s="32" t="str">
        <f aca="false">IF(E501="","",IFERROR(INDEX(Catégories!$D$5:$D$60,MATCH(E501,Catégories!$A$5:$A$60,0)),"?"))</f>
        <v/>
      </c>
      <c r="K501" s="33" t="n">
        <f aca="false">IF(H501="Recette",G501,IF(H501="Dépense",-G501,0))</f>
        <v>0</v>
      </c>
      <c r="L501" s="33" t="n">
        <f aca="false">IF(E501="",0,G501*IFERROR(INDEX(Catégories!$E$5:$E$60,MATCH(E501,Catégories!$A$5:$A$60,0)),0))</f>
        <v>0</v>
      </c>
    </row>
    <row r="502" customFormat="false" ht="15" hidden="false" customHeight="true" outlineLevel="0" collapsed="false">
      <c r="A502" s="34"/>
      <c r="B502" s="29" t="str">
        <f aca="false">IF(A502="","",YEAR(A502))</f>
        <v/>
      </c>
      <c r="G502" s="35"/>
      <c r="H502" s="32" t="str">
        <f aca="false">IF(E502="","",IFERROR(INDEX(Catégories!$B$5:$B$60,MATCH(E502,Catégories!$A$5:$A$60,0)),"?"))</f>
        <v/>
      </c>
      <c r="I502" s="32" t="str">
        <f aca="false">IF(E502="","",IFERROR(INDEX(Catégories!$C$5:$C$60,MATCH(E502,Catégories!$A$5:$A$60,0)),"?"))</f>
        <v/>
      </c>
      <c r="J502" s="32" t="str">
        <f aca="false">IF(E502="","",IFERROR(INDEX(Catégories!$D$5:$D$60,MATCH(E502,Catégories!$A$5:$A$60,0)),"?"))</f>
        <v/>
      </c>
      <c r="K502" s="33" t="n">
        <f aca="false">IF(H502="Recette",G502,IF(H502="Dépense",-G502,0))</f>
        <v>0</v>
      </c>
      <c r="L502" s="33" t="n">
        <f aca="false">IF(E502="",0,G502*IFERROR(INDEX(Catégories!$E$5:$E$60,MATCH(E502,Catégories!$A$5:$A$60,0)),0))</f>
        <v>0</v>
      </c>
    </row>
    <row r="503" customFormat="false" ht="15" hidden="false" customHeight="true" outlineLevel="0" collapsed="false">
      <c r="A503" s="34"/>
      <c r="B503" s="29" t="str">
        <f aca="false">IF(A503="","",YEAR(A503))</f>
        <v/>
      </c>
      <c r="G503" s="35"/>
      <c r="H503" s="32" t="str">
        <f aca="false">IF(E503="","",IFERROR(INDEX(Catégories!$B$5:$B$60,MATCH(E503,Catégories!$A$5:$A$60,0)),"?"))</f>
        <v/>
      </c>
      <c r="I503" s="32" t="str">
        <f aca="false">IF(E503="","",IFERROR(INDEX(Catégories!$C$5:$C$60,MATCH(E503,Catégories!$A$5:$A$60,0)),"?"))</f>
        <v/>
      </c>
      <c r="J503" s="32" t="str">
        <f aca="false">IF(E503="","",IFERROR(INDEX(Catégories!$D$5:$D$60,MATCH(E503,Catégories!$A$5:$A$60,0)),"?"))</f>
        <v/>
      </c>
      <c r="K503" s="33" t="n">
        <f aca="false">IF(H503="Recette",G503,IF(H503="Dépense",-G503,0))</f>
        <v>0</v>
      </c>
      <c r="L503" s="33" t="n">
        <f aca="false">IF(E503="",0,G503*IFERROR(INDEX(Catégories!$E$5:$E$60,MATCH(E503,Catégories!$A$5:$A$60,0)),0))</f>
        <v>0</v>
      </c>
    </row>
    <row r="504" customFormat="false" ht="15" hidden="false" customHeight="true" outlineLevel="0" collapsed="false">
      <c r="A504" s="34"/>
      <c r="B504" s="29" t="str">
        <f aca="false">IF(A504="","",YEAR(A504))</f>
        <v/>
      </c>
      <c r="G504" s="35"/>
      <c r="H504" s="32" t="str">
        <f aca="false">IF(E504="","",IFERROR(INDEX(Catégories!$B$5:$B$60,MATCH(E504,Catégories!$A$5:$A$60,0)),"?"))</f>
        <v/>
      </c>
      <c r="I504" s="32" t="str">
        <f aca="false">IF(E504="","",IFERROR(INDEX(Catégories!$C$5:$C$60,MATCH(E504,Catégories!$A$5:$A$60,0)),"?"))</f>
        <v/>
      </c>
      <c r="J504" s="32" t="str">
        <f aca="false">IF(E504="","",IFERROR(INDEX(Catégories!$D$5:$D$60,MATCH(E504,Catégories!$A$5:$A$60,0)),"?"))</f>
        <v/>
      </c>
      <c r="K504" s="33" t="n">
        <f aca="false">IF(H504="Recette",G504,IF(H504="Dépense",-G504,0))</f>
        <v>0</v>
      </c>
      <c r="L504" s="33" t="n">
        <f aca="false">IF(E504="",0,G504*IFERROR(INDEX(Catégories!$E$5:$E$60,MATCH(E504,Catégories!$A$5:$A$60,0)),0))</f>
        <v>0</v>
      </c>
    </row>
    <row r="505" customFormat="false" ht="15" hidden="false" customHeight="true" outlineLevel="0" collapsed="false">
      <c r="A505" s="34"/>
      <c r="B505" s="29" t="str">
        <f aca="false">IF(A505="","",YEAR(A505))</f>
        <v/>
      </c>
      <c r="G505" s="35"/>
      <c r="H505" s="32" t="str">
        <f aca="false">IF(E505="","",IFERROR(INDEX(Catégories!$B$5:$B$60,MATCH(E505,Catégories!$A$5:$A$60,0)),"?"))</f>
        <v/>
      </c>
      <c r="I505" s="32" t="str">
        <f aca="false">IF(E505="","",IFERROR(INDEX(Catégories!$C$5:$C$60,MATCH(E505,Catégories!$A$5:$A$60,0)),"?"))</f>
        <v/>
      </c>
      <c r="J505" s="32" t="str">
        <f aca="false">IF(E505="","",IFERROR(INDEX(Catégories!$D$5:$D$60,MATCH(E505,Catégories!$A$5:$A$60,0)),"?"))</f>
        <v/>
      </c>
      <c r="K505" s="33" t="n">
        <f aca="false">IF(H505="Recette",G505,IF(H505="Dépense",-G505,0))</f>
        <v>0</v>
      </c>
      <c r="L505" s="33" t="n">
        <f aca="false">IF(E505="",0,G505*IFERROR(INDEX(Catégories!$E$5:$E$60,MATCH(E505,Catégories!$A$5:$A$60,0)),0))</f>
        <v>0</v>
      </c>
    </row>
    <row r="506" customFormat="false" ht="15" hidden="false" customHeight="true" outlineLevel="0" collapsed="false">
      <c r="A506" s="34"/>
      <c r="B506" s="29" t="str">
        <f aca="false">IF(A506="","",YEAR(A506))</f>
        <v/>
      </c>
      <c r="G506" s="35"/>
      <c r="H506" s="32" t="str">
        <f aca="false">IF(E506="","",IFERROR(INDEX(Catégories!$B$5:$B$60,MATCH(E506,Catégories!$A$5:$A$60,0)),"?"))</f>
        <v/>
      </c>
      <c r="I506" s="32" t="str">
        <f aca="false">IF(E506="","",IFERROR(INDEX(Catégories!$C$5:$C$60,MATCH(E506,Catégories!$A$5:$A$60,0)),"?"))</f>
        <v/>
      </c>
      <c r="J506" s="32" t="str">
        <f aca="false">IF(E506="","",IFERROR(INDEX(Catégories!$D$5:$D$60,MATCH(E506,Catégories!$A$5:$A$60,0)),"?"))</f>
        <v/>
      </c>
      <c r="K506" s="33" t="n">
        <f aca="false">IF(H506="Recette",G506,IF(H506="Dépense",-G506,0))</f>
        <v>0</v>
      </c>
      <c r="L506" s="33" t="n">
        <f aca="false">IF(E506="",0,G506*IFERROR(INDEX(Catégories!$E$5:$E$60,MATCH(E506,Catégories!$A$5:$A$60,0)),0))</f>
        <v>0</v>
      </c>
    </row>
    <row r="507" customFormat="false" ht="15" hidden="false" customHeight="true" outlineLevel="0" collapsed="false">
      <c r="A507" s="34"/>
      <c r="B507" s="29" t="str">
        <f aca="false">IF(A507="","",YEAR(A507))</f>
        <v/>
      </c>
      <c r="G507" s="35"/>
      <c r="H507" s="32" t="str">
        <f aca="false">IF(E507="","",IFERROR(INDEX(Catégories!$B$5:$B$60,MATCH(E507,Catégories!$A$5:$A$60,0)),"?"))</f>
        <v/>
      </c>
      <c r="I507" s="32" t="str">
        <f aca="false">IF(E507="","",IFERROR(INDEX(Catégories!$C$5:$C$60,MATCH(E507,Catégories!$A$5:$A$60,0)),"?"))</f>
        <v/>
      </c>
      <c r="J507" s="32" t="str">
        <f aca="false">IF(E507="","",IFERROR(INDEX(Catégories!$D$5:$D$60,MATCH(E507,Catégories!$A$5:$A$60,0)),"?"))</f>
        <v/>
      </c>
      <c r="K507" s="33" t="n">
        <f aca="false">IF(H507="Recette",G507,IF(H507="Dépense",-G507,0))</f>
        <v>0</v>
      </c>
      <c r="L507" s="33" t="n">
        <f aca="false">IF(E507="",0,G507*IFERROR(INDEX(Catégories!$E$5:$E$60,MATCH(E507,Catégories!$A$5:$A$60,0)),0))</f>
        <v>0</v>
      </c>
    </row>
    <row r="508" customFormat="false" ht="15" hidden="false" customHeight="true" outlineLevel="0" collapsed="false">
      <c r="A508" s="34"/>
      <c r="B508" s="29" t="str">
        <f aca="false">IF(A508="","",YEAR(A508))</f>
        <v/>
      </c>
      <c r="G508" s="35"/>
      <c r="H508" s="32" t="str">
        <f aca="false">IF(E508="","",IFERROR(INDEX(Catégories!$B$5:$B$60,MATCH(E508,Catégories!$A$5:$A$60,0)),"?"))</f>
        <v/>
      </c>
      <c r="I508" s="32" t="str">
        <f aca="false">IF(E508="","",IFERROR(INDEX(Catégories!$C$5:$C$60,MATCH(E508,Catégories!$A$5:$A$60,0)),"?"))</f>
        <v/>
      </c>
      <c r="J508" s="32" t="str">
        <f aca="false">IF(E508="","",IFERROR(INDEX(Catégories!$D$5:$D$60,MATCH(E508,Catégories!$A$5:$A$60,0)),"?"))</f>
        <v/>
      </c>
      <c r="K508" s="33" t="n">
        <f aca="false">IF(H508="Recette",G508,IF(H508="Dépense",-G508,0))</f>
        <v>0</v>
      </c>
      <c r="L508" s="33" t="n">
        <f aca="false">IF(E508="",0,G508*IFERROR(INDEX(Catégories!$E$5:$E$60,MATCH(E508,Catégories!$A$5:$A$60,0)),0))</f>
        <v>0</v>
      </c>
    </row>
    <row r="509" customFormat="false" ht="15" hidden="false" customHeight="true" outlineLevel="0" collapsed="false">
      <c r="A509" s="34"/>
      <c r="B509" s="29" t="str">
        <f aca="false">IF(A509="","",YEAR(A509))</f>
        <v/>
      </c>
      <c r="G509" s="35"/>
      <c r="H509" s="32" t="str">
        <f aca="false">IF(E509="","",IFERROR(INDEX(Catégories!$B$5:$B$60,MATCH(E509,Catégories!$A$5:$A$60,0)),"?"))</f>
        <v/>
      </c>
      <c r="I509" s="32" t="str">
        <f aca="false">IF(E509="","",IFERROR(INDEX(Catégories!$C$5:$C$60,MATCH(E509,Catégories!$A$5:$A$60,0)),"?"))</f>
        <v/>
      </c>
      <c r="J509" s="32" t="str">
        <f aca="false">IF(E509="","",IFERROR(INDEX(Catégories!$D$5:$D$60,MATCH(E509,Catégories!$A$5:$A$60,0)),"?"))</f>
        <v/>
      </c>
      <c r="K509" s="33" t="n">
        <f aca="false">IF(H509="Recette",G509,IF(H509="Dépense",-G509,0))</f>
        <v>0</v>
      </c>
      <c r="L509" s="33" t="n">
        <f aca="false">IF(E509="",0,G509*IFERROR(INDEX(Catégories!$E$5:$E$60,MATCH(E509,Catégories!$A$5:$A$60,0)),0))</f>
        <v>0</v>
      </c>
    </row>
    <row r="510" customFormat="false" ht="15" hidden="false" customHeight="true" outlineLevel="0" collapsed="false">
      <c r="A510" s="34"/>
      <c r="B510" s="29" t="str">
        <f aca="false">IF(A510="","",YEAR(A510))</f>
        <v/>
      </c>
      <c r="G510" s="35"/>
      <c r="H510" s="32" t="str">
        <f aca="false">IF(E510="","",IFERROR(INDEX(Catégories!$B$5:$B$60,MATCH(E510,Catégories!$A$5:$A$60,0)),"?"))</f>
        <v/>
      </c>
      <c r="I510" s="32" t="str">
        <f aca="false">IF(E510="","",IFERROR(INDEX(Catégories!$C$5:$C$60,MATCH(E510,Catégories!$A$5:$A$60,0)),"?"))</f>
        <v/>
      </c>
      <c r="J510" s="32" t="str">
        <f aca="false">IF(E510="","",IFERROR(INDEX(Catégories!$D$5:$D$60,MATCH(E510,Catégories!$A$5:$A$60,0)),"?"))</f>
        <v/>
      </c>
      <c r="K510" s="33" t="n">
        <f aca="false">IF(H510="Recette",G510,IF(H510="Dépense",-G510,0))</f>
        <v>0</v>
      </c>
      <c r="L510" s="33" t="n">
        <f aca="false">IF(E510="",0,G510*IFERROR(INDEX(Catégories!$E$5:$E$60,MATCH(E510,Catégories!$A$5:$A$60,0)),0))</f>
        <v>0</v>
      </c>
    </row>
    <row r="511" customFormat="false" ht="15" hidden="false" customHeight="true" outlineLevel="0" collapsed="false">
      <c r="A511" s="34"/>
      <c r="B511" s="29" t="str">
        <f aca="false">IF(A511="","",YEAR(A511))</f>
        <v/>
      </c>
      <c r="G511" s="35"/>
      <c r="H511" s="32" t="str">
        <f aca="false">IF(E511="","",IFERROR(INDEX(Catégories!$B$5:$B$60,MATCH(E511,Catégories!$A$5:$A$60,0)),"?"))</f>
        <v/>
      </c>
      <c r="I511" s="32" t="str">
        <f aca="false">IF(E511="","",IFERROR(INDEX(Catégories!$C$5:$C$60,MATCH(E511,Catégories!$A$5:$A$60,0)),"?"))</f>
        <v/>
      </c>
      <c r="J511" s="32" t="str">
        <f aca="false">IF(E511="","",IFERROR(INDEX(Catégories!$D$5:$D$60,MATCH(E511,Catégories!$A$5:$A$60,0)),"?"))</f>
        <v/>
      </c>
      <c r="K511" s="33" t="n">
        <f aca="false">IF(H511="Recette",G511,IF(H511="Dépense",-G511,0))</f>
        <v>0</v>
      </c>
      <c r="L511" s="33" t="n">
        <f aca="false">IF(E511="",0,G511*IFERROR(INDEX(Catégories!$E$5:$E$60,MATCH(E511,Catégories!$A$5:$A$60,0)),0))</f>
        <v>0</v>
      </c>
    </row>
    <row r="512" customFormat="false" ht="15" hidden="false" customHeight="true" outlineLevel="0" collapsed="false">
      <c r="A512" s="34"/>
      <c r="B512" s="29" t="str">
        <f aca="false">IF(A512="","",YEAR(A512))</f>
        <v/>
      </c>
      <c r="G512" s="35"/>
      <c r="H512" s="32" t="str">
        <f aca="false">IF(E512="","",IFERROR(INDEX(Catégories!$B$5:$B$60,MATCH(E512,Catégories!$A$5:$A$60,0)),"?"))</f>
        <v/>
      </c>
      <c r="I512" s="32" t="str">
        <f aca="false">IF(E512="","",IFERROR(INDEX(Catégories!$C$5:$C$60,MATCH(E512,Catégories!$A$5:$A$60,0)),"?"))</f>
        <v/>
      </c>
      <c r="J512" s="32" t="str">
        <f aca="false">IF(E512="","",IFERROR(INDEX(Catégories!$D$5:$D$60,MATCH(E512,Catégories!$A$5:$A$60,0)),"?"))</f>
        <v/>
      </c>
      <c r="K512" s="33" t="n">
        <f aca="false">IF(H512="Recette",G512,IF(H512="Dépense",-G512,0))</f>
        <v>0</v>
      </c>
      <c r="L512" s="33" t="n">
        <f aca="false">IF(E512="",0,G512*IFERROR(INDEX(Catégories!$E$5:$E$60,MATCH(E512,Catégories!$A$5:$A$60,0)),0))</f>
        <v>0</v>
      </c>
    </row>
    <row r="513" customFormat="false" ht="15" hidden="false" customHeight="true" outlineLevel="0" collapsed="false">
      <c r="A513" s="34"/>
      <c r="B513" s="29" t="str">
        <f aca="false">IF(A513="","",YEAR(A513))</f>
        <v/>
      </c>
      <c r="G513" s="35"/>
      <c r="H513" s="32" t="str">
        <f aca="false">IF(E513="","",IFERROR(INDEX(Catégories!$B$5:$B$60,MATCH(E513,Catégories!$A$5:$A$60,0)),"?"))</f>
        <v/>
      </c>
      <c r="I513" s="32" t="str">
        <f aca="false">IF(E513="","",IFERROR(INDEX(Catégories!$C$5:$C$60,MATCH(E513,Catégories!$A$5:$A$60,0)),"?"))</f>
        <v/>
      </c>
      <c r="J513" s="32" t="str">
        <f aca="false">IF(E513="","",IFERROR(INDEX(Catégories!$D$5:$D$60,MATCH(E513,Catégories!$A$5:$A$60,0)),"?"))</f>
        <v/>
      </c>
      <c r="K513" s="33" t="n">
        <f aca="false">IF(H513="Recette",G513,IF(H513="Dépense",-G513,0))</f>
        <v>0</v>
      </c>
      <c r="L513" s="33" t="n">
        <f aca="false">IF(E513="",0,G513*IFERROR(INDEX(Catégories!$E$5:$E$60,MATCH(E513,Catégories!$A$5:$A$60,0)),0))</f>
        <v>0</v>
      </c>
    </row>
    <row r="514" customFormat="false" ht="15" hidden="false" customHeight="true" outlineLevel="0" collapsed="false">
      <c r="A514" s="34"/>
      <c r="B514" s="29" t="str">
        <f aca="false">IF(A514="","",YEAR(A514))</f>
        <v/>
      </c>
      <c r="G514" s="35"/>
      <c r="H514" s="32" t="str">
        <f aca="false">IF(E514="","",IFERROR(INDEX(Catégories!$B$5:$B$60,MATCH(E514,Catégories!$A$5:$A$60,0)),"?"))</f>
        <v/>
      </c>
      <c r="I514" s="32" t="str">
        <f aca="false">IF(E514="","",IFERROR(INDEX(Catégories!$C$5:$C$60,MATCH(E514,Catégories!$A$5:$A$60,0)),"?"))</f>
        <v/>
      </c>
      <c r="J514" s="32" t="str">
        <f aca="false">IF(E514="","",IFERROR(INDEX(Catégories!$D$5:$D$60,MATCH(E514,Catégories!$A$5:$A$60,0)),"?"))</f>
        <v/>
      </c>
      <c r="K514" s="33" t="n">
        <f aca="false">IF(H514="Recette",G514,IF(H514="Dépense",-G514,0))</f>
        <v>0</v>
      </c>
      <c r="L514" s="33" t="n">
        <f aca="false">IF(E514="",0,G514*IFERROR(INDEX(Catégories!$E$5:$E$60,MATCH(E514,Catégories!$A$5:$A$60,0)),0))</f>
        <v>0</v>
      </c>
    </row>
    <row r="515" customFormat="false" ht="15" hidden="false" customHeight="true" outlineLevel="0" collapsed="false">
      <c r="A515" s="34"/>
      <c r="B515" s="29" t="str">
        <f aca="false">IF(A515="","",YEAR(A515))</f>
        <v/>
      </c>
      <c r="G515" s="35"/>
      <c r="H515" s="32" t="str">
        <f aca="false">IF(E515="","",IFERROR(INDEX(Catégories!$B$5:$B$60,MATCH(E515,Catégories!$A$5:$A$60,0)),"?"))</f>
        <v/>
      </c>
      <c r="I515" s="32" t="str">
        <f aca="false">IF(E515="","",IFERROR(INDEX(Catégories!$C$5:$C$60,MATCH(E515,Catégories!$A$5:$A$60,0)),"?"))</f>
        <v/>
      </c>
      <c r="J515" s="32" t="str">
        <f aca="false">IF(E515="","",IFERROR(INDEX(Catégories!$D$5:$D$60,MATCH(E515,Catégories!$A$5:$A$60,0)),"?"))</f>
        <v/>
      </c>
      <c r="K515" s="33" t="n">
        <f aca="false">IF(H515="Recette",G515,IF(H515="Dépense",-G515,0))</f>
        <v>0</v>
      </c>
      <c r="L515" s="33" t="n">
        <f aca="false">IF(E515="",0,G515*IFERROR(INDEX(Catégories!$E$5:$E$60,MATCH(E515,Catégories!$A$5:$A$60,0)),0))</f>
        <v>0</v>
      </c>
    </row>
    <row r="516" customFormat="false" ht="15" hidden="false" customHeight="true" outlineLevel="0" collapsed="false">
      <c r="A516" s="34"/>
      <c r="B516" s="29" t="str">
        <f aca="false">IF(A516="","",YEAR(A516))</f>
        <v/>
      </c>
      <c r="G516" s="35"/>
      <c r="H516" s="32" t="str">
        <f aca="false">IF(E516="","",IFERROR(INDEX(Catégories!$B$5:$B$60,MATCH(E516,Catégories!$A$5:$A$60,0)),"?"))</f>
        <v/>
      </c>
      <c r="I516" s="32" t="str">
        <f aca="false">IF(E516="","",IFERROR(INDEX(Catégories!$C$5:$C$60,MATCH(E516,Catégories!$A$5:$A$60,0)),"?"))</f>
        <v/>
      </c>
      <c r="J516" s="32" t="str">
        <f aca="false">IF(E516="","",IFERROR(INDEX(Catégories!$D$5:$D$60,MATCH(E516,Catégories!$A$5:$A$60,0)),"?"))</f>
        <v/>
      </c>
      <c r="K516" s="33" t="n">
        <f aca="false">IF(H516="Recette",G516,IF(H516="Dépense",-G516,0))</f>
        <v>0</v>
      </c>
      <c r="L516" s="33" t="n">
        <f aca="false">IF(E516="",0,G516*IFERROR(INDEX(Catégories!$E$5:$E$60,MATCH(E516,Catégories!$A$5:$A$60,0)),0))</f>
        <v>0</v>
      </c>
    </row>
    <row r="517" customFormat="false" ht="15" hidden="false" customHeight="true" outlineLevel="0" collapsed="false">
      <c r="A517" s="34"/>
      <c r="B517" s="29" t="str">
        <f aca="false">IF(A517="","",YEAR(A517))</f>
        <v/>
      </c>
      <c r="G517" s="35"/>
      <c r="H517" s="32" t="str">
        <f aca="false">IF(E517="","",IFERROR(INDEX(Catégories!$B$5:$B$60,MATCH(E517,Catégories!$A$5:$A$60,0)),"?"))</f>
        <v/>
      </c>
      <c r="I517" s="32" t="str">
        <f aca="false">IF(E517="","",IFERROR(INDEX(Catégories!$C$5:$C$60,MATCH(E517,Catégories!$A$5:$A$60,0)),"?"))</f>
        <v/>
      </c>
      <c r="J517" s="32" t="str">
        <f aca="false">IF(E517="","",IFERROR(INDEX(Catégories!$D$5:$D$60,MATCH(E517,Catégories!$A$5:$A$60,0)),"?"))</f>
        <v/>
      </c>
      <c r="K517" s="33" t="n">
        <f aca="false">IF(H517="Recette",G517,IF(H517="Dépense",-G517,0))</f>
        <v>0</v>
      </c>
      <c r="L517" s="33" t="n">
        <f aca="false">IF(E517="",0,G517*IFERROR(INDEX(Catégories!$E$5:$E$60,MATCH(E517,Catégories!$A$5:$A$60,0)),0))</f>
        <v>0</v>
      </c>
    </row>
    <row r="518" customFormat="false" ht="15" hidden="false" customHeight="true" outlineLevel="0" collapsed="false">
      <c r="A518" s="34"/>
      <c r="B518" s="29" t="str">
        <f aca="false">IF(A518="","",YEAR(A518))</f>
        <v/>
      </c>
      <c r="G518" s="35"/>
      <c r="H518" s="32" t="str">
        <f aca="false">IF(E518="","",IFERROR(INDEX(Catégories!$B$5:$B$60,MATCH(E518,Catégories!$A$5:$A$60,0)),"?"))</f>
        <v/>
      </c>
      <c r="I518" s="32" t="str">
        <f aca="false">IF(E518="","",IFERROR(INDEX(Catégories!$C$5:$C$60,MATCH(E518,Catégories!$A$5:$A$60,0)),"?"))</f>
        <v/>
      </c>
      <c r="J518" s="32" t="str">
        <f aca="false">IF(E518="","",IFERROR(INDEX(Catégories!$D$5:$D$60,MATCH(E518,Catégories!$A$5:$A$60,0)),"?"))</f>
        <v/>
      </c>
      <c r="K518" s="33" t="n">
        <f aca="false">IF(H518="Recette",G518,IF(H518="Dépense",-G518,0))</f>
        <v>0</v>
      </c>
      <c r="L518" s="33" t="n">
        <f aca="false">IF(E518="",0,G518*IFERROR(INDEX(Catégories!$E$5:$E$60,MATCH(E518,Catégories!$A$5:$A$60,0)),0))</f>
        <v>0</v>
      </c>
    </row>
    <row r="519" customFormat="false" ht="15" hidden="false" customHeight="true" outlineLevel="0" collapsed="false">
      <c r="A519" s="34"/>
      <c r="B519" s="29" t="str">
        <f aca="false">IF(A519="","",YEAR(A519))</f>
        <v/>
      </c>
      <c r="G519" s="35"/>
      <c r="H519" s="32" t="str">
        <f aca="false">IF(E519="","",IFERROR(INDEX(Catégories!$B$5:$B$60,MATCH(E519,Catégories!$A$5:$A$60,0)),"?"))</f>
        <v/>
      </c>
      <c r="I519" s="32" t="str">
        <f aca="false">IF(E519="","",IFERROR(INDEX(Catégories!$C$5:$C$60,MATCH(E519,Catégories!$A$5:$A$60,0)),"?"))</f>
        <v/>
      </c>
      <c r="J519" s="32" t="str">
        <f aca="false">IF(E519="","",IFERROR(INDEX(Catégories!$D$5:$D$60,MATCH(E519,Catégories!$A$5:$A$60,0)),"?"))</f>
        <v/>
      </c>
      <c r="K519" s="33" t="n">
        <f aca="false">IF(H519="Recette",G519,IF(H519="Dépense",-G519,0))</f>
        <v>0</v>
      </c>
      <c r="L519" s="33" t="n">
        <f aca="false">IF(E519="",0,G519*IFERROR(INDEX(Catégories!$E$5:$E$60,MATCH(E519,Catégories!$A$5:$A$60,0)),0))</f>
        <v>0</v>
      </c>
    </row>
    <row r="520" customFormat="false" ht="15" hidden="false" customHeight="true" outlineLevel="0" collapsed="false">
      <c r="A520" s="34"/>
      <c r="B520" s="29" t="str">
        <f aca="false">IF(A520="","",YEAR(A520))</f>
        <v/>
      </c>
      <c r="G520" s="35"/>
      <c r="H520" s="32" t="str">
        <f aca="false">IF(E520="","",IFERROR(INDEX(Catégories!$B$5:$B$60,MATCH(E520,Catégories!$A$5:$A$60,0)),"?"))</f>
        <v/>
      </c>
      <c r="I520" s="32" t="str">
        <f aca="false">IF(E520="","",IFERROR(INDEX(Catégories!$C$5:$C$60,MATCH(E520,Catégories!$A$5:$A$60,0)),"?"))</f>
        <v/>
      </c>
      <c r="J520" s="32" t="str">
        <f aca="false">IF(E520="","",IFERROR(INDEX(Catégories!$D$5:$D$60,MATCH(E520,Catégories!$A$5:$A$60,0)),"?"))</f>
        <v/>
      </c>
      <c r="K520" s="33" t="n">
        <f aca="false">IF(H520="Recette",G520,IF(H520="Dépense",-G520,0))</f>
        <v>0</v>
      </c>
      <c r="L520" s="33" t="n">
        <f aca="false">IF(E520="",0,G520*IFERROR(INDEX(Catégories!$E$5:$E$60,MATCH(E520,Catégories!$A$5:$A$60,0)),0))</f>
        <v>0</v>
      </c>
    </row>
    <row r="521" customFormat="false" ht="15" hidden="false" customHeight="true" outlineLevel="0" collapsed="false">
      <c r="A521" s="34"/>
      <c r="B521" s="29" t="str">
        <f aca="false">IF(A521="","",YEAR(A521))</f>
        <v/>
      </c>
      <c r="G521" s="35"/>
      <c r="H521" s="32" t="str">
        <f aca="false">IF(E521="","",IFERROR(INDEX(Catégories!$B$5:$B$60,MATCH(E521,Catégories!$A$5:$A$60,0)),"?"))</f>
        <v/>
      </c>
      <c r="I521" s="32" t="str">
        <f aca="false">IF(E521="","",IFERROR(INDEX(Catégories!$C$5:$C$60,MATCH(E521,Catégories!$A$5:$A$60,0)),"?"))</f>
        <v/>
      </c>
      <c r="J521" s="32" t="str">
        <f aca="false">IF(E521="","",IFERROR(INDEX(Catégories!$D$5:$D$60,MATCH(E521,Catégories!$A$5:$A$60,0)),"?"))</f>
        <v/>
      </c>
      <c r="K521" s="33" t="n">
        <f aca="false">IF(H521="Recette",G521,IF(H521="Dépense",-G521,0))</f>
        <v>0</v>
      </c>
      <c r="L521" s="33" t="n">
        <f aca="false">IF(E521="",0,G521*IFERROR(INDEX(Catégories!$E$5:$E$60,MATCH(E521,Catégories!$A$5:$A$60,0)),0))</f>
        <v>0</v>
      </c>
    </row>
    <row r="522" customFormat="false" ht="15" hidden="false" customHeight="true" outlineLevel="0" collapsed="false">
      <c r="A522" s="34"/>
      <c r="B522" s="29" t="str">
        <f aca="false">IF(A522="","",YEAR(A522))</f>
        <v/>
      </c>
      <c r="G522" s="35"/>
      <c r="H522" s="32" t="str">
        <f aca="false">IF(E522="","",IFERROR(INDEX(Catégories!$B$5:$B$60,MATCH(E522,Catégories!$A$5:$A$60,0)),"?"))</f>
        <v/>
      </c>
      <c r="I522" s="32" t="str">
        <f aca="false">IF(E522="","",IFERROR(INDEX(Catégories!$C$5:$C$60,MATCH(E522,Catégories!$A$5:$A$60,0)),"?"))</f>
        <v/>
      </c>
      <c r="J522" s="32" t="str">
        <f aca="false">IF(E522="","",IFERROR(INDEX(Catégories!$D$5:$D$60,MATCH(E522,Catégories!$A$5:$A$60,0)),"?"))</f>
        <v/>
      </c>
      <c r="K522" s="33" t="n">
        <f aca="false">IF(H522="Recette",G522,IF(H522="Dépense",-G522,0))</f>
        <v>0</v>
      </c>
      <c r="L522" s="33" t="n">
        <f aca="false">IF(E522="",0,G522*IFERROR(INDEX(Catégories!$E$5:$E$60,MATCH(E522,Catégories!$A$5:$A$60,0)),0))</f>
        <v>0</v>
      </c>
    </row>
    <row r="523" customFormat="false" ht="15" hidden="false" customHeight="true" outlineLevel="0" collapsed="false">
      <c r="A523" s="34"/>
      <c r="B523" s="29" t="str">
        <f aca="false">IF(A523="","",YEAR(A523))</f>
        <v/>
      </c>
      <c r="G523" s="35"/>
      <c r="H523" s="32" t="str">
        <f aca="false">IF(E523="","",IFERROR(INDEX(Catégories!$B$5:$B$60,MATCH(E523,Catégories!$A$5:$A$60,0)),"?"))</f>
        <v/>
      </c>
      <c r="I523" s="32" t="str">
        <f aca="false">IF(E523="","",IFERROR(INDEX(Catégories!$C$5:$C$60,MATCH(E523,Catégories!$A$5:$A$60,0)),"?"))</f>
        <v/>
      </c>
      <c r="J523" s="32" t="str">
        <f aca="false">IF(E523="","",IFERROR(INDEX(Catégories!$D$5:$D$60,MATCH(E523,Catégories!$A$5:$A$60,0)),"?"))</f>
        <v/>
      </c>
      <c r="K523" s="33" t="n">
        <f aca="false">IF(H523="Recette",G523,IF(H523="Dépense",-G523,0))</f>
        <v>0</v>
      </c>
      <c r="L523" s="33" t="n">
        <f aca="false">IF(E523="",0,G523*IFERROR(INDEX(Catégories!$E$5:$E$60,MATCH(E523,Catégories!$A$5:$A$60,0)),0))</f>
        <v>0</v>
      </c>
    </row>
    <row r="524" customFormat="false" ht="15" hidden="false" customHeight="true" outlineLevel="0" collapsed="false">
      <c r="A524" s="34"/>
      <c r="B524" s="29" t="str">
        <f aca="false">IF(A524="","",YEAR(A524))</f>
        <v/>
      </c>
      <c r="G524" s="35"/>
      <c r="H524" s="32" t="str">
        <f aca="false">IF(E524="","",IFERROR(INDEX(Catégories!$B$5:$B$60,MATCH(E524,Catégories!$A$5:$A$60,0)),"?"))</f>
        <v/>
      </c>
      <c r="I524" s="32" t="str">
        <f aca="false">IF(E524="","",IFERROR(INDEX(Catégories!$C$5:$C$60,MATCH(E524,Catégories!$A$5:$A$60,0)),"?"))</f>
        <v/>
      </c>
      <c r="J524" s="32" t="str">
        <f aca="false">IF(E524="","",IFERROR(INDEX(Catégories!$D$5:$D$60,MATCH(E524,Catégories!$A$5:$A$60,0)),"?"))</f>
        <v/>
      </c>
      <c r="K524" s="33" t="n">
        <f aca="false">IF(H524="Recette",G524,IF(H524="Dépense",-G524,0))</f>
        <v>0</v>
      </c>
      <c r="L524" s="33" t="n">
        <f aca="false">IF(E524="",0,G524*IFERROR(INDEX(Catégories!$E$5:$E$60,MATCH(E524,Catégories!$A$5:$A$60,0)),0))</f>
        <v>0</v>
      </c>
    </row>
    <row r="525" customFormat="false" ht="15" hidden="false" customHeight="true" outlineLevel="0" collapsed="false">
      <c r="A525" s="34"/>
      <c r="B525" s="29" t="str">
        <f aca="false">IF(A525="","",YEAR(A525))</f>
        <v/>
      </c>
      <c r="G525" s="35"/>
      <c r="H525" s="32" t="str">
        <f aca="false">IF(E525="","",IFERROR(INDEX(Catégories!$B$5:$B$60,MATCH(E525,Catégories!$A$5:$A$60,0)),"?"))</f>
        <v/>
      </c>
      <c r="I525" s="32" t="str">
        <f aca="false">IF(E525="","",IFERROR(INDEX(Catégories!$C$5:$C$60,MATCH(E525,Catégories!$A$5:$A$60,0)),"?"))</f>
        <v/>
      </c>
      <c r="J525" s="32" t="str">
        <f aca="false">IF(E525="","",IFERROR(INDEX(Catégories!$D$5:$D$60,MATCH(E525,Catégories!$A$5:$A$60,0)),"?"))</f>
        <v/>
      </c>
      <c r="K525" s="33" t="n">
        <f aca="false">IF(H525="Recette",G525,IF(H525="Dépense",-G525,0))</f>
        <v>0</v>
      </c>
      <c r="L525" s="33" t="n">
        <f aca="false">IF(E525="",0,G525*IFERROR(INDEX(Catégories!$E$5:$E$60,MATCH(E525,Catégories!$A$5:$A$60,0)),0))</f>
        <v>0</v>
      </c>
    </row>
    <row r="526" customFormat="false" ht="15" hidden="false" customHeight="true" outlineLevel="0" collapsed="false">
      <c r="A526" s="34"/>
      <c r="B526" s="29" t="str">
        <f aca="false">IF(A526="","",YEAR(A526))</f>
        <v/>
      </c>
      <c r="G526" s="35"/>
      <c r="H526" s="32" t="str">
        <f aca="false">IF(E526="","",IFERROR(INDEX(Catégories!$B$5:$B$60,MATCH(E526,Catégories!$A$5:$A$60,0)),"?"))</f>
        <v/>
      </c>
      <c r="I526" s="32" t="str">
        <f aca="false">IF(E526="","",IFERROR(INDEX(Catégories!$C$5:$C$60,MATCH(E526,Catégories!$A$5:$A$60,0)),"?"))</f>
        <v/>
      </c>
      <c r="J526" s="32" t="str">
        <f aca="false">IF(E526="","",IFERROR(INDEX(Catégories!$D$5:$D$60,MATCH(E526,Catégories!$A$5:$A$60,0)),"?"))</f>
        <v/>
      </c>
      <c r="K526" s="33" t="n">
        <f aca="false">IF(H526="Recette",G526,IF(H526="Dépense",-G526,0))</f>
        <v>0</v>
      </c>
      <c r="L526" s="33" t="n">
        <f aca="false">IF(E526="",0,G526*IFERROR(INDEX(Catégories!$E$5:$E$60,MATCH(E526,Catégories!$A$5:$A$60,0)),0))</f>
        <v>0</v>
      </c>
    </row>
    <row r="527" customFormat="false" ht="15" hidden="false" customHeight="true" outlineLevel="0" collapsed="false">
      <c r="A527" s="34"/>
      <c r="B527" s="29" t="str">
        <f aca="false">IF(A527="","",YEAR(A527))</f>
        <v/>
      </c>
      <c r="G527" s="35"/>
      <c r="H527" s="32" t="str">
        <f aca="false">IF(E527="","",IFERROR(INDEX(Catégories!$B$5:$B$60,MATCH(E527,Catégories!$A$5:$A$60,0)),"?"))</f>
        <v/>
      </c>
      <c r="I527" s="32" t="str">
        <f aca="false">IF(E527="","",IFERROR(INDEX(Catégories!$C$5:$C$60,MATCH(E527,Catégories!$A$5:$A$60,0)),"?"))</f>
        <v/>
      </c>
      <c r="J527" s="32" t="str">
        <f aca="false">IF(E527="","",IFERROR(INDEX(Catégories!$D$5:$D$60,MATCH(E527,Catégories!$A$5:$A$60,0)),"?"))</f>
        <v/>
      </c>
      <c r="K527" s="33" t="n">
        <f aca="false">IF(H527="Recette",G527,IF(H527="Dépense",-G527,0))</f>
        <v>0</v>
      </c>
      <c r="L527" s="33" t="n">
        <f aca="false">IF(E527="",0,G527*IFERROR(INDEX(Catégories!$E$5:$E$60,MATCH(E527,Catégories!$A$5:$A$60,0)),0))</f>
        <v>0</v>
      </c>
    </row>
    <row r="528" customFormat="false" ht="15" hidden="false" customHeight="true" outlineLevel="0" collapsed="false">
      <c r="A528" s="34"/>
      <c r="B528" s="29" t="str">
        <f aca="false">IF(A528="","",YEAR(A528))</f>
        <v/>
      </c>
      <c r="G528" s="35"/>
      <c r="H528" s="32" t="str">
        <f aca="false">IF(E528="","",IFERROR(INDEX(Catégories!$B$5:$B$60,MATCH(E528,Catégories!$A$5:$A$60,0)),"?"))</f>
        <v/>
      </c>
      <c r="I528" s="32" t="str">
        <f aca="false">IF(E528="","",IFERROR(INDEX(Catégories!$C$5:$C$60,MATCH(E528,Catégories!$A$5:$A$60,0)),"?"))</f>
        <v/>
      </c>
      <c r="J528" s="32" t="str">
        <f aca="false">IF(E528="","",IFERROR(INDEX(Catégories!$D$5:$D$60,MATCH(E528,Catégories!$A$5:$A$60,0)),"?"))</f>
        <v/>
      </c>
      <c r="K528" s="33" t="n">
        <f aca="false">IF(H528="Recette",G528,IF(H528="Dépense",-G528,0))</f>
        <v>0</v>
      </c>
      <c r="L528" s="33" t="n">
        <f aca="false">IF(E528="",0,G528*IFERROR(INDEX(Catégories!$E$5:$E$60,MATCH(E528,Catégories!$A$5:$A$60,0)),0))</f>
        <v>0</v>
      </c>
    </row>
    <row r="529" customFormat="false" ht="15" hidden="false" customHeight="true" outlineLevel="0" collapsed="false">
      <c r="A529" s="34"/>
      <c r="B529" s="29" t="str">
        <f aca="false">IF(A529="","",YEAR(A529))</f>
        <v/>
      </c>
      <c r="G529" s="35"/>
      <c r="H529" s="32" t="str">
        <f aca="false">IF(E529="","",IFERROR(INDEX(Catégories!$B$5:$B$60,MATCH(E529,Catégories!$A$5:$A$60,0)),"?"))</f>
        <v/>
      </c>
      <c r="I529" s="32" t="str">
        <f aca="false">IF(E529="","",IFERROR(INDEX(Catégories!$C$5:$C$60,MATCH(E529,Catégories!$A$5:$A$60,0)),"?"))</f>
        <v/>
      </c>
      <c r="J529" s="32" t="str">
        <f aca="false">IF(E529="","",IFERROR(INDEX(Catégories!$D$5:$D$60,MATCH(E529,Catégories!$A$5:$A$60,0)),"?"))</f>
        <v/>
      </c>
      <c r="K529" s="33" t="n">
        <f aca="false">IF(H529="Recette",G529,IF(H529="Dépense",-G529,0))</f>
        <v>0</v>
      </c>
      <c r="L529" s="33" t="n">
        <f aca="false">IF(E529="",0,G529*IFERROR(INDEX(Catégories!$E$5:$E$60,MATCH(E529,Catégories!$A$5:$A$60,0)),0))</f>
        <v>0</v>
      </c>
    </row>
    <row r="530" customFormat="false" ht="15" hidden="false" customHeight="true" outlineLevel="0" collapsed="false">
      <c r="A530" s="34"/>
      <c r="B530" s="29" t="str">
        <f aca="false">IF(A530="","",YEAR(A530))</f>
        <v/>
      </c>
      <c r="G530" s="35"/>
      <c r="H530" s="32" t="str">
        <f aca="false">IF(E530="","",IFERROR(INDEX(Catégories!$B$5:$B$60,MATCH(E530,Catégories!$A$5:$A$60,0)),"?"))</f>
        <v/>
      </c>
      <c r="I530" s="32" t="str">
        <f aca="false">IF(E530="","",IFERROR(INDEX(Catégories!$C$5:$C$60,MATCH(E530,Catégories!$A$5:$A$60,0)),"?"))</f>
        <v/>
      </c>
      <c r="J530" s="32" t="str">
        <f aca="false">IF(E530="","",IFERROR(INDEX(Catégories!$D$5:$D$60,MATCH(E530,Catégories!$A$5:$A$60,0)),"?"))</f>
        <v/>
      </c>
      <c r="K530" s="33" t="n">
        <f aca="false">IF(H530="Recette",G530,IF(H530="Dépense",-G530,0))</f>
        <v>0</v>
      </c>
      <c r="L530" s="33" t="n">
        <f aca="false">IF(E530="",0,G530*IFERROR(INDEX(Catégories!$E$5:$E$60,MATCH(E530,Catégories!$A$5:$A$60,0)),0))</f>
        <v>0</v>
      </c>
    </row>
    <row r="531" customFormat="false" ht="15" hidden="false" customHeight="true" outlineLevel="0" collapsed="false">
      <c r="A531" s="34"/>
      <c r="B531" s="29" t="str">
        <f aca="false">IF(A531="","",YEAR(A531))</f>
        <v/>
      </c>
      <c r="G531" s="35"/>
      <c r="H531" s="32" t="str">
        <f aca="false">IF(E531="","",IFERROR(INDEX(Catégories!$B$5:$B$60,MATCH(E531,Catégories!$A$5:$A$60,0)),"?"))</f>
        <v/>
      </c>
      <c r="I531" s="32" t="str">
        <f aca="false">IF(E531="","",IFERROR(INDEX(Catégories!$C$5:$C$60,MATCH(E531,Catégories!$A$5:$A$60,0)),"?"))</f>
        <v/>
      </c>
      <c r="J531" s="32" t="str">
        <f aca="false">IF(E531="","",IFERROR(INDEX(Catégories!$D$5:$D$60,MATCH(E531,Catégories!$A$5:$A$60,0)),"?"))</f>
        <v/>
      </c>
      <c r="K531" s="33" t="n">
        <f aca="false">IF(H531="Recette",G531,IF(H531="Dépense",-G531,0))</f>
        <v>0</v>
      </c>
      <c r="L531" s="33" t="n">
        <f aca="false">IF(E531="",0,G531*IFERROR(INDEX(Catégories!$E$5:$E$60,MATCH(E531,Catégories!$A$5:$A$60,0)),0))</f>
        <v>0</v>
      </c>
    </row>
    <row r="532" customFormat="false" ht="15" hidden="false" customHeight="true" outlineLevel="0" collapsed="false">
      <c r="A532" s="34"/>
      <c r="B532" s="29" t="str">
        <f aca="false">IF(A532="","",YEAR(A532))</f>
        <v/>
      </c>
      <c r="G532" s="35"/>
      <c r="H532" s="32" t="str">
        <f aca="false">IF(E532="","",IFERROR(INDEX(Catégories!$B$5:$B$60,MATCH(E532,Catégories!$A$5:$A$60,0)),"?"))</f>
        <v/>
      </c>
      <c r="I532" s="32" t="str">
        <f aca="false">IF(E532="","",IFERROR(INDEX(Catégories!$C$5:$C$60,MATCH(E532,Catégories!$A$5:$A$60,0)),"?"))</f>
        <v/>
      </c>
      <c r="J532" s="32" t="str">
        <f aca="false">IF(E532="","",IFERROR(INDEX(Catégories!$D$5:$D$60,MATCH(E532,Catégories!$A$5:$A$60,0)),"?"))</f>
        <v/>
      </c>
      <c r="K532" s="33" t="n">
        <f aca="false">IF(H532="Recette",G532,IF(H532="Dépense",-G532,0))</f>
        <v>0</v>
      </c>
      <c r="L532" s="33" t="n">
        <f aca="false">IF(E532="",0,G532*IFERROR(INDEX(Catégories!$E$5:$E$60,MATCH(E532,Catégories!$A$5:$A$60,0)),0))</f>
        <v>0</v>
      </c>
    </row>
    <row r="533" customFormat="false" ht="15" hidden="false" customHeight="true" outlineLevel="0" collapsed="false">
      <c r="A533" s="34"/>
      <c r="B533" s="29" t="str">
        <f aca="false">IF(A533="","",YEAR(A533))</f>
        <v/>
      </c>
      <c r="G533" s="35"/>
      <c r="H533" s="32" t="str">
        <f aca="false">IF(E533="","",IFERROR(INDEX(Catégories!$B$5:$B$60,MATCH(E533,Catégories!$A$5:$A$60,0)),"?"))</f>
        <v/>
      </c>
      <c r="I533" s="32" t="str">
        <f aca="false">IF(E533="","",IFERROR(INDEX(Catégories!$C$5:$C$60,MATCH(E533,Catégories!$A$5:$A$60,0)),"?"))</f>
        <v/>
      </c>
      <c r="J533" s="32" t="str">
        <f aca="false">IF(E533="","",IFERROR(INDEX(Catégories!$D$5:$D$60,MATCH(E533,Catégories!$A$5:$A$60,0)),"?"))</f>
        <v/>
      </c>
      <c r="K533" s="33" t="n">
        <f aca="false">IF(H533="Recette",G533,IF(H533="Dépense",-G533,0))</f>
        <v>0</v>
      </c>
      <c r="L533" s="33" t="n">
        <f aca="false">IF(E533="",0,G533*IFERROR(INDEX(Catégories!$E$5:$E$60,MATCH(E533,Catégories!$A$5:$A$60,0)),0))</f>
        <v>0</v>
      </c>
    </row>
    <row r="534" customFormat="false" ht="15" hidden="false" customHeight="true" outlineLevel="0" collapsed="false">
      <c r="A534" s="34"/>
      <c r="B534" s="29" t="str">
        <f aca="false">IF(A534="","",YEAR(A534))</f>
        <v/>
      </c>
      <c r="G534" s="35"/>
      <c r="H534" s="32" t="str">
        <f aca="false">IF(E534="","",IFERROR(INDEX(Catégories!$B$5:$B$60,MATCH(E534,Catégories!$A$5:$A$60,0)),"?"))</f>
        <v/>
      </c>
      <c r="I534" s="32" t="str">
        <f aca="false">IF(E534="","",IFERROR(INDEX(Catégories!$C$5:$C$60,MATCH(E534,Catégories!$A$5:$A$60,0)),"?"))</f>
        <v/>
      </c>
      <c r="J534" s="32" t="str">
        <f aca="false">IF(E534="","",IFERROR(INDEX(Catégories!$D$5:$D$60,MATCH(E534,Catégories!$A$5:$A$60,0)),"?"))</f>
        <v/>
      </c>
      <c r="K534" s="33" t="n">
        <f aca="false">IF(H534="Recette",G534,IF(H534="Dépense",-G534,0))</f>
        <v>0</v>
      </c>
      <c r="L534" s="33" t="n">
        <f aca="false">IF(E534="",0,G534*IFERROR(INDEX(Catégories!$E$5:$E$60,MATCH(E534,Catégories!$A$5:$A$60,0)),0))</f>
        <v>0</v>
      </c>
    </row>
    <row r="535" customFormat="false" ht="15" hidden="false" customHeight="true" outlineLevel="0" collapsed="false">
      <c r="A535" s="34"/>
      <c r="B535" s="29" t="str">
        <f aca="false">IF(A535="","",YEAR(A535))</f>
        <v/>
      </c>
      <c r="G535" s="35"/>
      <c r="H535" s="32" t="str">
        <f aca="false">IF(E535="","",IFERROR(INDEX(Catégories!$B$5:$B$60,MATCH(E535,Catégories!$A$5:$A$60,0)),"?"))</f>
        <v/>
      </c>
      <c r="I535" s="32" t="str">
        <f aca="false">IF(E535="","",IFERROR(INDEX(Catégories!$C$5:$C$60,MATCH(E535,Catégories!$A$5:$A$60,0)),"?"))</f>
        <v/>
      </c>
      <c r="J535" s="32" t="str">
        <f aca="false">IF(E535="","",IFERROR(INDEX(Catégories!$D$5:$D$60,MATCH(E535,Catégories!$A$5:$A$60,0)),"?"))</f>
        <v/>
      </c>
      <c r="K535" s="33" t="n">
        <f aca="false">IF(H535="Recette",G535,IF(H535="Dépense",-G535,0))</f>
        <v>0</v>
      </c>
      <c r="L535" s="33" t="n">
        <f aca="false">IF(E535="",0,G535*IFERROR(INDEX(Catégories!$E$5:$E$60,MATCH(E535,Catégories!$A$5:$A$60,0)),0))</f>
        <v>0</v>
      </c>
    </row>
    <row r="536" customFormat="false" ht="15" hidden="false" customHeight="true" outlineLevel="0" collapsed="false">
      <c r="A536" s="34"/>
      <c r="B536" s="29" t="str">
        <f aca="false">IF(A536="","",YEAR(A536))</f>
        <v/>
      </c>
      <c r="G536" s="35"/>
      <c r="H536" s="32" t="str">
        <f aca="false">IF(E536="","",IFERROR(INDEX(Catégories!$B$5:$B$60,MATCH(E536,Catégories!$A$5:$A$60,0)),"?"))</f>
        <v/>
      </c>
      <c r="I536" s="32" t="str">
        <f aca="false">IF(E536="","",IFERROR(INDEX(Catégories!$C$5:$C$60,MATCH(E536,Catégories!$A$5:$A$60,0)),"?"))</f>
        <v/>
      </c>
      <c r="J536" s="32" t="str">
        <f aca="false">IF(E536="","",IFERROR(INDEX(Catégories!$D$5:$D$60,MATCH(E536,Catégories!$A$5:$A$60,0)),"?"))</f>
        <v/>
      </c>
      <c r="K536" s="33" t="n">
        <f aca="false">IF(H536="Recette",G536,IF(H536="Dépense",-G536,0))</f>
        <v>0</v>
      </c>
      <c r="L536" s="33" t="n">
        <f aca="false">IF(E536="",0,G536*IFERROR(INDEX(Catégories!$E$5:$E$60,MATCH(E536,Catégories!$A$5:$A$60,0)),0))</f>
        <v>0</v>
      </c>
    </row>
    <row r="537" customFormat="false" ht="15" hidden="false" customHeight="true" outlineLevel="0" collapsed="false">
      <c r="A537" s="34"/>
      <c r="B537" s="29" t="str">
        <f aca="false">IF(A537="","",YEAR(A537))</f>
        <v/>
      </c>
      <c r="G537" s="35"/>
      <c r="H537" s="32" t="str">
        <f aca="false">IF(E537="","",IFERROR(INDEX(Catégories!$B$5:$B$60,MATCH(E537,Catégories!$A$5:$A$60,0)),"?"))</f>
        <v/>
      </c>
      <c r="I537" s="32" t="str">
        <f aca="false">IF(E537="","",IFERROR(INDEX(Catégories!$C$5:$C$60,MATCH(E537,Catégories!$A$5:$A$60,0)),"?"))</f>
        <v/>
      </c>
      <c r="J537" s="32" t="str">
        <f aca="false">IF(E537="","",IFERROR(INDEX(Catégories!$D$5:$D$60,MATCH(E537,Catégories!$A$5:$A$60,0)),"?"))</f>
        <v/>
      </c>
      <c r="K537" s="33" t="n">
        <f aca="false">IF(H537="Recette",G537,IF(H537="Dépense",-G537,0))</f>
        <v>0</v>
      </c>
      <c r="L537" s="33" t="n">
        <f aca="false">IF(E537="",0,G537*IFERROR(INDEX(Catégories!$E$5:$E$60,MATCH(E537,Catégories!$A$5:$A$60,0)),0))</f>
        <v>0</v>
      </c>
    </row>
    <row r="538" customFormat="false" ht="15" hidden="false" customHeight="true" outlineLevel="0" collapsed="false">
      <c r="A538" s="34"/>
      <c r="B538" s="29" t="str">
        <f aca="false">IF(A538="","",YEAR(A538))</f>
        <v/>
      </c>
      <c r="G538" s="35"/>
      <c r="H538" s="32" t="str">
        <f aca="false">IF(E538="","",IFERROR(INDEX(Catégories!$B$5:$B$60,MATCH(E538,Catégories!$A$5:$A$60,0)),"?"))</f>
        <v/>
      </c>
      <c r="I538" s="32" t="str">
        <f aca="false">IF(E538="","",IFERROR(INDEX(Catégories!$C$5:$C$60,MATCH(E538,Catégories!$A$5:$A$60,0)),"?"))</f>
        <v/>
      </c>
      <c r="J538" s="32" t="str">
        <f aca="false">IF(E538="","",IFERROR(INDEX(Catégories!$D$5:$D$60,MATCH(E538,Catégories!$A$5:$A$60,0)),"?"))</f>
        <v/>
      </c>
      <c r="K538" s="33" t="n">
        <f aca="false">IF(H538="Recette",G538,IF(H538="Dépense",-G538,0))</f>
        <v>0</v>
      </c>
      <c r="L538" s="33" t="n">
        <f aca="false">IF(E538="",0,G538*IFERROR(INDEX(Catégories!$E$5:$E$60,MATCH(E538,Catégories!$A$5:$A$60,0)),0))</f>
        <v>0</v>
      </c>
    </row>
    <row r="539" customFormat="false" ht="15" hidden="false" customHeight="true" outlineLevel="0" collapsed="false">
      <c r="A539" s="34"/>
      <c r="B539" s="29" t="str">
        <f aca="false">IF(A539="","",YEAR(A539))</f>
        <v/>
      </c>
      <c r="G539" s="35"/>
      <c r="H539" s="32" t="str">
        <f aca="false">IF(E539="","",IFERROR(INDEX(Catégories!$B$5:$B$60,MATCH(E539,Catégories!$A$5:$A$60,0)),"?"))</f>
        <v/>
      </c>
      <c r="I539" s="32" t="str">
        <f aca="false">IF(E539="","",IFERROR(INDEX(Catégories!$C$5:$C$60,MATCH(E539,Catégories!$A$5:$A$60,0)),"?"))</f>
        <v/>
      </c>
      <c r="J539" s="32" t="str">
        <f aca="false">IF(E539="","",IFERROR(INDEX(Catégories!$D$5:$D$60,MATCH(E539,Catégories!$A$5:$A$60,0)),"?"))</f>
        <v/>
      </c>
      <c r="K539" s="33" t="n">
        <f aca="false">IF(H539="Recette",G539,IF(H539="Dépense",-G539,0))</f>
        <v>0</v>
      </c>
      <c r="L539" s="33" t="n">
        <f aca="false">IF(E539="",0,G539*IFERROR(INDEX(Catégories!$E$5:$E$60,MATCH(E539,Catégories!$A$5:$A$60,0)),0))</f>
        <v>0</v>
      </c>
    </row>
    <row r="540" customFormat="false" ht="15" hidden="false" customHeight="true" outlineLevel="0" collapsed="false">
      <c r="A540" s="34"/>
      <c r="B540" s="29" t="str">
        <f aca="false">IF(A540="","",YEAR(A540))</f>
        <v/>
      </c>
      <c r="G540" s="35"/>
      <c r="H540" s="32" t="str">
        <f aca="false">IF(E540="","",IFERROR(INDEX(Catégories!$B$5:$B$60,MATCH(E540,Catégories!$A$5:$A$60,0)),"?"))</f>
        <v/>
      </c>
      <c r="I540" s="32" t="str">
        <f aca="false">IF(E540="","",IFERROR(INDEX(Catégories!$C$5:$C$60,MATCH(E540,Catégories!$A$5:$A$60,0)),"?"))</f>
        <v/>
      </c>
      <c r="J540" s="32" t="str">
        <f aca="false">IF(E540="","",IFERROR(INDEX(Catégories!$D$5:$D$60,MATCH(E540,Catégories!$A$5:$A$60,0)),"?"))</f>
        <v/>
      </c>
      <c r="K540" s="33" t="n">
        <f aca="false">IF(H540="Recette",G540,IF(H540="Dépense",-G540,0))</f>
        <v>0</v>
      </c>
      <c r="L540" s="33" t="n">
        <f aca="false">IF(E540="",0,G540*IFERROR(INDEX(Catégories!$E$5:$E$60,MATCH(E540,Catégories!$A$5:$A$60,0)),0))</f>
        <v>0</v>
      </c>
    </row>
    <row r="541" customFormat="false" ht="15" hidden="false" customHeight="true" outlineLevel="0" collapsed="false">
      <c r="A541" s="34"/>
      <c r="B541" s="29" t="str">
        <f aca="false">IF(A541="","",YEAR(A541))</f>
        <v/>
      </c>
      <c r="G541" s="35"/>
      <c r="H541" s="32" t="str">
        <f aca="false">IF(E541="","",IFERROR(INDEX(Catégories!$B$5:$B$60,MATCH(E541,Catégories!$A$5:$A$60,0)),"?"))</f>
        <v/>
      </c>
      <c r="I541" s="32" t="str">
        <f aca="false">IF(E541="","",IFERROR(INDEX(Catégories!$C$5:$C$60,MATCH(E541,Catégories!$A$5:$A$60,0)),"?"))</f>
        <v/>
      </c>
      <c r="J541" s="32" t="str">
        <f aca="false">IF(E541="","",IFERROR(INDEX(Catégories!$D$5:$D$60,MATCH(E541,Catégories!$A$5:$A$60,0)),"?"))</f>
        <v/>
      </c>
      <c r="K541" s="33" t="n">
        <f aca="false">IF(H541="Recette",G541,IF(H541="Dépense",-G541,0))</f>
        <v>0</v>
      </c>
      <c r="L541" s="33" t="n">
        <f aca="false">IF(E541="",0,G541*IFERROR(INDEX(Catégories!$E$5:$E$60,MATCH(E541,Catégories!$A$5:$A$60,0)),0))</f>
        <v>0</v>
      </c>
    </row>
    <row r="542" customFormat="false" ht="15" hidden="false" customHeight="true" outlineLevel="0" collapsed="false">
      <c r="A542" s="34"/>
      <c r="B542" s="29" t="str">
        <f aca="false">IF(A542="","",YEAR(A542))</f>
        <v/>
      </c>
      <c r="G542" s="35"/>
      <c r="H542" s="32" t="str">
        <f aca="false">IF(E542="","",IFERROR(INDEX(Catégories!$B$5:$B$60,MATCH(E542,Catégories!$A$5:$A$60,0)),"?"))</f>
        <v/>
      </c>
      <c r="I542" s="32" t="str">
        <f aca="false">IF(E542="","",IFERROR(INDEX(Catégories!$C$5:$C$60,MATCH(E542,Catégories!$A$5:$A$60,0)),"?"))</f>
        <v/>
      </c>
      <c r="J542" s="32" t="str">
        <f aca="false">IF(E542="","",IFERROR(INDEX(Catégories!$D$5:$D$60,MATCH(E542,Catégories!$A$5:$A$60,0)),"?"))</f>
        <v/>
      </c>
      <c r="K542" s="33" t="n">
        <f aca="false">IF(H542="Recette",G542,IF(H542="Dépense",-G542,0))</f>
        <v>0</v>
      </c>
      <c r="L542" s="33" t="n">
        <f aca="false">IF(E542="",0,G542*IFERROR(INDEX(Catégories!$E$5:$E$60,MATCH(E542,Catégories!$A$5:$A$60,0)),0))</f>
        <v>0</v>
      </c>
    </row>
    <row r="543" customFormat="false" ht="15" hidden="false" customHeight="true" outlineLevel="0" collapsed="false">
      <c r="A543" s="34"/>
      <c r="B543" s="29" t="str">
        <f aca="false">IF(A543="","",YEAR(A543))</f>
        <v/>
      </c>
      <c r="G543" s="35"/>
      <c r="H543" s="32" t="str">
        <f aca="false">IF(E543="","",IFERROR(INDEX(Catégories!$B$5:$B$60,MATCH(E543,Catégories!$A$5:$A$60,0)),"?"))</f>
        <v/>
      </c>
      <c r="I543" s="32" t="str">
        <f aca="false">IF(E543="","",IFERROR(INDEX(Catégories!$C$5:$C$60,MATCH(E543,Catégories!$A$5:$A$60,0)),"?"))</f>
        <v/>
      </c>
      <c r="J543" s="32" t="str">
        <f aca="false">IF(E543="","",IFERROR(INDEX(Catégories!$D$5:$D$60,MATCH(E543,Catégories!$A$5:$A$60,0)),"?"))</f>
        <v/>
      </c>
      <c r="K543" s="33" t="n">
        <f aca="false">IF(H543="Recette",G543,IF(H543="Dépense",-G543,0))</f>
        <v>0</v>
      </c>
      <c r="L543" s="33" t="n">
        <f aca="false">IF(E543="",0,G543*IFERROR(INDEX(Catégories!$E$5:$E$60,MATCH(E543,Catégories!$A$5:$A$60,0)),0))</f>
        <v>0</v>
      </c>
    </row>
    <row r="544" customFormat="false" ht="15" hidden="false" customHeight="true" outlineLevel="0" collapsed="false">
      <c r="A544" s="34"/>
      <c r="B544" s="29" t="str">
        <f aca="false">IF(A544="","",YEAR(A544))</f>
        <v/>
      </c>
      <c r="G544" s="35"/>
      <c r="H544" s="32" t="str">
        <f aca="false">IF(E544="","",IFERROR(INDEX(Catégories!$B$5:$B$60,MATCH(E544,Catégories!$A$5:$A$60,0)),"?"))</f>
        <v/>
      </c>
      <c r="I544" s="32" t="str">
        <f aca="false">IF(E544="","",IFERROR(INDEX(Catégories!$C$5:$C$60,MATCH(E544,Catégories!$A$5:$A$60,0)),"?"))</f>
        <v/>
      </c>
      <c r="J544" s="32" t="str">
        <f aca="false">IF(E544="","",IFERROR(INDEX(Catégories!$D$5:$D$60,MATCH(E544,Catégories!$A$5:$A$60,0)),"?"))</f>
        <v/>
      </c>
      <c r="K544" s="33" t="n">
        <f aca="false">IF(H544="Recette",G544,IF(H544="Dépense",-G544,0))</f>
        <v>0</v>
      </c>
      <c r="L544" s="33" t="n">
        <f aca="false">IF(E544="",0,G544*IFERROR(INDEX(Catégories!$E$5:$E$60,MATCH(E544,Catégories!$A$5:$A$60,0)),0))</f>
        <v>0</v>
      </c>
    </row>
    <row r="545" customFormat="false" ht="15" hidden="false" customHeight="true" outlineLevel="0" collapsed="false">
      <c r="A545" s="34"/>
      <c r="B545" s="29" t="str">
        <f aca="false">IF(A545="","",YEAR(A545))</f>
        <v/>
      </c>
      <c r="G545" s="35"/>
      <c r="H545" s="32" t="str">
        <f aca="false">IF(E545="","",IFERROR(INDEX(Catégories!$B$5:$B$60,MATCH(E545,Catégories!$A$5:$A$60,0)),"?"))</f>
        <v/>
      </c>
      <c r="I545" s="32" t="str">
        <f aca="false">IF(E545="","",IFERROR(INDEX(Catégories!$C$5:$C$60,MATCH(E545,Catégories!$A$5:$A$60,0)),"?"))</f>
        <v/>
      </c>
      <c r="J545" s="32" t="str">
        <f aca="false">IF(E545="","",IFERROR(INDEX(Catégories!$D$5:$D$60,MATCH(E545,Catégories!$A$5:$A$60,0)),"?"))</f>
        <v/>
      </c>
      <c r="K545" s="33" t="n">
        <f aca="false">IF(H545="Recette",G545,IF(H545="Dépense",-G545,0))</f>
        <v>0</v>
      </c>
      <c r="L545" s="33" t="n">
        <f aca="false">IF(E545="",0,G545*IFERROR(INDEX(Catégories!$E$5:$E$60,MATCH(E545,Catégories!$A$5:$A$60,0)),0))</f>
        <v>0</v>
      </c>
    </row>
    <row r="546" customFormat="false" ht="15" hidden="false" customHeight="true" outlineLevel="0" collapsed="false">
      <c r="A546" s="34"/>
      <c r="B546" s="29" t="str">
        <f aca="false">IF(A546="","",YEAR(A546))</f>
        <v/>
      </c>
      <c r="G546" s="35"/>
      <c r="H546" s="32" t="str">
        <f aca="false">IF(E546="","",IFERROR(INDEX(Catégories!$B$5:$B$60,MATCH(E546,Catégories!$A$5:$A$60,0)),"?"))</f>
        <v/>
      </c>
      <c r="I546" s="32" t="str">
        <f aca="false">IF(E546="","",IFERROR(INDEX(Catégories!$C$5:$C$60,MATCH(E546,Catégories!$A$5:$A$60,0)),"?"))</f>
        <v/>
      </c>
      <c r="J546" s="32" t="str">
        <f aca="false">IF(E546="","",IFERROR(INDEX(Catégories!$D$5:$D$60,MATCH(E546,Catégories!$A$5:$A$60,0)),"?"))</f>
        <v/>
      </c>
      <c r="K546" s="33" t="n">
        <f aca="false">IF(H546="Recette",G546,IF(H546="Dépense",-G546,0))</f>
        <v>0</v>
      </c>
      <c r="L546" s="33" t="n">
        <f aca="false">IF(E546="",0,G546*IFERROR(INDEX(Catégories!$E$5:$E$60,MATCH(E546,Catégories!$A$5:$A$60,0)),0))</f>
        <v>0</v>
      </c>
    </row>
    <row r="547" customFormat="false" ht="15" hidden="false" customHeight="true" outlineLevel="0" collapsed="false">
      <c r="A547" s="34"/>
      <c r="B547" s="29" t="str">
        <f aca="false">IF(A547="","",YEAR(A547))</f>
        <v/>
      </c>
      <c r="G547" s="35"/>
      <c r="H547" s="32" t="str">
        <f aca="false">IF(E547="","",IFERROR(INDEX(Catégories!$B$5:$B$60,MATCH(E547,Catégories!$A$5:$A$60,0)),"?"))</f>
        <v/>
      </c>
      <c r="I547" s="32" t="str">
        <f aca="false">IF(E547="","",IFERROR(INDEX(Catégories!$C$5:$C$60,MATCH(E547,Catégories!$A$5:$A$60,0)),"?"))</f>
        <v/>
      </c>
      <c r="J547" s="32" t="str">
        <f aca="false">IF(E547="","",IFERROR(INDEX(Catégories!$D$5:$D$60,MATCH(E547,Catégories!$A$5:$A$60,0)),"?"))</f>
        <v/>
      </c>
      <c r="K547" s="33" t="n">
        <f aca="false">IF(H547="Recette",G547,IF(H547="Dépense",-G547,0))</f>
        <v>0</v>
      </c>
      <c r="L547" s="33" t="n">
        <f aca="false">IF(E547="",0,G547*IFERROR(INDEX(Catégories!$E$5:$E$60,MATCH(E547,Catégories!$A$5:$A$60,0)),0))</f>
        <v>0</v>
      </c>
    </row>
    <row r="548" customFormat="false" ht="15" hidden="false" customHeight="true" outlineLevel="0" collapsed="false">
      <c r="A548" s="34"/>
      <c r="B548" s="29" t="str">
        <f aca="false">IF(A548="","",YEAR(A548))</f>
        <v/>
      </c>
      <c r="G548" s="35"/>
      <c r="H548" s="32" t="str">
        <f aca="false">IF(E548="","",IFERROR(INDEX(Catégories!$B$5:$B$60,MATCH(E548,Catégories!$A$5:$A$60,0)),"?"))</f>
        <v/>
      </c>
      <c r="I548" s="32" t="str">
        <f aca="false">IF(E548="","",IFERROR(INDEX(Catégories!$C$5:$C$60,MATCH(E548,Catégories!$A$5:$A$60,0)),"?"))</f>
        <v/>
      </c>
      <c r="J548" s="32" t="str">
        <f aca="false">IF(E548="","",IFERROR(INDEX(Catégories!$D$5:$D$60,MATCH(E548,Catégories!$A$5:$A$60,0)),"?"))</f>
        <v/>
      </c>
      <c r="K548" s="33" t="n">
        <f aca="false">IF(H548="Recette",G548,IF(H548="Dépense",-G548,0))</f>
        <v>0</v>
      </c>
      <c r="L548" s="33" t="n">
        <f aca="false">IF(E548="",0,G548*IFERROR(INDEX(Catégories!$E$5:$E$60,MATCH(E548,Catégories!$A$5:$A$60,0)),0))</f>
        <v>0</v>
      </c>
    </row>
    <row r="549" customFormat="false" ht="15" hidden="false" customHeight="true" outlineLevel="0" collapsed="false">
      <c r="A549" s="34"/>
      <c r="B549" s="29" t="str">
        <f aca="false">IF(A549="","",YEAR(A549))</f>
        <v/>
      </c>
      <c r="G549" s="35"/>
      <c r="H549" s="32" t="str">
        <f aca="false">IF(E549="","",IFERROR(INDEX(Catégories!$B$5:$B$60,MATCH(E549,Catégories!$A$5:$A$60,0)),"?"))</f>
        <v/>
      </c>
      <c r="I549" s="32" t="str">
        <f aca="false">IF(E549="","",IFERROR(INDEX(Catégories!$C$5:$C$60,MATCH(E549,Catégories!$A$5:$A$60,0)),"?"))</f>
        <v/>
      </c>
      <c r="J549" s="32" t="str">
        <f aca="false">IF(E549="","",IFERROR(INDEX(Catégories!$D$5:$D$60,MATCH(E549,Catégories!$A$5:$A$60,0)),"?"))</f>
        <v/>
      </c>
      <c r="K549" s="33" t="n">
        <f aca="false">IF(H549="Recette",G549,IF(H549="Dépense",-G549,0))</f>
        <v>0</v>
      </c>
      <c r="L549" s="33" t="n">
        <f aca="false">IF(E549="",0,G549*IFERROR(INDEX(Catégories!$E$5:$E$60,MATCH(E549,Catégories!$A$5:$A$60,0)),0))</f>
        <v>0</v>
      </c>
    </row>
    <row r="550" customFormat="false" ht="15" hidden="false" customHeight="true" outlineLevel="0" collapsed="false">
      <c r="A550" s="34"/>
      <c r="B550" s="29" t="str">
        <f aca="false">IF(A550="","",YEAR(A550))</f>
        <v/>
      </c>
      <c r="G550" s="35"/>
      <c r="H550" s="32" t="str">
        <f aca="false">IF(E550="","",IFERROR(INDEX(Catégories!$B$5:$B$60,MATCH(E550,Catégories!$A$5:$A$60,0)),"?"))</f>
        <v/>
      </c>
      <c r="I550" s="32" t="str">
        <f aca="false">IF(E550="","",IFERROR(INDEX(Catégories!$C$5:$C$60,MATCH(E550,Catégories!$A$5:$A$60,0)),"?"))</f>
        <v/>
      </c>
      <c r="J550" s="32" t="str">
        <f aca="false">IF(E550="","",IFERROR(INDEX(Catégories!$D$5:$D$60,MATCH(E550,Catégories!$A$5:$A$60,0)),"?"))</f>
        <v/>
      </c>
      <c r="K550" s="33" t="n">
        <f aca="false">IF(H550="Recette",G550,IF(H550="Dépense",-G550,0))</f>
        <v>0</v>
      </c>
      <c r="L550" s="33" t="n">
        <f aca="false">IF(E550="",0,G550*IFERROR(INDEX(Catégories!$E$5:$E$60,MATCH(E550,Catégories!$A$5:$A$60,0)),0))</f>
        <v>0</v>
      </c>
    </row>
    <row r="551" customFormat="false" ht="15" hidden="false" customHeight="true" outlineLevel="0" collapsed="false">
      <c r="A551" s="34"/>
      <c r="B551" s="29" t="str">
        <f aca="false">IF(A551="","",YEAR(A551))</f>
        <v/>
      </c>
      <c r="G551" s="35"/>
      <c r="H551" s="32" t="str">
        <f aca="false">IF(E551="","",IFERROR(INDEX(Catégories!$B$5:$B$60,MATCH(E551,Catégories!$A$5:$A$60,0)),"?"))</f>
        <v/>
      </c>
      <c r="I551" s="32" t="str">
        <f aca="false">IF(E551="","",IFERROR(INDEX(Catégories!$C$5:$C$60,MATCH(E551,Catégories!$A$5:$A$60,0)),"?"))</f>
        <v/>
      </c>
      <c r="J551" s="32" t="str">
        <f aca="false">IF(E551="","",IFERROR(INDEX(Catégories!$D$5:$D$60,MATCH(E551,Catégories!$A$5:$A$60,0)),"?"))</f>
        <v/>
      </c>
      <c r="K551" s="33" t="n">
        <f aca="false">IF(H551="Recette",G551,IF(H551="Dépense",-G551,0))</f>
        <v>0</v>
      </c>
      <c r="L551" s="33" t="n">
        <f aca="false">IF(E551="",0,G551*IFERROR(INDEX(Catégories!$E$5:$E$60,MATCH(E551,Catégories!$A$5:$A$60,0)),0))</f>
        <v>0</v>
      </c>
    </row>
    <row r="552" customFormat="false" ht="15" hidden="false" customHeight="true" outlineLevel="0" collapsed="false">
      <c r="A552" s="34"/>
      <c r="B552" s="29" t="str">
        <f aca="false">IF(A552="","",YEAR(A552))</f>
        <v/>
      </c>
      <c r="G552" s="35"/>
      <c r="H552" s="32" t="str">
        <f aca="false">IF(E552="","",IFERROR(INDEX(Catégories!$B$5:$B$60,MATCH(E552,Catégories!$A$5:$A$60,0)),"?"))</f>
        <v/>
      </c>
      <c r="I552" s="32" t="str">
        <f aca="false">IF(E552="","",IFERROR(INDEX(Catégories!$C$5:$C$60,MATCH(E552,Catégories!$A$5:$A$60,0)),"?"))</f>
        <v/>
      </c>
      <c r="J552" s="32" t="str">
        <f aca="false">IF(E552="","",IFERROR(INDEX(Catégories!$D$5:$D$60,MATCH(E552,Catégories!$A$5:$A$60,0)),"?"))</f>
        <v/>
      </c>
      <c r="K552" s="33" t="n">
        <f aca="false">IF(H552="Recette",G552,IF(H552="Dépense",-G552,0))</f>
        <v>0</v>
      </c>
      <c r="L552" s="33" t="n">
        <f aca="false">IF(E552="",0,G552*IFERROR(INDEX(Catégories!$E$5:$E$60,MATCH(E552,Catégories!$A$5:$A$60,0)),0))</f>
        <v>0</v>
      </c>
    </row>
    <row r="553" customFormat="false" ht="15" hidden="false" customHeight="true" outlineLevel="0" collapsed="false">
      <c r="A553" s="34"/>
      <c r="B553" s="29" t="str">
        <f aca="false">IF(A553="","",YEAR(A553))</f>
        <v/>
      </c>
      <c r="G553" s="35"/>
      <c r="H553" s="32" t="str">
        <f aca="false">IF(E553="","",IFERROR(INDEX(Catégories!$B$5:$B$60,MATCH(E553,Catégories!$A$5:$A$60,0)),"?"))</f>
        <v/>
      </c>
      <c r="I553" s="32" t="str">
        <f aca="false">IF(E553="","",IFERROR(INDEX(Catégories!$C$5:$C$60,MATCH(E553,Catégories!$A$5:$A$60,0)),"?"))</f>
        <v/>
      </c>
      <c r="J553" s="32" t="str">
        <f aca="false">IF(E553="","",IFERROR(INDEX(Catégories!$D$5:$D$60,MATCH(E553,Catégories!$A$5:$A$60,0)),"?"))</f>
        <v/>
      </c>
      <c r="K553" s="33" t="n">
        <f aca="false">IF(H553="Recette",G553,IF(H553="Dépense",-G553,0))</f>
        <v>0</v>
      </c>
      <c r="L553" s="33" t="n">
        <f aca="false">IF(E553="",0,G553*IFERROR(INDEX(Catégories!$E$5:$E$60,MATCH(E553,Catégories!$A$5:$A$60,0)),0))</f>
        <v>0</v>
      </c>
    </row>
    <row r="554" customFormat="false" ht="15" hidden="false" customHeight="true" outlineLevel="0" collapsed="false">
      <c r="A554" s="34"/>
      <c r="B554" s="29" t="str">
        <f aca="false">IF(A554="","",YEAR(A554))</f>
        <v/>
      </c>
      <c r="G554" s="35"/>
      <c r="H554" s="32" t="str">
        <f aca="false">IF(E554="","",IFERROR(INDEX(Catégories!$B$5:$B$60,MATCH(E554,Catégories!$A$5:$A$60,0)),"?"))</f>
        <v/>
      </c>
      <c r="I554" s="32" t="str">
        <f aca="false">IF(E554="","",IFERROR(INDEX(Catégories!$C$5:$C$60,MATCH(E554,Catégories!$A$5:$A$60,0)),"?"))</f>
        <v/>
      </c>
      <c r="J554" s="32" t="str">
        <f aca="false">IF(E554="","",IFERROR(INDEX(Catégories!$D$5:$D$60,MATCH(E554,Catégories!$A$5:$A$60,0)),"?"))</f>
        <v/>
      </c>
      <c r="K554" s="33" t="n">
        <f aca="false">IF(H554="Recette",G554,IF(H554="Dépense",-G554,0))</f>
        <v>0</v>
      </c>
      <c r="L554" s="33" t="n">
        <f aca="false">IF(E554="",0,G554*IFERROR(INDEX(Catégories!$E$5:$E$60,MATCH(E554,Catégories!$A$5:$A$60,0)),0))</f>
        <v>0</v>
      </c>
    </row>
    <row r="555" customFormat="false" ht="15" hidden="false" customHeight="true" outlineLevel="0" collapsed="false">
      <c r="A555" s="34"/>
      <c r="B555" s="29" t="str">
        <f aca="false">IF(A555="","",YEAR(A555))</f>
        <v/>
      </c>
      <c r="G555" s="35"/>
      <c r="H555" s="32" t="str">
        <f aca="false">IF(E555="","",IFERROR(INDEX(Catégories!$B$5:$B$60,MATCH(E555,Catégories!$A$5:$A$60,0)),"?"))</f>
        <v/>
      </c>
      <c r="I555" s="32" t="str">
        <f aca="false">IF(E555="","",IFERROR(INDEX(Catégories!$C$5:$C$60,MATCH(E555,Catégories!$A$5:$A$60,0)),"?"))</f>
        <v/>
      </c>
      <c r="J555" s="32" t="str">
        <f aca="false">IF(E555="","",IFERROR(INDEX(Catégories!$D$5:$D$60,MATCH(E555,Catégories!$A$5:$A$60,0)),"?"))</f>
        <v/>
      </c>
      <c r="K555" s="33" t="n">
        <f aca="false">IF(H555="Recette",G555,IF(H555="Dépense",-G555,0))</f>
        <v>0</v>
      </c>
      <c r="L555" s="33" t="n">
        <f aca="false">IF(E555="",0,G555*IFERROR(INDEX(Catégories!$E$5:$E$60,MATCH(E555,Catégories!$A$5:$A$60,0)),0))</f>
        <v>0</v>
      </c>
    </row>
    <row r="556" customFormat="false" ht="15" hidden="false" customHeight="true" outlineLevel="0" collapsed="false">
      <c r="A556" s="34"/>
      <c r="B556" s="29" t="str">
        <f aca="false">IF(A556="","",YEAR(A556))</f>
        <v/>
      </c>
      <c r="G556" s="35"/>
      <c r="H556" s="32" t="str">
        <f aca="false">IF(E556="","",IFERROR(INDEX(Catégories!$B$5:$B$60,MATCH(E556,Catégories!$A$5:$A$60,0)),"?"))</f>
        <v/>
      </c>
      <c r="I556" s="32" t="str">
        <f aca="false">IF(E556="","",IFERROR(INDEX(Catégories!$C$5:$C$60,MATCH(E556,Catégories!$A$5:$A$60,0)),"?"))</f>
        <v/>
      </c>
      <c r="J556" s="32" t="str">
        <f aca="false">IF(E556="","",IFERROR(INDEX(Catégories!$D$5:$D$60,MATCH(E556,Catégories!$A$5:$A$60,0)),"?"))</f>
        <v/>
      </c>
      <c r="K556" s="33" t="n">
        <f aca="false">IF(H556="Recette",G556,IF(H556="Dépense",-G556,0))</f>
        <v>0</v>
      </c>
      <c r="L556" s="33" t="n">
        <f aca="false">IF(E556="",0,G556*IFERROR(INDEX(Catégories!$E$5:$E$60,MATCH(E556,Catégories!$A$5:$A$60,0)),0))</f>
        <v>0</v>
      </c>
    </row>
    <row r="557" customFormat="false" ht="15" hidden="false" customHeight="true" outlineLevel="0" collapsed="false">
      <c r="A557" s="34"/>
      <c r="B557" s="29" t="str">
        <f aca="false">IF(A557="","",YEAR(A557))</f>
        <v/>
      </c>
      <c r="G557" s="35"/>
      <c r="H557" s="32" t="str">
        <f aca="false">IF(E557="","",IFERROR(INDEX(Catégories!$B$5:$B$60,MATCH(E557,Catégories!$A$5:$A$60,0)),"?"))</f>
        <v/>
      </c>
      <c r="I557" s="32" t="str">
        <f aca="false">IF(E557="","",IFERROR(INDEX(Catégories!$C$5:$C$60,MATCH(E557,Catégories!$A$5:$A$60,0)),"?"))</f>
        <v/>
      </c>
      <c r="J557" s="32" t="str">
        <f aca="false">IF(E557="","",IFERROR(INDEX(Catégories!$D$5:$D$60,MATCH(E557,Catégories!$A$5:$A$60,0)),"?"))</f>
        <v/>
      </c>
      <c r="K557" s="33" t="n">
        <f aca="false">IF(H557="Recette",G557,IF(H557="Dépense",-G557,0))</f>
        <v>0</v>
      </c>
      <c r="L557" s="33" t="n">
        <f aca="false">IF(E557="",0,G557*IFERROR(INDEX(Catégories!$E$5:$E$60,MATCH(E557,Catégories!$A$5:$A$60,0)),0))</f>
        <v>0</v>
      </c>
    </row>
    <row r="558" customFormat="false" ht="15" hidden="false" customHeight="true" outlineLevel="0" collapsed="false">
      <c r="A558" s="34"/>
      <c r="B558" s="29" t="str">
        <f aca="false">IF(A558="","",YEAR(A558))</f>
        <v/>
      </c>
      <c r="G558" s="35"/>
      <c r="H558" s="32" t="str">
        <f aca="false">IF(E558="","",IFERROR(INDEX(Catégories!$B$5:$B$60,MATCH(E558,Catégories!$A$5:$A$60,0)),"?"))</f>
        <v/>
      </c>
      <c r="I558" s="32" t="str">
        <f aca="false">IF(E558="","",IFERROR(INDEX(Catégories!$C$5:$C$60,MATCH(E558,Catégories!$A$5:$A$60,0)),"?"))</f>
        <v/>
      </c>
      <c r="J558" s="32" t="str">
        <f aca="false">IF(E558="","",IFERROR(INDEX(Catégories!$D$5:$D$60,MATCH(E558,Catégories!$A$5:$A$60,0)),"?"))</f>
        <v/>
      </c>
      <c r="K558" s="33" t="n">
        <f aca="false">IF(H558="Recette",G558,IF(H558="Dépense",-G558,0))</f>
        <v>0</v>
      </c>
      <c r="L558" s="33" t="n">
        <f aca="false">IF(E558="",0,G558*IFERROR(INDEX(Catégories!$E$5:$E$60,MATCH(E558,Catégories!$A$5:$A$60,0)),0))</f>
        <v>0</v>
      </c>
    </row>
    <row r="559" customFormat="false" ht="15" hidden="false" customHeight="true" outlineLevel="0" collapsed="false">
      <c r="A559" s="34"/>
      <c r="B559" s="29" t="str">
        <f aca="false">IF(A559="","",YEAR(A559))</f>
        <v/>
      </c>
      <c r="G559" s="35"/>
      <c r="H559" s="32" t="str">
        <f aca="false">IF(E559="","",IFERROR(INDEX(Catégories!$B$5:$B$60,MATCH(E559,Catégories!$A$5:$A$60,0)),"?"))</f>
        <v/>
      </c>
      <c r="I559" s="32" t="str">
        <f aca="false">IF(E559="","",IFERROR(INDEX(Catégories!$C$5:$C$60,MATCH(E559,Catégories!$A$5:$A$60,0)),"?"))</f>
        <v/>
      </c>
      <c r="J559" s="32" t="str">
        <f aca="false">IF(E559="","",IFERROR(INDEX(Catégories!$D$5:$D$60,MATCH(E559,Catégories!$A$5:$A$60,0)),"?"))</f>
        <v/>
      </c>
      <c r="K559" s="33" t="n">
        <f aca="false">IF(H559="Recette",G559,IF(H559="Dépense",-G559,0))</f>
        <v>0</v>
      </c>
      <c r="L559" s="33" t="n">
        <f aca="false">IF(E559="",0,G559*IFERROR(INDEX(Catégories!$E$5:$E$60,MATCH(E559,Catégories!$A$5:$A$60,0)),0))</f>
        <v>0</v>
      </c>
    </row>
    <row r="560" customFormat="false" ht="15" hidden="false" customHeight="true" outlineLevel="0" collapsed="false">
      <c r="A560" s="34"/>
      <c r="B560" s="29" t="str">
        <f aca="false">IF(A560="","",YEAR(A560))</f>
        <v/>
      </c>
      <c r="G560" s="35"/>
      <c r="H560" s="32" t="str">
        <f aca="false">IF(E560="","",IFERROR(INDEX(Catégories!$B$5:$B$60,MATCH(E560,Catégories!$A$5:$A$60,0)),"?"))</f>
        <v/>
      </c>
      <c r="I560" s="32" t="str">
        <f aca="false">IF(E560="","",IFERROR(INDEX(Catégories!$C$5:$C$60,MATCH(E560,Catégories!$A$5:$A$60,0)),"?"))</f>
        <v/>
      </c>
      <c r="J560" s="32" t="str">
        <f aca="false">IF(E560="","",IFERROR(INDEX(Catégories!$D$5:$D$60,MATCH(E560,Catégories!$A$5:$A$60,0)),"?"))</f>
        <v/>
      </c>
      <c r="K560" s="33" t="n">
        <f aca="false">IF(H560="Recette",G560,IF(H560="Dépense",-G560,0))</f>
        <v>0</v>
      </c>
      <c r="L560" s="33" t="n">
        <f aca="false">IF(E560="",0,G560*IFERROR(INDEX(Catégories!$E$5:$E$60,MATCH(E560,Catégories!$A$5:$A$60,0)),0))</f>
        <v>0</v>
      </c>
    </row>
    <row r="561" customFormat="false" ht="15" hidden="false" customHeight="true" outlineLevel="0" collapsed="false">
      <c r="A561" s="34"/>
      <c r="B561" s="29" t="str">
        <f aca="false">IF(A561="","",YEAR(A561))</f>
        <v/>
      </c>
      <c r="G561" s="35"/>
      <c r="H561" s="32" t="str">
        <f aca="false">IF(E561="","",IFERROR(INDEX(Catégories!$B$5:$B$60,MATCH(E561,Catégories!$A$5:$A$60,0)),"?"))</f>
        <v/>
      </c>
      <c r="I561" s="32" t="str">
        <f aca="false">IF(E561="","",IFERROR(INDEX(Catégories!$C$5:$C$60,MATCH(E561,Catégories!$A$5:$A$60,0)),"?"))</f>
        <v/>
      </c>
      <c r="J561" s="32" t="str">
        <f aca="false">IF(E561="","",IFERROR(INDEX(Catégories!$D$5:$D$60,MATCH(E561,Catégories!$A$5:$A$60,0)),"?"))</f>
        <v/>
      </c>
      <c r="K561" s="33" t="n">
        <f aca="false">IF(H561="Recette",G561,IF(H561="Dépense",-G561,0))</f>
        <v>0</v>
      </c>
      <c r="L561" s="33" t="n">
        <f aca="false">IF(E561="",0,G561*IFERROR(INDEX(Catégories!$E$5:$E$60,MATCH(E561,Catégories!$A$5:$A$60,0)),0))</f>
        <v>0</v>
      </c>
    </row>
    <row r="562" customFormat="false" ht="15" hidden="false" customHeight="true" outlineLevel="0" collapsed="false">
      <c r="A562" s="34"/>
      <c r="B562" s="29" t="str">
        <f aca="false">IF(A562="","",YEAR(A562))</f>
        <v/>
      </c>
      <c r="G562" s="35"/>
      <c r="H562" s="32" t="str">
        <f aca="false">IF(E562="","",IFERROR(INDEX(Catégories!$B$5:$B$60,MATCH(E562,Catégories!$A$5:$A$60,0)),"?"))</f>
        <v/>
      </c>
      <c r="I562" s="32" t="str">
        <f aca="false">IF(E562="","",IFERROR(INDEX(Catégories!$C$5:$C$60,MATCH(E562,Catégories!$A$5:$A$60,0)),"?"))</f>
        <v/>
      </c>
      <c r="J562" s="32" t="str">
        <f aca="false">IF(E562="","",IFERROR(INDEX(Catégories!$D$5:$D$60,MATCH(E562,Catégories!$A$5:$A$60,0)),"?"))</f>
        <v/>
      </c>
      <c r="K562" s="33" t="n">
        <f aca="false">IF(H562="Recette",G562,IF(H562="Dépense",-G562,0))</f>
        <v>0</v>
      </c>
      <c r="L562" s="33" t="n">
        <f aca="false">IF(E562="",0,G562*IFERROR(INDEX(Catégories!$E$5:$E$60,MATCH(E562,Catégories!$A$5:$A$60,0)),0))</f>
        <v>0</v>
      </c>
    </row>
    <row r="563" customFormat="false" ht="15" hidden="false" customHeight="true" outlineLevel="0" collapsed="false">
      <c r="A563" s="34"/>
      <c r="B563" s="29" t="str">
        <f aca="false">IF(A563="","",YEAR(A563))</f>
        <v/>
      </c>
      <c r="G563" s="35"/>
      <c r="H563" s="32" t="str">
        <f aca="false">IF(E563="","",IFERROR(INDEX(Catégories!$B$5:$B$60,MATCH(E563,Catégories!$A$5:$A$60,0)),"?"))</f>
        <v/>
      </c>
      <c r="I563" s="32" t="str">
        <f aca="false">IF(E563="","",IFERROR(INDEX(Catégories!$C$5:$C$60,MATCH(E563,Catégories!$A$5:$A$60,0)),"?"))</f>
        <v/>
      </c>
      <c r="J563" s="32" t="str">
        <f aca="false">IF(E563="","",IFERROR(INDEX(Catégories!$D$5:$D$60,MATCH(E563,Catégories!$A$5:$A$60,0)),"?"))</f>
        <v/>
      </c>
      <c r="K563" s="33" t="n">
        <f aca="false">IF(H563="Recette",G563,IF(H563="Dépense",-G563,0))</f>
        <v>0</v>
      </c>
      <c r="L563" s="33" t="n">
        <f aca="false">IF(E563="",0,G563*IFERROR(INDEX(Catégories!$E$5:$E$60,MATCH(E563,Catégories!$A$5:$A$60,0)),0))</f>
        <v>0</v>
      </c>
    </row>
    <row r="564" customFormat="false" ht="15" hidden="false" customHeight="true" outlineLevel="0" collapsed="false">
      <c r="A564" s="34"/>
      <c r="B564" s="29" t="str">
        <f aca="false">IF(A564="","",YEAR(A564))</f>
        <v/>
      </c>
      <c r="G564" s="35"/>
      <c r="H564" s="32" t="str">
        <f aca="false">IF(E564="","",IFERROR(INDEX(Catégories!$B$5:$B$60,MATCH(E564,Catégories!$A$5:$A$60,0)),"?"))</f>
        <v/>
      </c>
      <c r="I564" s="32" t="str">
        <f aca="false">IF(E564="","",IFERROR(INDEX(Catégories!$C$5:$C$60,MATCH(E564,Catégories!$A$5:$A$60,0)),"?"))</f>
        <v/>
      </c>
      <c r="J564" s="32" t="str">
        <f aca="false">IF(E564="","",IFERROR(INDEX(Catégories!$D$5:$D$60,MATCH(E564,Catégories!$A$5:$A$60,0)),"?"))</f>
        <v/>
      </c>
      <c r="K564" s="33" t="n">
        <f aca="false">IF(H564="Recette",G564,IF(H564="Dépense",-G564,0))</f>
        <v>0</v>
      </c>
      <c r="L564" s="33" t="n">
        <f aca="false">IF(E564="",0,G564*IFERROR(INDEX(Catégories!$E$5:$E$60,MATCH(E564,Catégories!$A$5:$A$60,0)),0))</f>
        <v>0</v>
      </c>
    </row>
    <row r="565" customFormat="false" ht="15" hidden="false" customHeight="true" outlineLevel="0" collapsed="false">
      <c r="A565" s="34"/>
      <c r="B565" s="29" t="str">
        <f aca="false">IF(A565="","",YEAR(A565))</f>
        <v/>
      </c>
      <c r="G565" s="35"/>
      <c r="H565" s="32" t="str">
        <f aca="false">IF(E565="","",IFERROR(INDEX(Catégories!$B$5:$B$60,MATCH(E565,Catégories!$A$5:$A$60,0)),"?"))</f>
        <v/>
      </c>
      <c r="I565" s="32" t="str">
        <f aca="false">IF(E565="","",IFERROR(INDEX(Catégories!$C$5:$C$60,MATCH(E565,Catégories!$A$5:$A$60,0)),"?"))</f>
        <v/>
      </c>
      <c r="J565" s="32" t="str">
        <f aca="false">IF(E565="","",IFERROR(INDEX(Catégories!$D$5:$D$60,MATCH(E565,Catégories!$A$5:$A$60,0)),"?"))</f>
        <v/>
      </c>
      <c r="K565" s="33" t="n">
        <f aca="false">IF(H565="Recette",G565,IF(H565="Dépense",-G565,0))</f>
        <v>0</v>
      </c>
      <c r="L565" s="33" t="n">
        <f aca="false">IF(E565="",0,G565*IFERROR(INDEX(Catégories!$E$5:$E$60,MATCH(E565,Catégories!$A$5:$A$60,0)),0))</f>
        <v>0</v>
      </c>
    </row>
    <row r="566" customFormat="false" ht="15" hidden="false" customHeight="true" outlineLevel="0" collapsed="false">
      <c r="A566" s="34"/>
      <c r="B566" s="29" t="str">
        <f aca="false">IF(A566="","",YEAR(A566))</f>
        <v/>
      </c>
      <c r="G566" s="35"/>
      <c r="H566" s="32" t="str">
        <f aca="false">IF(E566="","",IFERROR(INDEX(Catégories!$B$5:$B$60,MATCH(E566,Catégories!$A$5:$A$60,0)),"?"))</f>
        <v/>
      </c>
      <c r="I566" s="32" t="str">
        <f aca="false">IF(E566="","",IFERROR(INDEX(Catégories!$C$5:$C$60,MATCH(E566,Catégories!$A$5:$A$60,0)),"?"))</f>
        <v/>
      </c>
      <c r="J566" s="32" t="str">
        <f aca="false">IF(E566="","",IFERROR(INDEX(Catégories!$D$5:$D$60,MATCH(E566,Catégories!$A$5:$A$60,0)),"?"))</f>
        <v/>
      </c>
      <c r="K566" s="33" t="n">
        <f aca="false">IF(H566="Recette",G566,IF(H566="Dépense",-G566,0))</f>
        <v>0</v>
      </c>
      <c r="L566" s="33" t="n">
        <f aca="false">IF(E566="",0,G566*IFERROR(INDEX(Catégories!$E$5:$E$60,MATCH(E566,Catégories!$A$5:$A$60,0)),0))</f>
        <v>0</v>
      </c>
    </row>
    <row r="567" customFormat="false" ht="15" hidden="false" customHeight="true" outlineLevel="0" collapsed="false">
      <c r="A567" s="34"/>
      <c r="B567" s="29" t="str">
        <f aca="false">IF(A567="","",YEAR(A567))</f>
        <v/>
      </c>
      <c r="G567" s="35"/>
      <c r="H567" s="32" t="str">
        <f aca="false">IF(E567="","",IFERROR(INDEX(Catégories!$B$5:$B$60,MATCH(E567,Catégories!$A$5:$A$60,0)),"?"))</f>
        <v/>
      </c>
      <c r="I567" s="32" t="str">
        <f aca="false">IF(E567="","",IFERROR(INDEX(Catégories!$C$5:$C$60,MATCH(E567,Catégories!$A$5:$A$60,0)),"?"))</f>
        <v/>
      </c>
      <c r="J567" s="32" t="str">
        <f aca="false">IF(E567="","",IFERROR(INDEX(Catégories!$D$5:$D$60,MATCH(E567,Catégories!$A$5:$A$60,0)),"?"))</f>
        <v/>
      </c>
      <c r="K567" s="33" t="n">
        <f aca="false">IF(H567="Recette",G567,IF(H567="Dépense",-G567,0))</f>
        <v>0</v>
      </c>
      <c r="L567" s="33" t="n">
        <f aca="false">IF(E567="",0,G567*IFERROR(INDEX(Catégories!$E$5:$E$60,MATCH(E567,Catégories!$A$5:$A$60,0)),0))</f>
        <v>0</v>
      </c>
    </row>
    <row r="568" customFormat="false" ht="15" hidden="false" customHeight="true" outlineLevel="0" collapsed="false">
      <c r="A568" s="34"/>
      <c r="B568" s="29" t="str">
        <f aca="false">IF(A568="","",YEAR(A568))</f>
        <v/>
      </c>
      <c r="G568" s="35"/>
      <c r="H568" s="32" t="str">
        <f aca="false">IF(E568="","",IFERROR(INDEX(Catégories!$B$5:$B$60,MATCH(E568,Catégories!$A$5:$A$60,0)),"?"))</f>
        <v/>
      </c>
      <c r="I568" s="32" t="str">
        <f aca="false">IF(E568="","",IFERROR(INDEX(Catégories!$C$5:$C$60,MATCH(E568,Catégories!$A$5:$A$60,0)),"?"))</f>
        <v/>
      </c>
      <c r="J568" s="32" t="str">
        <f aca="false">IF(E568="","",IFERROR(INDEX(Catégories!$D$5:$D$60,MATCH(E568,Catégories!$A$5:$A$60,0)),"?"))</f>
        <v/>
      </c>
      <c r="K568" s="33" t="n">
        <f aca="false">IF(H568="Recette",G568,IF(H568="Dépense",-G568,0))</f>
        <v>0</v>
      </c>
      <c r="L568" s="33" t="n">
        <f aca="false">IF(E568="",0,G568*IFERROR(INDEX(Catégories!$E$5:$E$60,MATCH(E568,Catégories!$A$5:$A$60,0)),0))</f>
        <v>0</v>
      </c>
    </row>
    <row r="569" customFormat="false" ht="15" hidden="false" customHeight="true" outlineLevel="0" collapsed="false">
      <c r="A569" s="34"/>
      <c r="B569" s="29" t="str">
        <f aca="false">IF(A569="","",YEAR(A569))</f>
        <v/>
      </c>
      <c r="G569" s="35"/>
      <c r="H569" s="32" t="str">
        <f aca="false">IF(E569="","",IFERROR(INDEX(Catégories!$B$5:$B$60,MATCH(E569,Catégories!$A$5:$A$60,0)),"?"))</f>
        <v/>
      </c>
      <c r="I569" s="32" t="str">
        <f aca="false">IF(E569="","",IFERROR(INDEX(Catégories!$C$5:$C$60,MATCH(E569,Catégories!$A$5:$A$60,0)),"?"))</f>
        <v/>
      </c>
      <c r="J569" s="32" t="str">
        <f aca="false">IF(E569="","",IFERROR(INDEX(Catégories!$D$5:$D$60,MATCH(E569,Catégories!$A$5:$A$60,0)),"?"))</f>
        <v/>
      </c>
      <c r="K569" s="33" t="n">
        <f aca="false">IF(H569="Recette",G569,IF(H569="Dépense",-G569,0))</f>
        <v>0</v>
      </c>
      <c r="L569" s="33" t="n">
        <f aca="false">IF(E569="",0,G569*IFERROR(INDEX(Catégories!$E$5:$E$60,MATCH(E569,Catégories!$A$5:$A$60,0)),0))</f>
        <v>0</v>
      </c>
    </row>
    <row r="570" customFormat="false" ht="15" hidden="false" customHeight="true" outlineLevel="0" collapsed="false">
      <c r="A570" s="34"/>
      <c r="B570" s="29" t="str">
        <f aca="false">IF(A570="","",YEAR(A570))</f>
        <v/>
      </c>
      <c r="G570" s="35"/>
      <c r="H570" s="32" t="str">
        <f aca="false">IF(E570="","",IFERROR(INDEX(Catégories!$B$5:$B$60,MATCH(E570,Catégories!$A$5:$A$60,0)),"?"))</f>
        <v/>
      </c>
      <c r="I570" s="32" t="str">
        <f aca="false">IF(E570="","",IFERROR(INDEX(Catégories!$C$5:$C$60,MATCH(E570,Catégories!$A$5:$A$60,0)),"?"))</f>
        <v/>
      </c>
      <c r="J570" s="32" t="str">
        <f aca="false">IF(E570="","",IFERROR(INDEX(Catégories!$D$5:$D$60,MATCH(E570,Catégories!$A$5:$A$60,0)),"?"))</f>
        <v/>
      </c>
      <c r="K570" s="33" t="n">
        <f aca="false">IF(H570="Recette",G570,IF(H570="Dépense",-G570,0))</f>
        <v>0</v>
      </c>
      <c r="L570" s="33" t="n">
        <f aca="false">IF(E570="",0,G570*IFERROR(INDEX(Catégories!$E$5:$E$60,MATCH(E570,Catégories!$A$5:$A$60,0)),0))</f>
        <v>0</v>
      </c>
    </row>
    <row r="571" customFormat="false" ht="15" hidden="false" customHeight="true" outlineLevel="0" collapsed="false">
      <c r="A571" s="34"/>
      <c r="B571" s="29" t="str">
        <f aca="false">IF(A571="","",YEAR(A571))</f>
        <v/>
      </c>
      <c r="G571" s="35"/>
      <c r="H571" s="32" t="str">
        <f aca="false">IF(E571="","",IFERROR(INDEX(Catégories!$B$5:$B$60,MATCH(E571,Catégories!$A$5:$A$60,0)),"?"))</f>
        <v/>
      </c>
      <c r="I571" s="32" t="str">
        <f aca="false">IF(E571="","",IFERROR(INDEX(Catégories!$C$5:$C$60,MATCH(E571,Catégories!$A$5:$A$60,0)),"?"))</f>
        <v/>
      </c>
      <c r="J571" s="32" t="str">
        <f aca="false">IF(E571="","",IFERROR(INDEX(Catégories!$D$5:$D$60,MATCH(E571,Catégories!$A$5:$A$60,0)),"?"))</f>
        <v/>
      </c>
      <c r="K571" s="33" t="n">
        <f aca="false">IF(H571="Recette",G571,IF(H571="Dépense",-G571,0))</f>
        <v>0</v>
      </c>
      <c r="L571" s="33" t="n">
        <f aca="false">IF(E571="",0,G571*IFERROR(INDEX(Catégories!$E$5:$E$60,MATCH(E571,Catégories!$A$5:$A$60,0)),0))</f>
        <v>0</v>
      </c>
    </row>
    <row r="572" customFormat="false" ht="15" hidden="false" customHeight="true" outlineLevel="0" collapsed="false">
      <c r="A572" s="34"/>
      <c r="B572" s="29" t="str">
        <f aca="false">IF(A572="","",YEAR(A572))</f>
        <v/>
      </c>
      <c r="G572" s="35"/>
      <c r="H572" s="32" t="str">
        <f aca="false">IF(E572="","",IFERROR(INDEX(Catégories!$B$5:$B$60,MATCH(E572,Catégories!$A$5:$A$60,0)),"?"))</f>
        <v/>
      </c>
      <c r="I572" s="32" t="str">
        <f aca="false">IF(E572="","",IFERROR(INDEX(Catégories!$C$5:$C$60,MATCH(E572,Catégories!$A$5:$A$60,0)),"?"))</f>
        <v/>
      </c>
      <c r="J572" s="32" t="str">
        <f aca="false">IF(E572="","",IFERROR(INDEX(Catégories!$D$5:$D$60,MATCH(E572,Catégories!$A$5:$A$60,0)),"?"))</f>
        <v/>
      </c>
      <c r="K572" s="33" t="n">
        <f aca="false">IF(H572="Recette",G572,IF(H572="Dépense",-G572,0))</f>
        <v>0</v>
      </c>
      <c r="L572" s="33" t="n">
        <f aca="false">IF(E572="",0,G572*IFERROR(INDEX(Catégories!$E$5:$E$60,MATCH(E572,Catégories!$A$5:$A$60,0)),0))</f>
        <v>0</v>
      </c>
    </row>
    <row r="573" customFormat="false" ht="15" hidden="false" customHeight="true" outlineLevel="0" collapsed="false">
      <c r="A573" s="34"/>
      <c r="B573" s="29" t="str">
        <f aca="false">IF(A573="","",YEAR(A573))</f>
        <v/>
      </c>
      <c r="G573" s="35"/>
      <c r="H573" s="32" t="str">
        <f aca="false">IF(E573="","",IFERROR(INDEX(Catégories!$B$5:$B$60,MATCH(E573,Catégories!$A$5:$A$60,0)),"?"))</f>
        <v/>
      </c>
      <c r="I573" s="32" t="str">
        <f aca="false">IF(E573="","",IFERROR(INDEX(Catégories!$C$5:$C$60,MATCH(E573,Catégories!$A$5:$A$60,0)),"?"))</f>
        <v/>
      </c>
      <c r="J573" s="32" t="str">
        <f aca="false">IF(E573="","",IFERROR(INDEX(Catégories!$D$5:$D$60,MATCH(E573,Catégories!$A$5:$A$60,0)),"?"))</f>
        <v/>
      </c>
      <c r="K573" s="33" t="n">
        <f aca="false">IF(H573="Recette",G573,IF(H573="Dépense",-G573,0))</f>
        <v>0</v>
      </c>
      <c r="L573" s="33" t="n">
        <f aca="false">IF(E573="",0,G573*IFERROR(INDEX(Catégories!$E$5:$E$60,MATCH(E573,Catégories!$A$5:$A$60,0)),0))</f>
        <v>0</v>
      </c>
    </row>
    <row r="574" customFormat="false" ht="15" hidden="false" customHeight="true" outlineLevel="0" collapsed="false">
      <c r="A574" s="34"/>
      <c r="B574" s="29" t="str">
        <f aca="false">IF(A574="","",YEAR(A574))</f>
        <v/>
      </c>
      <c r="G574" s="35"/>
      <c r="H574" s="32" t="str">
        <f aca="false">IF(E574="","",IFERROR(INDEX(Catégories!$B$5:$B$60,MATCH(E574,Catégories!$A$5:$A$60,0)),"?"))</f>
        <v/>
      </c>
      <c r="I574" s="32" t="str">
        <f aca="false">IF(E574="","",IFERROR(INDEX(Catégories!$C$5:$C$60,MATCH(E574,Catégories!$A$5:$A$60,0)),"?"))</f>
        <v/>
      </c>
      <c r="J574" s="32" t="str">
        <f aca="false">IF(E574="","",IFERROR(INDEX(Catégories!$D$5:$D$60,MATCH(E574,Catégories!$A$5:$A$60,0)),"?"))</f>
        <v/>
      </c>
      <c r="K574" s="33" t="n">
        <f aca="false">IF(H574="Recette",G574,IF(H574="Dépense",-G574,0))</f>
        <v>0</v>
      </c>
      <c r="L574" s="33" t="n">
        <f aca="false">IF(E574="",0,G574*IFERROR(INDEX(Catégories!$E$5:$E$60,MATCH(E574,Catégories!$A$5:$A$60,0)),0))</f>
        <v>0</v>
      </c>
    </row>
    <row r="575" customFormat="false" ht="15" hidden="false" customHeight="true" outlineLevel="0" collapsed="false">
      <c r="A575" s="34"/>
      <c r="B575" s="29" t="str">
        <f aca="false">IF(A575="","",YEAR(A575))</f>
        <v/>
      </c>
      <c r="G575" s="35"/>
      <c r="H575" s="32" t="str">
        <f aca="false">IF(E575="","",IFERROR(INDEX(Catégories!$B$5:$B$60,MATCH(E575,Catégories!$A$5:$A$60,0)),"?"))</f>
        <v/>
      </c>
      <c r="I575" s="32" t="str">
        <f aca="false">IF(E575="","",IFERROR(INDEX(Catégories!$C$5:$C$60,MATCH(E575,Catégories!$A$5:$A$60,0)),"?"))</f>
        <v/>
      </c>
      <c r="J575" s="32" t="str">
        <f aca="false">IF(E575="","",IFERROR(INDEX(Catégories!$D$5:$D$60,MATCH(E575,Catégories!$A$5:$A$60,0)),"?"))</f>
        <v/>
      </c>
      <c r="K575" s="33" t="n">
        <f aca="false">IF(H575="Recette",G575,IF(H575="Dépense",-G575,0))</f>
        <v>0</v>
      </c>
      <c r="L575" s="33" t="n">
        <f aca="false">IF(E575="",0,G575*IFERROR(INDEX(Catégories!$E$5:$E$60,MATCH(E575,Catégories!$A$5:$A$60,0)),0))</f>
        <v>0</v>
      </c>
    </row>
    <row r="576" customFormat="false" ht="15" hidden="false" customHeight="true" outlineLevel="0" collapsed="false">
      <c r="A576" s="34"/>
      <c r="B576" s="29" t="str">
        <f aca="false">IF(A576="","",YEAR(A576))</f>
        <v/>
      </c>
      <c r="G576" s="35"/>
      <c r="H576" s="32" t="str">
        <f aca="false">IF(E576="","",IFERROR(INDEX(Catégories!$B$5:$B$60,MATCH(E576,Catégories!$A$5:$A$60,0)),"?"))</f>
        <v/>
      </c>
      <c r="I576" s="32" t="str">
        <f aca="false">IF(E576="","",IFERROR(INDEX(Catégories!$C$5:$C$60,MATCH(E576,Catégories!$A$5:$A$60,0)),"?"))</f>
        <v/>
      </c>
      <c r="J576" s="32" t="str">
        <f aca="false">IF(E576="","",IFERROR(INDEX(Catégories!$D$5:$D$60,MATCH(E576,Catégories!$A$5:$A$60,0)),"?"))</f>
        <v/>
      </c>
      <c r="K576" s="33" t="n">
        <f aca="false">IF(H576="Recette",G576,IF(H576="Dépense",-G576,0))</f>
        <v>0</v>
      </c>
      <c r="L576" s="33" t="n">
        <f aca="false">IF(E576="",0,G576*IFERROR(INDEX(Catégories!$E$5:$E$60,MATCH(E576,Catégories!$A$5:$A$60,0)),0))</f>
        <v>0</v>
      </c>
    </row>
    <row r="577" customFormat="false" ht="15" hidden="false" customHeight="true" outlineLevel="0" collapsed="false">
      <c r="A577" s="34"/>
      <c r="B577" s="29" t="str">
        <f aca="false">IF(A577="","",YEAR(A577))</f>
        <v/>
      </c>
      <c r="G577" s="35"/>
      <c r="H577" s="32" t="str">
        <f aca="false">IF(E577="","",IFERROR(INDEX(Catégories!$B$5:$B$60,MATCH(E577,Catégories!$A$5:$A$60,0)),"?"))</f>
        <v/>
      </c>
      <c r="I577" s="32" t="str">
        <f aca="false">IF(E577="","",IFERROR(INDEX(Catégories!$C$5:$C$60,MATCH(E577,Catégories!$A$5:$A$60,0)),"?"))</f>
        <v/>
      </c>
      <c r="J577" s="32" t="str">
        <f aca="false">IF(E577="","",IFERROR(INDEX(Catégories!$D$5:$D$60,MATCH(E577,Catégories!$A$5:$A$60,0)),"?"))</f>
        <v/>
      </c>
      <c r="K577" s="33" t="n">
        <f aca="false">IF(H577="Recette",G577,IF(H577="Dépense",-G577,0))</f>
        <v>0</v>
      </c>
      <c r="L577" s="33" t="n">
        <f aca="false">IF(E577="",0,G577*IFERROR(INDEX(Catégories!$E$5:$E$60,MATCH(E577,Catégories!$A$5:$A$60,0)),0))</f>
        <v>0</v>
      </c>
    </row>
    <row r="578" customFormat="false" ht="15" hidden="false" customHeight="true" outlineLevel="0" collapsed="false">
      <c r="A578" s="34"/>
      <c r="B578" s="29" t="str">
        <f aca="false">IF(A578="","",YEAR(A578))</f>
        <v/>
      </c>
      <c r="G578" s="35"/>
      <c r="H578" s="32" t="str">
        <f aca="false">IF(E578="","",IFERROR(INDEX(Catégories!$B$5:$B$60,MATCH(E578,Catégories!$A$5:$A$60,0)),"?"))</f>
        <v/>
      </c>
      <c r="I578" s="32" t="str">
        <f aca="false">IF(E578="","",IFERROR(INDEX(Catégories!$C$5:$C$60,MATCH(E578,Catégories!$A$5:$A$60,0)),"?"))</f>
        <v/>
      </c>
      <c r="J578" s="32" t="str">
        <f aca="false">IF(E578="","",IFERROR(INDEX(Catégories!$D$5:$D$60,MATCH(E578,Catégories!$A$5:$A$60,0)),"?"))</f>
        <v/>
      </c>
      <c r="K578" s="33" t="n">
        <f aca="false">IF(H578="Recette",G578,IF(H578="Dépense",-G578,0))</f>
        <v>0</v>
      </c>
      <c r="L578" s="33" t="n">
        <f aca="false">IF(E578="",0,G578*IFERROR(INDEX(Catégories!$E$5:$E$60,MATCH(E578,Catégories!$A$5:$A$60,0)),0))</f>
        <v>0</v>
      </c>
    </row>
    <row r="579" customFormat="false" ht="15" hidden="false" customHeight="true" outlineLevel="0" collapsed="false">
      <c r="A579" s="34"/>
      <c r="B579" s="29" t="str">
        <f aca="false">IF(A579="","",YEAR(A579))</f>
        <v/>
      </c>
      <c r="G579" s="35"/>
      <c r="H579" s="32" t="str">
        <f aca="false">IF(E579="","",IFERROR(INDEX(Catégories!$B$5:$B$60,MATCH(E579,Catégories!$A$5:$A$60,0)),"?"))</f>
        <v/>
      </c>
      <c r="I579" s="32" t="str">
        <f aca="false">IF(E579="","",IFERROR(INDEX(Catégories!$C$5:$C$60,MATCH(E579,Catégories!$A$5:$A$60,0)),"?"))</f>
        <v/>
      </c>
      <c r="J579" s="32" t="str">
        <f aca="false">IF(E579="","",IFERROR(INDEX(Catégories!$D$5:$D$60,MATCH(E579,Catégories!$A$5:$A$60,0)),"?"))</f>
        <v/>
      </c>
      <c r="K579" s="33" t="n">
        <f aca="false">IF(H579="Recette",G579,IF(H579="Dépense",-G579,0))</f>
        <v>0</v>
      </c>
      <c r="L579" s="33" t="n">
        <f aca="false">IF(E579="",0,G579*IFERROR(INDEX(Catégories!$E$5:$E$60,MATCH(E579,Catégories!$A$5:$A$60,0)),0))</f>
        <v>0</v>
      </c>
    </row>
    <row r="580" customFormat="false" ht="15" hidden="false" customHeight="true" outlineLevel="0" collapsed="false">
      <c r="A580" s="34"/>
      <c r="B580" s="29" t="str">
        <f aca="false">IF(A580="","",YEAR(A580))</f>
        <v/>
      </c>
      <c r="G580" s="35"/>
      <c r="H580" s="32" t="str">
        <f aca="false">IF(E580="","",IFERROR(INDEX(Catégories!$B$5:$B$60,MATCH(E580,Catégories!$A$5:$A$60,0)),"?"))</f>
        <v/>
      </c>
      <c r="I580" s="32" t="str">
        <f aca="false">IF(E580="","",IFERROR(INDEX(Catégories!$C$5:$C$60,MATCH(E580,Catégories!$A$5:$A$60,0)),"?"))</f>
        <v/>
      </c>
      <c r="J580" s="32" t="str">
        <f aca="false">IF(E580="","",IFERROR(INDEX(Catégories!$D$5:$D$60,MATCH(E580,Catégories!$A$5:$A$60,0)),"?"))</f>
        <v/>
      </c>
      <c r="K580" s="33" t="n">
        <f aca="false">IF(H580="Recette",G580,IF(H580="Dépense",-G580,0))</f>
        <v>0</v>
      </c>
      <c r="L580" s="33" t="n">
        <f aca="false">IF(E580="",0,G580*IFERROR(INDEX(Catégories!$E$5:$E$60,MATCH(E580,Catégories!$A$5:$A$60,0)),0))</f>
        <v>0</v>
      </c>
    </row>
    <row r="581" customFormat="false" ht="15" hidden="false" customHeight="true" outlineLevel="0" collapsed="false">
      <c r="A581" s="34"/>
      <c r="B581" s="29" t="str">
        <f aca="false">IF(A581="","",YEAR(A581))</f>
        <v/>
      </c>
      <c r="G581" s="35"/>
      <c r="H581" s="32" t="str">
        <f aca="false">IF(E581="","",IFERROR(INDEX(Catégories!$B$5:$B$60,MATCH(E581,Catégories!$A$5:$A$60,0)),"?"))</f>
        <v/>
      </c>
      <c r="I581" s="32" t="str">
        <f aca="false">IF(E581="","",IFERROR(INDEX(Catégories!$C$5:$C$60,MATCH(E581,Catégories!$A$5:$A$60,0)),"?"))</f>
        <v/>
      </c>
      <c r="J581" s="32" t="str">
        <f aca="false">IF(E581="","",IFERROR(INDEX(Catégories!$D$5:$D$60,MATCH(E581,Catégories!$A$5:$A$60,0)),"?"))</f>
        <v/>
      </c>
      <c r="K581" s="33" t="n">
        <f aca="false">IF(H581="Recette",G581,IF(H581="Dépense",-G581,0))</f>
        <v>0</v>
      </c>
      <c r="L581" s="33" t="n">
        <f aca="false">IF(E581="",0,G581*IFERROR(INDEX(Catégories!$E$5:$E$60,MATCH(E581,Catégories!$A$5:$A$60,0)),0))</f>
        <v>0</v>
      </c>
    </row>
    <row r="582" customFormat="false" ht="15" hidden="false" customHeight="true" outlineLevel="0" collapsed="false">
      <c r="A582" s="34"/>
      <c r="B582" s="29" t="str">
        <f aca="false">IF(A582="","",YEAR(A582))</f>
        <v/>
      </c>
      <c r="G582" s="35"/>
      <c r="H582" s="32" t="str">
        <f aca="false">IF(E582="","",IFERROR(INDEX(Catégories!$B$5:$B$60,MATCH(E582,Catégories!$A$5:$A$60,0)),"?"))</f>
        <v/>
      </c>
      <c r="I582" s="32" t="str">
        <f aca="false">IF(E582="","",IFERROR(INDEX(Catégories!$C$5:$C$60,MATCH(E582,Catégories!$A$5:$A$60,0)),"?"))</f>
        <v/>
      </c>
      <c r="J582" s="32" t="str">
        <f aca="false">IF(E582="","",IFERROR(INDEX(Catégories!$D$5:$D$60,MATCH(E582,Catégories!$A$5:$A$60,0)),"?"))</f>
        <v/>
      </c>
      <c r="K582" s="33" t="n">
        <f aca="false">IF(H582="Recette",G582,IF(H582="Dépense",-G582,0))</f>
        <v>0</v>
      </c>
      <c r="L582" s="33" t="n">
        <f aca="false">IF(E582="",0,G582*IFERROR(INDEX(Catégories!$E$5:$E$60,MATCH(E582,Catégories!$A$5:$A$60,0)),0))</f>
        <v>0</v>
      </c>
    </row>
    <row r="583" customFormat="false" ht="15" hidden="false" customHeight="true" outlineLevel="0" collapsed="false">
      <c r="A583" s="34"/>
      <c r="B583" s="29" t="str">
        <f aca="false">IF(A583="","",YEAR(A583))</f>
        <v/>
      </c>
      <c r="G583" s="35"/>
      <c r="H583" s="32" t="str">
        <f aca="false">IF(E583="","",IFERROR(INDEX(Catégories!$B$5:$B$60,MATCH(E583,Catégories!$A$5:$A$60,0)),"?"))</f>
        <v/>
      </c>
      <c r="I583" s="32" t="str">
        <f aca="false">IF(E583="","",IFERROR(INDEX(Catégories!$C$5:$C$60,MATCH(E583,Catégories!$A$5:$A$60,0)),"?"))</f>
        <v/>
      </c>
      <c r="J583" s="32" t="str">
        <f aca="false">IF(E583="","",IFERROR(INDEX(Catégories!$D$5:$D$60,MATCH(E583,Catégories!$A$5:$A$60,0)),"?"))</f>
        <v/>
      </c>
      <c r="K583" s="33" t="n">
        <f aca="false">IF(H583="Recette",G583,IF(H583="Dépense",-G583,0))</f>
        <v>0</v>
      </c>
      <c r="L583" s="33" t="n">
        <f aca="false">IF(E583="",0,G583*IFERROR(INDEX(Catégories!$E$5:$E$60,MATCH(E583,Catégories!$A$5:$A$60,0)),0))</f>
        <v>0</v>
      </c>
    </row>
    <row r="584" customFormat="false" ht="15" hidden="false" customHeight="true" outlineLevel="0" collapsed="false">
      <c r="A584" s="34"/>
      <c r="B584" s="29" t="str">
        <f aca="false">IF(A584="","",YEAR(A584))</f>
        <v/>
      </c>
      <c r="G584" s="35"/>
      <c r="H584" s="32" t="str">
        <f aca="false">IF(E584="","",IFERROR(INDEX(Catégories!$B$5:$B$60,MATCH(E584,Catégories!$A$5:$A$60,0)),"?"))</f>
        <v/>
      </c>
      <c r="I584" s="32" t="str">
        <f aca="false">IF(E584="","",IFERROR(INDEX(Catégories!$C$5:$C$60,MATCH(E584,Catégories!$A$5:$A$60,0)),"?"))</f>
        <v/>
      </c>
      <c r="J584" s="32" t="str">
        <f aca="false">IF(E584="","",IFERROR(INDEX(Catégories!$D$5:$D$60,MATCH(E584,Catégories!$A$5:$A$60,0)),"?"))</f>
        <v/>
      </c>
      <c r="K584" s="33" t="n">
        <f aca="false">IF(H584="Recette",G584,IF(H584="Dépense",-G584,0))</f>
        <v>0</v>
      </c>
      <c r="L584" s="33" t="n">
        <f aca="false">IF(E584="",0,G584*IFERROR(INDEX(Catégories!$E$5:$E$60,MATCH(E584,Catégories!$A$5:$A$60,0)),0))</f>
        <v>0</v>
      </c>
    </row>
    <row r="585" customFormat="false" ht="15" hidden="false" customHeight="true" outlineLevel="0" collapsed="false">
      <c r="A585" s="34"/>
      <c r="B585" s="29" t="str">
        <f aca="false">IF(A585="","",YEAR(A585))</f>
        <v/>
      </c>
      <c r="G585" s="35"/>
      <c r="H585" s="32" t="str">
        <f aca="false">IF(E585="","",IFERROR(INDEX(Catégories!$B$5:$B$60,MATCH(E585,Catégories!$A$5:$A$60,0)),"?"))</f>
        <v/>
      </c>
      <c r="I585" s="32" t="str">
        <f aca="false">IF(E585="","",IFERROR(INDEX(Catégories!$C$5:$C$60,MATCH(E585,Catégories!$A$5:$A$60,0)),"?"))</f>
        <v/>
      </c>
      <c r="J585" s="32" t="str">
        <f aca="false">IF(E585="","",IFERROR(INDEX(Catégories!$D$5:$D$60,MATCH(E585,Catégories!$A$5:$A$60,0)),"?"))</f>
        <v/>
      </c>
      <c r="K585" s="33" t="n">
        <f aca="false">IF(H585="Recette",G585,IF(H585="Dépense",-G585,0))</f>
        <v>0</v>
      </c>
      <c r="L585" s="33" t="n">
        <f aca="false">IF(E585="",0,G585*IFERROR(INDEX(Catégories!$E$5:$E$60,MATCH(E585,Catégories!$A$5:$A$60,0)),0))</f>
        <v>0</v>
      </c>
    </row>
    <row r="586" customFormat="false" ht="15" hidden="false" customHeight="true" outlineLevel="0" collapsed="false">
      <c r="A586" s="34"/>
      <c r="B586" s="29" t="str">
        <f aca="false">IF(A586="","",YEAR(A586))</f>
        <v/>
      </c>
      <c r="G586" s="35"/>
      <c r="H586" s="32" t="str">
        <f aca="false">IF(E586="","",IFERROR(INDEX(Catégories!$B$5:$B$60,MATCH(E586,Catégories!$A$5:$A$60,0)),"?"))</f>
        <v/>
      </c>
      <c r="I586" s="32" t="str">
        <f aca="false">IF(E586="","",IFERROR(INDEX(Catégories!$C$5:$C$60,MATCH(E586,Catégories!$A$5:$A$60,0)),"?"))</f>
        <v/>
      </c>
      <c r="J586" s="32" t="str">
        <f aca="false">IF(E586="","",IFERROR(INDEX(Catégories!$D$5:$D$60,MATCH(E586,Catégories!$A$5:$A$60,0)),"?"))</f>
        <v/>
      </c>
      <c r="K586" s="33" t="n">
        <f aca="false">IF(H586="Recette",G586,IF(H586="Dépense",-G586,0))</f>
        <v>0</v>
      </c>
      <c r="L586" s="33" t="n">
        <f aca="false">IF(E586="",0,G586*IFERROR(INDEX(Catégories!$E$5:$E$60,MATCH(E586,Catégories!$A$5:$A$60,0)),0))</f>
        <v>0</v>
      </c>
    </row>
    <row r="587" customFormat="false" ht="15" hidden="false" customHeight="true" outlineLevel="0" collapsed="false">
      <c r="A587" s="34"/>
      <c r="B587" s="29" t="str">
        <f aca="false">IF(A587="","",YEAR(A587))</f>
        <v/>
      </c>
      <c r="G587" s="35"/>
      <c r="H587" s="32" t="str">
        <f aca="false">IF(E587="","",IFERROR(INDEX(Catégories!$B$5:$B$60,MATCH(E587,Catégories!$A$5:$A$60,0)),"?"))</f>
        <v/>
      </c>
      <c r="I587" s="32" t="str">
        <f aca="false">IF(E587="","",IFERROR(INDEX(Catégories!$C$5:$C$60,MATCH(E587,Catégories!$A$5:$A$60,0)),"?"))</f>
        <v/>
      </c>
      <c r="J587" s="32" t="str">
        <f aca="false">IF(E587="","",IFERROR(INDEX(Catégories!$D$5:$D$60,MATCH(E587,Catégories!$A$5:$A$60,0)),"?"))</f>
        <v/>
      </c>
      <c r="K587" s="33" t="n">
        <f aca="false">IF(H587="Recette",G587,IF(H587="Dépense",-G587,0))</f>
        <v>0</v>
      </c>
      <c r="L587" s="33" t="n">
        <f aca="false">IF(E587="",0,G587*IFERROR(INDEX(Catégories!$E$5:$E$60,MATCH(E587,Catégories!$A$5:$A$60,0)),0))</f>
        <v>0</v>
      </c>
    </row>
    <row r="588" customFormat="false" ht="15" hidden="false" customHeight="true" outlineLevel="0" collapsed="false">
      <c r="A588" s="34"/>
      <c r="B588" s="29" t="str">
        <f aca="false">IF(A588="","",YEAR(A588))</f>
        <v/>
      </c>
      <c r="G588" s="35"/>
      <c r="H588" s="32" t="str">
        <f aca="false">IF(E588="","",IFERROR(INDEX(Catégories!$B$5:$B$60,MATCH(E588,Catégories!$A$5:$A$60,0)),"?"))</f>
        <v/>
      </c>
      <c r="I588" s="32" t="str">
        <f aca="false">IF(E588="","",IFERROR(INDEX(Catégories!$C$5:$C$60,MATCH(E588,Catégories!$A$5:$A$60,0)),"?"))</f>
        <v/>
      </c>
      <c r="J588" s="32" t="str">
        <f aca="false">IF(E588="","",IFERROR(INDEX(Catégories!$D$5:$D$60,MATCH(E588,Catégories!$A$5:$A$60,0)),"?"))</f>
        <v/>
      </c>
      <c r="K588" s="33" t="n">
        <f aca="false">IF(H588="Recette",G588,IF(H588="Dépense",-G588,0))</f>
        <v>0</v>
      </c>
      <c r="L588" s="33" t="n">
        <f aca="false">IF(E588="",0,G588*IFERROR(INDEX(Catégories!$E$5:$E$60,MATCH(E588,Catégories!$A$5:$A$60,0)),0))</f>
        <v>0</v>
      </c>
    </row>
    <row r="589" customFormat="false" ht="15" hidden="false" customHeight="true" outlineLevel="0" collapsed="false">
      <c r="A589" s="34"/>
      <c r="B589" s="29" t="str">
        <f aca="false">IF(A589="","",YEAR(A589))</f>
        <v/>
      </c>
      <c r="G589" s="35"/>
      <c r="H589" s="32" t="str">
        <f aca="false">IF(E589="","",IFERROR(INDEX(Catégories!$B$5:$B$60,MATCH(E589,Catégories!$A$5:$A$60,0)),"?"))</f>
        <v/>
      </c>
      <c r="I589" s="32" t="str">
        <f aca="false">IF(E589="","",IFERROR(INDEX(Catégories!$C$5:$C$60,MATCH(E589,Catégories!$A$5:$A$60,0)),"?"))</f>
        <v/>
      </c>
      <c r="J589" s="32" t="str">
        <f aca="false">IF(E589="","",IFERROR(INDEX(Catégories!$D$5:$D$60,MATCH(E589,Catégories!$A$5:$A$60,0)),"?"))</f>
        <v/>
      </c>
      <c r="K589" s="33" t="n">
        <f aca="false">IF(H589="Recette",G589,IF(H589="Dépense",-G589,0))</f>
        <v>0</v>
      </c>
      <c r="L589" s="33" t="n">
        <f aca="false">IF(E589="",0,G589*IFERROR(INDEX(Catégories!$E$5:$E$60,MATCH(E589,Catégories!$A$5:$A$60,0)),0))</f>
        <v>0</v>
      </c>
    </row>
    <row r="590" customFormat="false" ht="15" hidden="false" customHeight="true" outlineLevel="0" collapsed="false">
      <c r="A590" s="34"/>
      <c r="B590" s="29" t="str">
        <f aca="false">IF(A590="","",YEAR(A590))</f>
        <v/>
      </c>
      <c r="G590" s="35"/>
      <c r="H590" s="32" t="str">
        <f aca="false">IF(E590="","",IFERROR(INDEX(Catégories!$B$5:$B$60,MATCH(E590,Catégories!$A$5:$A$60,0)),"?"))</f>
        <v/>
      </c>
      <c r="I590" s="32" t="str">
        <f aca="false">IF(E590="","",IFERROR(INDEX(Catégories!$C$5:$C$60,MATCH(E590,Catégories!$A$5:$A$60,0)),"?"))</f>
        <v/>
      </c>
      <c r="J590" s="32" t="str">
        <f aca="false">IF(E590="","",IFERROR(INDEX(Catégories!$D$5:$D$60,MATCH(E590,Catégories!$A$5:$A$60,0)),"?"))</f>
        <v/>
      </c>
      <c r="K590" s="33" t="n">
        <f aca="false">IF(H590="Recette",G590,IF(H590="Dépense",-G590,0))</f>
        <v>0</v>
      </c>
      <c r="L590" s="33" t="n">
        <f aca="false">IF(E590="",0,G590*IFERROR(INDEX(Catégories!$E$5:$E$60,MATCH(E590,Catégories!$A$5:$A$60,0)),0))</f>
        <v>0</v>
      </c>
    </row>
    <row r="591" customFormat="false" ht="15" hidden="false" customHeight="true" outlineLevel="0" collapsed="false">
      <c r="A591" s="34"/>
      <c r="B591" s="29" t="str">
        <f aca="false">IF(A591="","",YEAR(A591))</f>
        <v/>
      </c>
      <c r="G591" s="35"/>
      <c r="H591" s="32" t="str">
        <f aca="false">IF(E591="","",IFERROR(INDEX(Catégories!$B$5:$B$60,MATCH(E591,Catégories!$A$5:$A$60,0)),"?"))</f>
        <v/>
      </c>
      <c r="I591" s="32" t="str">
        <f aca="false">IF(E591="","",IFERROR(INDEX(Catégories!$C$5:$C$60,MATCH(E591,Catégories!$A$5:$A$60,0)),"?"))</f>
        <v/>
      </c>
      <c r="J591" s="32" t="str">
        <f aca="false">IF(E591="","",IFERROR(INDEX(Catégories!$D$5:$D$60,MATCH(E591,Catégories!$A$5:$A$60,0)),"?"))</f>
        <v/>
      </c>
      <c r="K591" s="33" t="n">
        <f aca="false">IF(H591="Recette",G591,IF(H591="Dépense",-G591,0))</f>
        <v>0</v>
      </c>
      <c r="L591" s="33" t="n">
        <f aca="false">IF(E591="",0,G591*IFERROR(INDEX(Catégories!$E$5:$E$60,MATCH(E591,Catégories!$A$5:$A$60,0)),0))</f>
        <v>0</v>
      </c>
    </row>
    <row r="592" customFormat="false" ht="15" hidden="false" customHeight="true" outlineLevel="0" collapsed="false">
      <c r="A592" s="34"/>
      <c r="B592" s="29" t="str">
        <f aca="false">IF(A592="","",YEAR(A592))</f>
        <v/>
      </c>
      <c r="G592" s="35"/>
      <c r="H592" s="32" t="str">
        <f aca="false">IF(E592="","",IFERROR(INDEX(Catégories!$B$5:$B$60,MATCH(E592,Catégories!$A$5:$A$60,0)),"?"))</f>
        <v/>
      </c>
      <c r="I592" s="32" t="str">
        <f aca="false">IF(E592="","",IFERROR(INDEX(Catégories!$C$5:$C$60,MATCH(E592,Catégories!$A$5:$A$60,0)),"?"))</f>
        <v/>
      </c>
      <c r="J592" s="32" t="str">
        <f aca="false">IF(E592="","",IFERROR(INDEX(Catégories!$D$5:$D$60,MATCH(E592,Catégories!$A$5:$A$60,0)),"?"))</f>
        <v/>
      </c>
      <c r="K592" s="33" t="n">
        <f aca="false">IF(H592="Recette",G592,IF(H592="Dépense",-G592,0))</f>
        <v>0</v>
      </c>
      <c r="L592" s="33" t="n">
        <f aca="false">IF(E592="",0,G592*IFERROR(INDEX(Catégories!$E$5:$E$60,MATCH(E592,Catégories!$A$5:$A$60,0)),0))</f>
        <v>0</v>
      </c>
    </row>
    <row r="593" customFormat="false" ht="15" hidden="false" customHeight="true" outlineLevel="0" collapsed="false">
      <c r="A593" s="34"/>
      <c r="B593" s="29" t="str">
        <f aca="false">IF(A593="","",YEAR(A593))</f>
        <v/>
      </c>
      <c r="G593" s="35"/>
      <c r="H593" s="32" t="str">
        <f aca="false">IF(E593="","",IFERROR(INDEX(Catégories!$B$5:$B$60,MATCH(E593,Catégories!$A$5:$A$60,0)),"?"))</f>
        <v/>
      </c>
      <c r="I593" s="32" t="str">
        <f aca="false">IF(E593="","",IFERROR(INDEX(Catégories!$C$5:$C$60,MATCH(E593,Catégories!$A$5:$A$60,0)),"?"))</f>
        <v/>
      </c>
      <c r="J593" s="32" t="str">
        <f aca="false">IF(E593="","",IFERROR(INDEX(Catégories!$D$5:$D$60,MATCH(E593,Catégories!$A$5:$A$60,0)),"?"))</f>
        <v/>
      </c>
      <c r="K593" s="33" t="n">
        <f aca="false">IF(H593="Recette",G593,IF(H593="Dépense",-G593,0))</f>
        <v>0</v>
      </c>
      <c r="L593" s="33" t="n">
        <f aca="false">IF(E593="",0,G593*IFERROR(INDEX(Catégories!$E$5:$E$60,MATCH(E593,Catégories!$A$5:$A$60,0)),0))</f>
        <v>0</v>
      </c>
    </row>
    <row r="594" customFormat="false" ht="15" hidden="false" customHeight="true" outlineLevel="0" collapsed="false">
      <c r="A594" s="34"/>
      <c r="B594" s="29" t="str">
        <f aca="false">IF(A594="","",YEAR(A594))</f>
        <v/>
      </c>
      <c r="G594" s="35"/>
      <c r="H594" s="32" t="str">
        <f aca="false">IF(E594="","",IFERROR(INDEX(Catégories!$B$5:$B$60,MATCH(E594,Catégories!$A$5:$A$60,0)),"?"))</f>
        <v/>
      </c>
      <c r="I594" s="32" t="str">
        <f aca="false">IF(E594="","",IFERROR(INDEX(Catégories!$C$5:$C$60,MATCH(E594,Catégories!$A$5:$A$60,0)),"?"))</f>
        <v/>
      </c>
      <c r="J594" s="32" t="str">
        <f aca="false">IF(E594="","",IFERROR(INDEX(Catégories!$D$5:$D$60,MATCH(E594,Catégories!$A$5:$A$60,0)),"?"))</f>
        <v/>
      </c>
      <c r="K594" s="33" t="n">
        <f aca="false">IF(H594="Recette",G594,IF(H594="Dépense",-G594,0))</f>
        <v>0</v>
      </c>
      <c r="L594" s="33" t="n">
        <f aca="false">IF(E594="",0,G594*IFERROR(INDEX(Catégories!$E$5:$E$60,MATCH(E594,Catégories!$A$5:$A$60,0)),0))</f>
        <v>0</v>
      </c>
    </row>
    <row r="595" customFormat="false" ht="15" hidden="false" customHeight="true" outlineLevel="0" collapsed="false">
      <c r="A595" s="34"/>
      <c r="B595" s="29" t="str">
        <f aca="false">IF(A595="","",YEAR(A595))</f>
        <v/>
      </c>
      <c r="G595" s="35"/>
      <c r="H595" s="32" t="str">
        <f aca="false">IF(E595="","",IFERROR(INDEX(Catégories!$B$5:$B$60,MATCH(E595,Catégories!$A$5:$A$60,0)),"?"))</f>
        <v/>
      </c>
      <c r="I595" s="32" t="str">
        <f aca="false">IF(E595="","",IFERROR(INDEX(Catégories!$C$5:$C$60,MATCH(E595,Catégories!$A$5:$A$60,0)),"?"))</f>
        <v/>
      </c>
      <c r="J595" s="32" t="str">
        <f aca="false">IF(E595="","",IFERROR(INDEX(Catégories!$D$5:$D$60,MATCH(E595,Catégories!$A$5:$A$60,0)),"?"))</f>
        <v/>
      </c>
      <c r="K595" s="33" t="n">
        <f aca="false">IF(H595="Recette",G595,IF(H595="Dépense",-G595,0))</f>
        <v>0</v>
      </c>
      <c r="L595" s="33" t="n">
        <f aca="false">IF(E595="",0,G595*IFERROR(INDEX(Catégories!$E$5:$E$60,MATCH(E595,Catégories!$A$5:$A$60,0)),0))</f>
        <v>0</v>
      </c>
    </row>
    <row r="596" customFormat="false" ht="15" hidden="false" customHeight="true" outlineLevel="0" collapsed="false">
      <c r="A596" s="34"/>
      <c r="B596" s="29" t="str">
        <f aca="false">IF(A596="","",YEAR(A596))</f>
        <v/>
      </c>
      <c r="G596" s="35"/>
      <c r="H596" s="32" t="str">
        <f aca="false">IF(E596="","",IFERROR(INDEX(Catégories!$B$5:$B$60,MATCH(E596,Catégories!$A$5:$A$60,0)),"?"))</f>
        <v/>
      </c>
      <c r="I596" s="32" t="str">
        <f aca="false">IF(E596="","",IFERROR(INDEX(Catégories!$C$5:$C$60,MATCH(E596,Catégories!$A$5:$A$60,0)),"?"))</f>
        <v/>
      </c>
      <c r="J596" s="32" t="str">
        <f aca="false">IF(E596="","",IFERROR(INDEX(Catégories!$D$5:$D$60,MATCH(E596,Catégories!$A$5:$A$60,0)),"?"))</f>
        <v/>
      </c>
      <c r="K596" s="33" t="n">
        <f aca="false">IF(H596="Recette",G596,IF(H596="Dépense",-G596,0))</f>
        <v>0</v>
      </c>
      <c r="L596" s="33" t="n">
        <f aca="false">IF(E596="",0,G596*IFERROR(INDEX(Catégories!$E$5:$E$60,MATCH(E596,Catégories!$A$5:$A$60,0)),0))</f>
        <v>0</v>
      </c>
    </row>
    <row r="597" customFormat="false" ht="15" hidden="false" customHeight="true" outlineLevel="0" collapsed="false">
      <c r="A597" s="34"/>
      <c r="B597" s="29" t="str">
        <f aca="false">IF(A597="","",YEAR(A597))</f>
        <v/>
      </c>
      <c r="G597" s="35"/>
      <c r="H597" s="32" t="str">
        <f aca="false">IF(E597="","",IFERROR(INDEX(Catégories!$B$5:$B$60,MATCH(E597,Catégories!$A$5:$A$60,0)),"?"))</f>
        <v/>
      </c>
      <c r="I597" s="32" t="str">
        <f aca="false">IF(E597="","",IFERROR(INDEX(Catégories!$C$5:$C$60,MATCH(E597,Catégories!$A$5:$A$60,0)),"?"))</f>
        <v/>
      </c>
      <c r="J597" s="32" t="str">
        <f aca="false">IF(E597="","",IFERROR(INDEX(Catégories!$D$5:$D$60,MATCH(E597,Catégories!$A$5:$A$60,0)),"?"))</f>
        <v/>
      </c>
      <c r="K597" s="33" t="n">
        <f aca="false">IF(H597="Recette",G597,IF(H597="Dépense",-G597,0))</f>
        <v>0</v>
      </c>
      <c r="L597" s="33" t="n">
        <f aca="false">IF(E597="",0,G597*IFERROR(INDEX(Catégories!$E$5:$E$60,MATCH(E597,Catégories!$A$5:$A$60,0)),0))</f>
        <v>0</v>
      </c>
    </row>
    <row r="598" customFormat="false" ht="15" hidden="false" customHeight="true" outlineLevel="0" collapsed="false">
      <c r="A598" s="34"/>
      <c r="B598" s="29" t="str">
        <f aca="false">IF(A598="","",YEAR(A598))</f>
        <v/>
      </c>
      <c r="G598" s="35"/>
      <c r="H598" s="32" t="str">
        <f aca="false">IF(E598="","",IFERROR(INDEX(Catégories!$B$5:$B$60,MATCH(E598,Catégories!$A$5:$A$60,0)),"?"))</f>
        <v/>
      </c>
      <c r="I598" s="32" t="str">
        <f aca="false">IF(E598="","",IFERROR(INDEX(Catégories!$C$5:$C$60,MATCH(E598,Catégories!$A$5:$A$60,0)),"?"))</f>
        <v/>
      </c>
      <c r="J598" s="32" t="str">
        <f aca="false">IF(E598="","",IFERROR(INDEX(Catégories!$D$5:$D$60,MATCH(E598,Catégories!$A$5:$A$60,0)),"?"))</f>
        <v/>
      </c>
      <c r="K598" s="33" t="n">
        <f aca="false">IF(H598="Recette",G598,IF(H598="Dépense",-G598,0))</f>
        <v>0</v>
      </c>
      <c r="L598" s="33" t="n">
        <f aca="false">IF(E598="",0,G598*IFERROR(INDEX(Catégories!$E$5:$E$60,MATCH(E598,Catégories!$A$5:$A$60,0)),0))</f>
        <v>0</v>
      </c>
    </row>
    <row r="599" customFormat="false" ht="15" hidden="false" customHeight="true" outlineLevel="0" collapsed="false">
      <c r="A599" s="34"/>
      <c r="B599" s="29" t="str">
        <f aca="false">IF(A599="","",YEAR(A599))</f>
        <v/>
      </c>
      <c r="G599" s="35"/>
      <c r="H599" s="32" t="str">
        <f aca="false">IF(E599="","",IFERROR(INDEX(Catégories!$B$5:$B$60,MATCH(E599,Catégories!$A$5:$A$60,0)),"?"))</f>
        <v/>
      </c>
      <c r="I599" s="32" t="str">
        <f aca="false">IF(E599="","",IFERROR(INDEX(Catégories!$C$5:$C$60,MATCH(E599,Catégories!$A$5:$A$60,0)),"?"))</f>
        <v/>
      </c>
      <c r="J599" s="32" t="str">
        <f aca="false">IF(E599="","",IFERROR(INDEX(Catégories!$D$5:$D$60,MATCH(E599,Catégories!$A$5:$A$60,0)),"?"))</f>
        <v/>
      </c>
      <c r="K599" s="33" t="n">
        <f aca="false">IF(H599="Recette",G599,IF(H599="Dépense",-G599,0))</f>
        <v>0</v>
      </c>
      <c r="L599" s="33" t="n">
        <f aca="false">IF(E599="",0,G599*IFERROR(INDEX(Catégories!$E$5:$E$60,MATCH(E599,Catégories!$A$5:$A$60,0)),0))</f>
        <v>0</v>
      </c>
    </row>
    <row r="600" customFormat="false" ht="15" hidden="false" customHeight="true" outlineLevel="0" collapsed="false">
      <c r="A600" s="34"/>
      <c r="B600" s="29" t="str">
        <f aca="false">IF(A600="","",YEAR(A600))</f>
        <v/>
      </c>
      <c r="G600" s="35"/>
      <c r="H600" s="32" t="str">
        <f aca="false">IF(E600="","",IFERROR(INDEX(Catégories!$B$5:$B$60,MATCH(E600,Catégories!$A$5:$A$60,0)),"?"))</f>
        <v/>
      </c>
      <c r="I600" s="32" t="str">
        <f aca="false">IF(E600="","",IFERROR(INDEX(Catégories!$C$5:$C$60,MATCH(E600,Catégories!$A$5:$A$60,0)),"?"))</f>
        <v/>
      </c>
      <c r="J600" s="32" t="str">
        <f aca="false">IF(E600="","",IFERROR(INDEX(Catégories!$D$5:$D$60,MATCH(E600,Catégories!$A$5:$A$60,0)),"?"))</f>
        <v/>
      </c>
      <c r="K600" s="33" t="n">
        <f aca="false">IF(H600="Recette",G600,IF(H600="Dépense",-G600,0))</f>
        <v>0</v>
      </c>
      <c r="L600" s="33" t="n">
        <f aca="false">IF(E600="",0,G600*IFERROR(INDEX(Catégories!$E$5:$E$60,MATCH(E600,Catégories!$A$5:$A$60,0)),0))</f>
        <v>0</v>
      </c>
    </row>
    <row r="601" customFormat="false" ht="15" hidden="false" customHeight="true" outlineLevel="0" collapsed="false">
      <c r="A601" s="34"/>
      <c r="B601" s="29" t="str">
        <f aca="false">IF(A601="","",YEAR(A601))</f>
        <v/>
      </c>
      <c r="G601" s="35"/>
      <c r="H601" s="32" t="str">
        <f aca="false">IF(E601="","",IFERROR(INDEX(Catégories!$B$5:$B$60,MATCH(E601,Catégories!$A$5:$A$60,0)),"?"))</f>
        <v/>
      </c>
      <c r="I601" s="32" t="str">
        <f aca="false">IF(E601="","",IFERROR(INDEX(Catégories!$C$5:$C$60,MATCH(E601,Catégories!$A$5:$A$60,0)),"?"))</f>
        <v/>
      </c>
      <c r="J601" s="32" t="str">
        <f aca="false">IF(E601="","",IFERROR(INDEX(Catégories!$D$5:$D$60,MATCH(E601,Catégories!$A$5:$A$60,0)),"?"))</f>
        <v/>
      </c>
      <c r="K601" s="33" t="n">
        <f aca="false">IF(H601="Recette",G601,IF(H601="Dépense",-G601,0))</f>
        <v>0</v>
      </c>
      <c r="L601" s="33" t="n">
        <f aca="false">IF(E601="",0,G601*IFERROR(INDEX(Catégories!$E$5:$E$60,MATCH(E601,Catégories!$A$5:$A$60,0)),0))</f>
        <v>0</v>
      </c>
    </row>
    <row r="602" customFormat="false" ht="15" hidden="false" customHeight="true" outlineLevel="0" collapsed="false">
      <c r="A602" s="34"/>
      <c r="B602" s="29" t="str">
        <f aca="false">IF(A602="","",YEAR(A602))</f>
        <v/>
      </c>
      <c r="G602" s="35"/>
      <c r="H602" s="32" t="str">
        <f aca="false">IF(E602="","",IFERROR(INDEX(Catégories!$B$5:$B$60,MATCH(E602,Catégories!$A$5:$A$60,0)),"?"))</f>
        <v/>
      </c>
      <c r="I602" s="32" t="str">
        <f aca="false">IF(E602="","",IFERROR(INDEX(Catégories!$C$5:$C$60,MATCH(E602,Catégories!$A$5:$A$60,0)),"?"))</f>
        <v/>
      </c>
      <c r="J602" s="32" t="str">
        <f aca="false">IF(E602="","",IFERROR(INDEX(Catégories!$D$5:$D$60,MATCH(E602,Catégories!$A$5:$A$60,0)),"?"))</f>
        <v/>
      </c>
      <c r="K602" s="33" t="n">
        <f aca="false">IF(H602="Recette",G602,IF(H602="Dépense",-G602,0))</f>
        <v>0</v>
      </c>
      <c r="L602" s="33" t="n">
        <f aca="false">IF(E602="",0,G602*IFERROR(INDEX(Catégories!$E$5:$E$60,MATCH(E602,Catégories!$A$5:$A$60,0)),0))</f>
        <v>0</v>
      </c>
    </row>
    <row r="603" customFormat="false" ht="15" hidden="false" customHeight="true" outlineLevel="0" collapsed="false">
      <c r="A603" s="34"/>
      <c r="B603" s="29" t="str">
        <f aca="false">IF(A603="","",YEAR(A603))</f>
        <v/>
      </c>
      <c r="G603" s="35"/>
      <c r="H603" s="32" t="str">
        <f aca="false">IF(E603="","",IFERROR(INDEX(Catégories!$B$5:$B$60,MATCH(E603,Catégories!$A$5:$A$60,0)),"?"))</f>
        <v/>
      </c>
      <c r="I603" s="32" t="str">
        <f aca="false">IF(E603="","",IFERROR(INDEX(Catégories!$C$5:$C$60,MATCH(E603,Catégories!$A$5:$A$60,0)),"?"))</f>
        <v/>
      </c>
      <c r="J603" s="32" t="str">
        <f aca="false">IF(E603="","",IFERROR(INDEX(Catégories!$D$5:$D$60,MATCH(E603,Catégories!$A$5:$A$60,0)),"?"))</f>
        <v/>
      </c>
      <c r="K603" s="33" t="n">
        <f aca="false">IF(H603="Recette",G603,IF(H603="Dépense",-G603,0))</f>
        <v>0</v>
      </c>
      <c r="L603" s="33" t="n">
        <f aca="false">IF(E603="",0,G603*IFERROR(INDEX(Catégories!$E$5:$E$60,MATCH(E603,Catégories!$A$5:$A$60,0)),0))</f>
        <v>0</v>
      </c>
    </row>
    <row r="604" customFormat="false" ht="15" hidden="false" customHeight="true" outlineLevel="0" collapsed="false">
      <c r="A604" s="34"/>
      <c r="B604" s="29" t="str">
        <f aca="false">IF(A604="","",YEAR(A604))</f>
        <v/>
      </c>
      <c r="G604" s="35"/>
      <c r="H604" s="32" t="str">
        <f aca="false">IF(E604="","",IFERROR(INDEX(Catégories!$B$5:$B$60,MATCH(E604,Catégories!$A$5:$A$60,0)),"?"))</f>
        <v/>
      </c>
      <c r="I604" s="32" t="str">
        <f aca="false">IF(E604="","",IFERROR(INDEX(Catégories!$C$5:$C$60,MATCH(E604,Catégories!$A$5:$A$60,0)),"?"))</f>
        <v/>
      </c>
      <c r="J604" s="32" t="str">
        <f aca="false">IF(E604="","",IFERROR(INDEX(Catégories!$D$5:$D$60,MATCH(E604,Catégories!$A$5:$A$60,0)),"?"))</f>
        <v/>
      </c>
      <c r="K604" s="33" t="n">
        <f aca="false">IF(H604="Recette",G604,IF(H604="Dépense",-G604,0))</f>
        <v>0</v>
      </c>
      <c r="L604" s="33" t="n">
        <f aca="false">IF(E604="",0,G604*IFERROR(INDEX(Catégories!$E$5:$E$60,MATCH(E604,Catégories!$A$5:$A$60,0)),0))</f>
        <v>0</v>
      </c>
    </row>
    <row r="605" customFormat="false" ht="15" hidden="false" customHeight="true" outlineLevel="0" collapsed="false">
      <c r="A605" s="34"/>
      <c r="B605" s="29" t="str">
        <f aca="false">IF(A605="","",YEAR(A605))</f>
        <v/>
      </c>
      <c r="G605" s="35"/>
      <c r="H605" s="32" t="str">
        <f aca="false">IF(E605="","",IFERROR(INDEX(Catégories!$B$5:$B$60,MATCH(E605,Catégories!$A$5:$A$60,0)),"?"))</f>
        <v/>
      </c>
      <c r="I605" s="32" t="str">
        <f aca="false">IF(E605="","",IFERROR(INDEX(Catégories!$C$5:$C$60,MATCH(E605,Catégories!$A$5:$A$60,0)),"?"))</f>
        <v/>
      </c>
      <c r="J605" s="32" t="str">
        <f aca="false">IF(E605="","",IFERROR(INDEX(Catégories!$D$5:$D$60,MATCH(E605,Catégories!$A$5:$A$60,0)),"?"))</f>
        <v/>
      </c>
      <c r="K605" s="33" t="n">
        <f aca="false">IF(H605="Recette",G605,IF(H605="Dépense",-G605,0))</f>
        <v>0</v>
      </c>
      <c r="L605" s="33" t="n">
        <f aca="false">IF(E605="",0,G605*IFERROR(INDEX(Catégories!$E$5:$E$60,MATCH(E605,Catégories!$A$5:$A$60,0)),0))</f>
        <v>0</v>
      </c>
    </row>
    <row r="606" customFormat="false" ht="15" hidden="false" customHeight="true" outlineLevel="0" collapsed="false">
      <c r="A606" s="34"/>
      <c r="B606" s="29" t="str">
        <f aca="false">IF(A606="","",YEAR(A606))</f>
        <v/>
      </c>
      <c r="G606" s="35"/>
      <c r="H606" s="32" t="str">
        <f aca="false">IF(E606="","",IFERROR(INDEX(Catégories!$B$5:$B$60,MATCH(E606,Catégories!$A$5:$A$60,0)),"?"))</f>
        <v/>
      </c>
      <c r="I606" s="32" t="str">
        <f aca="false">IF(E606="","",IFERROR(INDEX(Catégories!$C$5:$C$60,MATCH(E606,Catégories!$A$5:$A$60,0)),"?"))</f>
        <v/>
      </c>
      <c r="J606" s="32" t="str">
        <f aca="false">IF(E606="","",IFERROR(INDEX(Catégories!$D$5:$D$60,MATCH(E606,Catégories!$A$5:$A$60,0)),"?"))</f>
        <v/>
      </c>
      <c r="K606" s="33" t="n">
        <f aca="false">IF(H606="Recette",G606,IF(H606="Dépense",-G606,0))</f>
        <v>0</v>
      </c>
      <c r="L606" s="33" t="n">
        <f aca="false">IF(E606="",0,G606*IFERROR(INDEX(Catégories!$E$5:$E$60,MATCH(E606,Catégories!$A$5:$A$60,0)),0))</f>
        <v>0</v>
      </c>
    </row>
    <row r="607" customFormat="false" ht="15" hidden="false" customHeight="true" outlineLevel="0" collapsed="false">
      <c r="A607" s="34"/>
      <c r="B607" s="29" t="str">
        <f aca="false">IF(A607="","",YEAR(A607))</f>
        <v/>
      </c>
      <c r="G607" s="35"/>
      <c r="H607" s="32" t="str">
        <f aca="false">IF(E607="","",IFERROR(INDEX(Catégories!$B$5:$B$60,MATCH(E607,Catégories!$A$5:$A$60,0)),"?"))</f>
        <v/>
      </c>
      <c r="I607" s="32" t="str">
        <f aca="false">IF(E607="","",IFERROR(INDEX(Catégories!$C$5:$C$60,MATCH(E607,Catégories!$A$5:$A$60,0)),"?"))</f>
        <v/>
      </c>
      <c r="J607" s="32" t="str">
        <f aca="false">IF(E607="","",IFERROR(INDEX(Catégories!$D$5:$D$60,MATCH(E607,Catégories!$A$5:$A$60,0)),"?"))</f>
        <v/>
      </c>
      <c r="K607" s="33" t="n">
        <f aca="false">IF(H607="Recette",G607,IF(H607="Dépense",-G607,0))</f>
        <v>0</v>
      </c>
      <c r="L607" s="33" t="n">
        <f aca="false">IF(E607="",0,G607*IFERROR(INDEX(Catégories!$E$5:$E$60,MATCH(E607,Catégories!$A$5:$A$60,0)),0))</f>
        <v>0</v>
      </c>
    </row>
    <row r="608" customFormat="false" ht="15" hidden="false" customHeight="true" outlineLevel="0" collapsed="false">
      <c r="A608" s="34"/>
      <c r="B608" s="29" t="str">
        <f aca="false">IF(A608="","",YEAR(A608))</f>
        <v/>
      </c>
      <c r="G608" s="35"/>
      <c r="H608" s="32" t="str">
        <f aca="false">IF(E608="","",IFERROR(INDEX(Catégories!$B$5:$B$60,MATCH(E608,Catégories!$A$5:$A$60,0)),"?"))</f>
        <v/>
      </c>
      <c r="I608" s="32" t="str">
        <f aca="false">IF(E608="","",IFERROR(INDEX(Catégories!$C$5:$C$60,MATCH(E608,Catégories!$A$5:$A$60,0)),"?"))</f>
        <v/>
      </c>
      <c r="J608" s="32" t="str">
        <f aca="false">IF(E608="","",IFERROR(INDEX(Catégories!$D$5:$D$60,MATCH(E608,Catégories!$A$5:$A$60,0)),"?"))</f>
        <v/>
      </c>
      <c r="K608" s="33" t="n">
        <f aca="false">IF(H608="Recette",G608,IF(H608="Dépense",-G608,0))</f>
        <v>0</v>
      </c>
      <c r="L608" s="33" t="n">
        <f aca="false">IF(E608="",0,G608*IFERROR(INDEX(Catégories!$E$5:$E$60,MATCH(E608,Catégories!$A$5:$A$60,0)),0))</f>
        <v>0</v>
      </c>
    </row>
    <row r="609" customFormat="false" ht="15" hidden="false" customHeight="true" outlineLevel="0" collapsed="false">
      <c r="A609" s="34"/>
      <c r="B609" s="29" t="str">
        <f aca="false">IF(A609="","",YEAR(A609))</f>
        <v/>
      </c>
      <c r="G609" s="35"/>
      <c r="H609" s="32" t="str">
        <f aca="false">IF(E609="","",IFERROR(INDEX(Catégories!$B$5:$B$60,MATCH(E609,Catégories!$A$5:$A$60,0)),"?"))</f>
        <v/>
      </c>
      <c r="I609" s="32" t="str">
        <f aca="false">IF(E609="","",IFERROR(INDEX(Catégories!$C$5:$C$60,MATCH(E609,Catégories!$A$5:$A$60,0)),"?"))</f>
        <v/>
      </c>
      <c r="J609" s="32" t="str">
        <f aca="false">IF(E609="","",IFERROR(INDEX(Catégories!$D$5:$D$60,MATCH(E609,Catégories!$A$5:$A$60,0)),"?"))</f>
        <v/>
      </c>
      <c r="K609" s="33" t="n">
        <f aca="false">IF(H609="Recette",G609,IF(H609="Dépense",-G609,0))</f>
        <v>0</v>
      </c>
      <c r="L609" s="33" t="n">
        <f aca="false">IF(E609="",0,G609*IFERROR(INDEX(Catégories!$E$5:$E$60,MATCH(E609,Catégories!$A$5:$A$60,0)),0))</f>
        <v>0</v>
      </c>
    </row>
    <row r="610" customFormat="false" ht="15" hidden="false" customHeight="true" outlineLevel="0" collapsed="false">
      <c r="A610" s="34"/>
      <c r="B610" s="29" t="str">
        <f aca="false">IF(A610="","",YEAR(A610))</f>
        <v/>
      </c>
      <c r="G610" s="35"/>
      <c r="H610" s="32" t="str">
        <f aca="false">IF(E610="","",IFERROR(INDEX(Catégories!$B$5:$B$60,MATCH(E610,Catégories!$A$5:$A$60,0)),"?"))</f>
        <v/>
      </c>
      <c r="I610" s="32" t="str">
        <f aca="false">IF(E610="","",IFERROR(INDEX(Catégories!$C$5:$C$60,MATCH(E610,Catégories!$A$5:$A$60,0)),"?"))</f>
        <v/>
      </c>
      <c r="J610" s="32" t="str">
        <f aca="false">IF(E610="","",IFERROR(INDEX(Catégories!$D$5:$D$60,MATCH(E610,Catégories!$A$5:$A$60,0)),"?"))</f>
        <v/>
      </c>
      <c r="K610" s="33" t="n">
        <f aca="false">IF(H610="Recette",G610,IF(H610="Dépense",-G610,0))</f>
        <v>0</v>
      </c>
      <c r="L610" s="33" t="n">
        <f aca="false">IF(E610="",0,G610*IFERROR(INDEX(Catégories!$E$5:$E$60,MATCH(E610,Catégories!$A$5:$A$60,0)),0))</f>
        <v>0</v>
      </c>
    </row>
    <row r="611" customFormat="false" ht="15" hidden="false" customHeight="true" outlineLevel="0" collapsed="false">
      <c r="A611" s="34"/>
      <c r="B611" s="29" t="str">
        <f aca="false">IF(A611="","",YEAR(A611))</f>
        <v/>
      </c>
      <c r="G611" s="35"/>
      <c r="H611" s="32" t="str">
        <f aca="false">IF(E611="","",IFERROR(INDEX(Catégories!$B$5:$B$60,MATCH(E611,Catégories!$A$5:$A$60,0)),"?"))</f>
        <v/>
      </c>
      <c r="I611" s="32" t="str">
        <f aca="false">IF(E611="","",IFERROR(INDEX(Catégories!$C$5:$C$60,MATCH(E611,Catégories!$A$5:$A$60,0)),"?"))</f>
        <v/>
      </c>
      <c r="J611" s="32" t="str">
        <f aca="false">IF(E611="","",IFERROR(INDEX(Catégories!$D$5:$D$60,MATCH(E611,Catégories!$A$5:$A$60,0)),"?"))</f>
        <v/>
      </c>
      <c r="K611" s="33" t="n">
        <f aca="false">IF(H611="Recette",G611,IF(H611="Dépense",-G611,0))</f>
        <v>0</v>
      </c>
      <c r="L611" s="33" t="n">
        <f aca="false">IF(E611="",0,G611*IFERROR(INDEX(Catégories!$E$5:$E$60,MATCH(E611,Catégories!$A$5:$A$60,0)),0))</f>
        <v>0</v>
      </c>
    </row>
    <row r="612" customFormat="false" ht="15" hidden="false" customHeight="true" outlineLevel="0" collapsed="false">
      <c r="A612" s="34"/>
      <c r="B612" s="29" t="str">
        <f aca="false">IF(A612="","",YEAR(A612))</f>
        <v/>
      </c>
      <c r="G612" s="35"/>
      <c r="H612" s="32" t="str">
        <f aca="false">IF(E612="","",IFERROR(INDEX(Catégories!$B$5:$B$60,MATCH(E612,Catégories!$A$5:$A$60,0)),"?"))</f>
        <v/>
      </c>
      <c r="I612" s="32" t="str">
        <f aca="false">IF(E612="","",IFERROR(INDEX(Catégories!$C$5:$C$60,MATCH(E612,Catégories!$A$5:$A$60,0)),"?"))</f>
        <v/>
      </c>
      <c r="J612" s="32" t="str">
        <f aca="false">IF(E612="","",IFERROR(INDEX(Catégories!$D$5:$D$60,MATCH(E612,Catégories!$A$5:$A$60,0)),"?"))</f>
        <v/>
      </c>
      <c r="K612" s="33" t="n">
        <f aca="false">IF(H612="Recette",G612,IF(H612="Dépense",-G612,0))</f>
        <v>0</v>
      </c>
      <c r="L612" s="33" t="n">
        <f aca="false">IF(E612="",0,G612*IFERROR(INDEX(Catégories!$E$5:$E$60,MATCH(E612,Catégories!$A$5:$A$60,0)),0))</f>
        <v>0</v>
      </c>
    </row>
    <row r="613" customFormat="false" ht="15" hidden="false" customHeight="true" outlineLevel="0" collapsed="false">
      <c r="A613" s="34"/>
      <c r="B613" s="29" t="str">
        <f aca="false">IF(A613="","",YEAR(A613))</f>
        <v/>
      </c>
      <c r="G613" s="35"/>
      <c r="H613" s="32" t="str">
        <f aca="false">IF(E613="","",IFERROR(INDEX(Catégories!$B$5:$B$60,MATCH(E613,Catégories!$A$5:$A$60,0)),"?"))</f>
        <v/>
      </c>
      <c r="I613" s="32" t="str">
        <f aca="false">IF(E613="","",IFERROR(INDEX(Catégories!$C$5:$C$60,MATCH(E613,Catégories!$A$5:$A$60,0)),"?"))</f>
        <v/>
      </c>
      <c r="J613" s="32" t="str">
        <f aca="false">IF(E613="","",IFERROR(INDEX(Catégories!$D$5:$D$60,MATCH(E613,Catégories!$A$5:$A$60,0)),"?"))</f>
        <v/>
      </c>
      <c r="K613" s="33" t="n">
        <f aca="false">IF(H613="Recette",G613,IF(H613="Dépense",-G613,0))</f>
        <v>0</v>
      </c>
      <c r="L613" s="33" t="n">
        <f aca="false">IF(E613="",0,G613*IFERROR(INDEX(Catégories!$E$5:$E$60,MATCH(E613,Catégories!$A$5:$A$60,0)),0))</f>
        <v>0</v>
      </c>
    </row>
    <row r="614" customFormat="false" ht="15" hidden="false" customHeight="true" outlineLevel="0" collapsed="false">
      <c r="A614" s="34"/>
      <c r="B614" s="29" t="str">
        <f aca="false">IF(A614="","",YEAR(A614))</f>
        <v/>
      </c>
      <c r="G614" s="35"/>
      <c r="H614" s="32" t="str">
        <f aca="false">IF(E614="","",IFERROR(INDEX(Catégories!$B$5:$B$60,MATCH(E614,Catégories!$A$5:$A$60,0)),"?"))</f>
        <v/>
      </c>
      <c r="I614" s="32" t="str">
        <f aca="false">IF(E614="","",IFERROR(INDEX(Catégories!$C$5:$C$60,MATCH(E614,Catégories!$A$5:$A$60,0)),"?"))</f>
        <v/>
      </c>
      <c r="J614" s="32" t="str">
        <f aca="false">IF(E614="","",IFERROR(INDEX(Catégories!$D$5:$D$60,MATCH(E614,Catégories!$A$5:$A$60,0)),"?"))</f>
        <v/>
      </c>
      <c r="K614" s="33" t="n">
        <f aca="false">IF(H614="Recette",G614,IF(H614="Dépense",-G614,0))</f>
        <v>0</v>
      </c>
      <c r="L614" s="33" t="n">
        <f aca="false">IF(E614="",0,G614*IFERROR(INDEX(Catégories!$E$5:$E$60,MATCH(E614,Catégories!$A$5:$A$60,0)),0))</f>
        <v>0</v>
      </c>
    </row>
    <row r="615" customFormat="false" ht="15" hidden="false" customHeight="true" outlineLevel="0" collapsed="false">
      <c r="A615" s="34"/>
      <c r="B615" s="29" t="str">
        <f aca="false">IF(A615="","",YEAR(A615))</f>
        <v/>
      </c>
      <c r="G615" s="35"/>
      <c r="H615" s="32" t="str">
        <f aca="false">IF(E615="","",IFERROR(INDEX(Catégories!$B$5:$B$60,MATCH(E615,Catégories!$A$5:$A$60,0)),"?"))</f>
        <v/>
      </c>
      <c r="I615" s="32" t="str">
        <f aca="false">IF(E615="","",IFERROR(INDEX(Catégories!$C$5:$C$60,MATCH(E615,Catégories!$A$5:$A$60,0)),"?"))</f>
        <v/>
      </c>
      <c r="J615" s="32" t="str">
        <f aca="false">IF(E615="","",IFERROR(INDEX(Catégories!$D$5:$D$60,MATCH(E615,Catégories!$A$5:$A$60,0)),"?"))</f>
        <v/>
      </c>
      <c r="K615" s="33" t="n">
        <f aca="false">IF(H615="Recette",G615,IF(H615="Dépense",-G615,0))</f>
        <v>0</v>
      </c>
      <c r="L615" s="33" t="n">
        <f aca="false">IF(E615="",0,G615*IFERROR(INDEX(Catégories!$E$5:$E$60,MATCH(E615,Catégories!$A$5:$A$60,0)),0))</f>
        <v>0</v>
      </c>
    </row>
    <row r="616" customFormat="false" ht="15" hidden="false" customHeight="true" outlineLevel="0" collapsed="false">
      <c r="A616" s="34"/>
      <c r="B616" s="29" t="str">
        <f aca="false">IF(A616="","",YEAR(A616))</f>
        <v/>
      </c>
      <c r="G616" s="35"/>
      <c r="H616" s="32" t="str">
        <f aca="false">IF(E616="","",IFERROR(INDEX(Catégories!$B$5:$B$60,MATCH(E616,Catégories!$A$5:$A$60,0)),"?"))</f>
        <v/>
      </c>
      <c r="I616" s="32" t="str">
        <f aca="false">IF(E616="","",IFERROR(INDEX(Catégories!$C$5:$C$60,MATCH(E616,Catégories!$A$5:$A$60,0)),"?"))</f>
        <v/>
      </c>
      <c r="J616" s="32" t="str">
        <f aca="false">IF(E616="","",IFERROR(INDEX(Catégories!$D$5:$D$60,MATCH(E616,Catégories!$A$5:$A$60,0)),"?"))</f>
        <v/>
      </c>
      <c r="K616" s="33" t="n">
        <f aca="false">IF(H616="Recette",G616,IF(H616="Dépense",-G616,0))</f>
        <v>0</v>
      </c>
      <c r="L616" s="33" t="n">
        <f aca="false">IF(E616="",0,G616*IFERROR(INDEX(Catégories!$E$5:$E$60,MATCH(E616,Catégories!$A$5:$A$60,0)),0))</f>
        <v>0</v>
      </c>
    </row>
    <row r="617" customFormat="false" ht="15" hidden="false" customHeight="true" outlineLevel="0" collapsed="false">
      <c r="A617" s="34"/>
      <c r="B617" s="29" t="str">
        <f aca="false">IF(A617="","",YEAR(A617))</f>
        <v/>
      </c>
      <c r="G617" s="35"/>
      <c r="H617" s="32" t="str">
        <f aca="false">IF(E617="","",IFERROR(INDEX(Catégories!$B$5:$B$60,MATCH(E617,Catégories!$A$5:$A$60,0)),"?"))</f>
        <v/>
      </c>
      <c r="I617" s="32" t="str">
        <f aca="false">IF(E617="","",IFERROR(INDEX(Catégories!$C$5:$C$60,MATCH(E617,Catégories!$A$5:$A$60,0)),"?"))</f>
        <v/>
      </c>
      <c r="J617" s="32" t="str">
        <f aca="false">IF(E617="","",IFERROR(INDEX(Catégories!$D$5:$D$60,MATCH(E617,Catégories!$A$5:$A$60,0)),"?"))</f>
        <v/>
      </c>
      <c r="K617" s="33" t="n">
        <f aca="false">IF(H617="Recette",G617,IF(H617="Dépense",-G617,0))</f>
        <v>0</v>
      </c>
      <c r="L617" s="33" t="n">
        <f aca="false">IF(E617="",0,G617*IFERROR(INDEX(Catégories!$E$5:$E$60,MATCH(E617,Catégories!$A$5:$A$60,0)),0))</f>
        <v>0</v>
      </c>
    </row>
    <row r="618" customFormat="false" ht="15" hidden="false" customHeight="true" outlineLevel="0" collapsed="false">
      <c r="A618" s="34"/>
      <c r="B618" s="29" t="str">
        <f aca="false">IF(A618="","",YEAR(A618))</f>
        <v/>
      </c>
      <c r="G618" s="35"/>
      <c r="H618" s="32" t="str">
        <f aca="false">IF(E618="","",IFERROR(INDEX(Catégories!$B$5:$B$60,MATCH(E618,Catégories!$A$5:$A$60,0)),"?"))</f>
        <v/>
      </c>
      <c r="I618" s="32" t="str">
        <f aca="false">IF(E618="","",IFERROR(INDEX(Catégories!$C$5:$C$60,MATCH(E618,Catégories!$A$5:$A$60,0)),"?"))</f>
        <v/>
      </c>
      <c r="J618" s="32" t="str">
        <f aca="false">IF(E618="","",IFERROR(INDEX(Catégories!$D$5:$D$60,MATCH(E618,Catégories!$A$5:$A$60,0)),"?"))</f>
        <v/>
      </c>
      <c r="K618" s="33" t="n">
        <f aca="false">IF(H618="Recette",G618,IF(H618="Dépense",-G618,0))</f>
        <v>0</v>
      </c>
      <c r="L618" s="33" t="n">
        <f aca="false">IF(E618="",0,G618*IFERROR(INDEX(Catégories!$E$5:$E$60,MATCH(E618,Catégories!$A$5:$A$60,0)),0))</f>
        <v>0</v>
      </c>
    </row>
    <row r="619" customFormat="false" ht="15" hidden="false" customHeight="true" outlineLevel="0" collapsed="false">
      <c r="A619" s="34"/>
      <c r="B619" s="29" t="str">
        <f aca="false">IF(A619="","",YEAR(A619))</f>
        <v/>
      </c>
      <c r="G619" s="35"/>
      <c r="H619" s="32" t="str">
        <f aca="false">IF(E619="","",IFERROR(INDEX(Catégories!$B$5:$B$60,MATCH(E619,Catégories!$A$5:$A$60,0)),"?"))</f>
        <v/>
      </c>
      <c r="I619" s="32" t="str">
        <f aca="false">IF(E619="","",IFERROR(INDEX(Catégories!$C$5:$C$60,MATCH(E619,Catégories!$A$5:$A$60,0)),"?"))</f>
        <v/>
      </c>
      <c r="J619" s="32" t="str">
        <f aca="false">IF(E619="","",IFERROR(INDEX(Catégories!$D$5:$D$60,MATCH(E619,Catégories!$A$5:$A$60,0)),"?"))</f>
        <v/>
      </c>
      <c r="K619" s="33" t="n">
        <f aca="false">IF(H619="Recette",G619,IF(H619="Dépense",-G619,0))</f>
        <v>0</v>
      </c>
      <c r="L619" s="33" t="n">
        <f aca="false">IF(E619="",0,G619*IFERROR(INDEX(Catégories!$E$5:$E$60,MATCH(E619,Catégories!$A$5:$A$60,0)),0))</f>
        <v>0</v>
      </c>
    </row>
    <row r="620" customFormat="false" ht="15" hidden="false" customHeight="true" outlineLevel="0" collapsed="false">
      <c r="A620" s="34"/>
      <c r="B620" s="29" t="str">
        <f aca="false">IF(A620="","",YEAR(A620))</f>
        <v/>
      </c>
      <c r="G620" s="35"/>
      <c r="H620" s="32" t="str">
        <f aca="false">IF(E620="","",IFERROR(INDEX(Catégories!$B$5:$B$60,MATCH(E620,Catégories!$A$5:$A$60,0)),"?"))</f>
        <v/>
      </c>
      <c r="I620" s="32" t="str">
        <f aca="false">IF(E620="","",IFERROR(INDEX(Catégories!$C$5:$C$60,MATCH(E620,Catégories!$A$5:$A$60,0)),"?"))</f>
        <v/>
      </c>
      <c r="J620" s="32" t="str">
        <f aca="false">IF(E620="","",IFERROR(INDEX(Catégories!$D$5:$D$60,MATCH(E620,Catégories!$A$5:$A$60,0)),"?"))</f>
        <v/>
      </c>
      <c r="K620" s="33" t="n">
        <f aca="false">IF(H620="Recette",G620,IF(H620="Dépense",-G620,0))</f>
        <v>0</v>
      </c>
      <c r="L620" s="33" t="n">
        <f aca="false">IF(E620="",0,G620*IFERROR(INDEX(Catégories!$E$5:$E$60,MATCH(E620,Catégories!$A$5:$A$60,0)),0))</f>
        <v>0</v>
      </c>
    </row>
    <row r="621" customFormat="false" ht="15" hidden="false" customHeight="true" outlineLevel="0" collapsed="false">
      <c r="A621" s="34"/>
      <c r="B621" s="29" t="str">
        <f aca="false">IF(A621="","",YEAR(A621))</f>
        <v/>
      </c>
      <c r="G621" s="35"/>
      <c r="H621" s="32" t="str">
        <f aca="false">IF(E621="","",IFERROR(INDEX(Catégories!$B$5:$B$60,MATCH(E621,Catégories!$A$5:$A$60,0)),"?"))</f>
        <v/>
      </c>
      <c r="I621" s="32" t="str">
        <f aca="false">IF(E621="","",IFERROR(INDEX(Catégories!$C$5:$C$60,MATCH(E621,Catégories!$A$5:$A$60,0)),"?"))</f>
        <v/>
      </c>
      <c r="J621" s="32" t="str">
        <f aca="false">IF(E621="","",IFERROR(INDEX(Catégories!$D$5:$D$60,MATCH(E621,Catégories!$A$5:$A$60,0)),"?"))</f>
        <v/>
      </c>
      <c r="K621" s="33" t="n">
        <f aca="false">IF(H621="Recette",G621,IF(H621="Dépense",-G621,0))</f>
        <v>0</v>
      </c>
      <c r="L621" s="33" t="n">
        <f aca="false">IF(E621="",0,G621*IFERROR(INDEX(Catégories!$E$5:$E$60,MATCH(E621,Catégories!$A$5:$A$60,0)),0))</f>
        <v>0</v>
      </c>
    </row>
    <row r="622" customFormat="false" ht="15" hidden="false" customHeight="true" outlineLevel="0" collapsed="false">
      <c r="A622" s="34"/>
      <c r="B622" s="29" t="str">
        <f aca="false">IF(A622="","",YEAR(A622))</f>
        <v/>
      </c>
      <c r="G622" s="35"/>
      <c r="H622" s="32" t="str">
        <f aca="false">IF(E622="","",IFERROR(INDEX(Catégories!$B$5:$B$60,MATCH(E622,Catégories!$A$5:$A$60,0)),"?"))</f>
        <v/>
      </c>
      <c r="I622" s="32" t="str">
        <f aca="false">IF(E622="","",IFERROR(INDEX(Catégories!$C$5:$C$60,MATCH(E622,Catégories!$A$5:$A$60,0)),"?"))</f>
        <v/>
      </c>
      <c r="J622" s="32" t="str">
        <f aca="false">IF(E622="","",IFERROR(INDEX(Catégories!$D$5:$D$60,MATCH(E622,Catégories!$A$5:$A$60,0)),"?"))</f>
        <v/>
      </c>
      <c r="K622" s="33" t="n">
        <f aca="false">IF(H622="Recette",G622,IF(H622="Dépense",-G622,0))</f>
        <v>0</v>
      </c>
      <c r="L622" s="33" t="n">
        <f aca="false">IF(E622="",0,G622*IFERROR(INDEX(Catégories!$E$5:$E$60,MATCH(E622,Catégories!$A$5:$A$60,0)),0))</f>
        <v>0</v>
      </c>
    </row>
    <row r="623" customFormat="false" ht="15" hidden="false" customHeight="true" outlineLevel="0" collapsed="false">
      <c r="A623" s="34"/>
      <c r="B623" s="29" t="str">
        <f aca="false">IF(A623="","",YEAR(A623))</f>
        <v/>
      </c>
      <c r="G623" s="35"/>
      <c r="H623" s="32" t="str">
        <f aca="false">IF(E623="","",IFERROR(INDEX(Catégories!$B$5:$B$60,MATCH(E623,Catégories!$A$5:$A$60,0)),"?"))</f>
        <v/>
      </c>
      <c r="I623" s="32" t="str">
        <f aca="false">IF(E623="","",IFERROR(INDEX(Catégories!$C$5:$C$60,MATCH(E623,Catégories!$A$5:$A$60,0)),"?"))</f>
        <v/>
      </c>
      <c r="J623" s="32" t="str">
        <f aca="false">IF(E623="","",IFERROR(INDEX(Catégories!$D$5:$D$60,MATCH(E623,Catégories!$A$5:$A$60,0)),"?"))</f>
        <v/>
      </c>
      <c r="K623" s="33" t="n">
        <f aca="false">IF(H623="Recette",G623,IF(H623="Dépense",-G623,0))</f>
        <v>0</v>
      </c>
      <c r="L623" s="33" t="n">
        <f aca="false">IF(E623="",0,G623*IFERROR(INDEX(Catégories!$E$5:$E$60,MATCH(E623,Catégories!$A$5:$A$60,0)),0))</f>
        <v>0</v>
      </c>
    </row>
    <row r="624" customFormat="false" ht="15" hidden="false" customHeight="true" outlineLevel="0" collapsed="false">
      <c r="A624" s="34"/>
      <c r="B624" s="29" t="str">
        <f aca="false">IF(A624="","",YEAR(A624))</f>
        <v/>
      </c>
      <c r="G624" s="35"/>
      <c r="H624" s="32" t="str">
        <f aca="false">IF(E624="","",IFERROR(INDEX(Catégories!$B$5:$B$60,MATCH(E624,Catégories!$A$5:$A$60,0)),"?"))</f>
        <v/>
      </c>
      <c r="I624" s="32" t="str">
        <f aca="false">IF(E624="","",IFERROR(INDEX(Catégories!$C$5:$C$60,MATCH(E624,Catégories!$A$5:$A$60,0)),"?"))</f>
        <v/>
      </c>
      <c r="J624" s="32" t="str">
        <f aca="false">IF(E624="","",IFERROR(INDEX(Catégories!$D$5:$D$60,MATCH(E624,Catégories!$A$5:$A$60,0)),"?"))</f>
        <v/>
      </c>
      <c r="K624" s="33" t="n">
        <f aca="false">IF(H624="Recette",G624,IF(H624="Dépense",-G624,0))</f>
        <v>0</v>
      </c>
      <c r="L624" s="33" t="n">
        <f aca="false">IF(E624="",0,G624*IFERROR(INDEX(Catégories!$E$5:$E$60,MATCH(E624,Catégories!$A$5:$A$60,0)),0))</f>
        <v>0</v>
      </c>
    </row>
    <row r="625" customFormat="false" ht="15" hidden="false" customHeight="true" outlineLevel="0" collapsed="false">
      <c r="A625" s="34"/>
      <c r="B625" s="29" t="str">
        <f aca="false">IF(A625="","",YEAR(A625))</f>
        <v/>
      </c>
      <c r="G625" s="35"/>
      <c r="H625" s="32" t="str">
        <f aca="false">IF(E625="","",IFERROR(INDEX(Catégories!$B$5:$B$60,MATCH(E625,Catégories!$A$5:$A$60,0)),"?"))</f>
        <v/>
      </c>
      <c r="I625" s="32" t="str">
        <f aca="false">IF(E625="","",IFERROR(INDEX(Catégories!$C$5:$C$60,MATCH(E625,Catégories!$A$5:$A$60,0)),"?"))</f>
        <v/>
      </c>
      <c r="J625" s="32" t="str">
        <f aca="false">IF(E625="","",IFERROR(INDEX(Catégories!$D$5:$D$60,MATCH(E625,Catégories!$A$5:$A$60,0)),"?"))</f>
        <v/>
      </c>
      <c r="K625" s="33" t="n">
        <f aca="false">IF(H625="Recette",G625,IF(H625="Dépense",-G625,0))</f>
        <v>0</v>
      </c>
      <c r="L625" s="33" t="n">
        <f aca="false">IF(E625="",0,G625*IFERROR(INDEX(Catégories!$E$5:$E$60,MATCH(E625,Catégories!$A$5:$A$60,0)),0))</f>
        <v>0</v>
      </c>
    </row>
    <row r="626" customFormat="false" ht="15" hidden="false" customHeight="true" outlineLevel="0" collapsed="false">
      <c r="A626" s="34"/>
      <c r="B626" s="29" t="str">
        <f aca="false">IF(A626="","",YEAR(A626))</f>
        <v/>
      </c>
      <c r="G626" s="35"/>
      <c r="H626" s="32" t="str">
        <f aca="false">IF(E626="","",IFERROR(INDEX(Catégories!$B$5:$B$60,MATCH(E626,Catégories!$A$5:$A$60,0)),"?"))</f>
        <v/>
      </c>
      <c r="I626" s="32" t="str">
        <f aca="false">IF(E626="","",IFERROR(INDEX(Catégories!$C$5:$C$60,MATCH(E626,Catégories!$A$5:$A$60,0)),"?"))</f>
        <v/>
      </c>
      <c r="J626" s="32" t="str">
        <f aca="false">IF(E626="","",IFERROR(INDEX(Catégories!$D$5:$D$60,MATCH(E626,Catégories!$A$5:$A$60,0)),"?"))</f>
        <v/>
      </c>
      <c r="K626" s="33" t="n">
        <f aca="false">IF(H626="Recette",G626,IF(H626="Dépense",-G626,0))</f>
        <v>0</v>
      </c>
      <c r="L626" s="33" t="n">
        <f aca="false">IF(E626="",0,G626*IFERROR(INDEX(Catégories!$E$5:$E$60,MATCH(E626,Catégories!$A$5:$A$60,0)),0))</f>
        <v>0</v>
      </c>
    </row>
    <row r="627" customFormat="false" ht="15" hidden="false" customHeight="true" outlineLevel="0" collapsed="false">
      <c r="A627" s="34"/>
      <c r="B627" s="29" t="str">
        <f aca="false">IF(A627="","",YEAR(A627))</f>
        <v/>
      </c>
      <c r="G627" s="35"/>
      <c r="H627" s="32" t="str">
        <f aca="false">IF(E627="","",IFERROR(INDEX(Catégories!$B$5:$B$60,MATCH(E627,Catégories!$A$5:$A$60,0)),"?"))</f>
        <v/>
      </c>
      <c r="I627" s="32" t="str">
        <f aca="false">IF(E627="","",IFERROR(INDEX(Catégories!$C$5:$C$60,MATCH(E627,Catégories!$A$5:$A$60,0)),"?"))</f>
        <v/>
      </c>
      <c r="J627" s="32" t="str">
        <f aca="false">IF(E627="","",IFERROR(INDEX(Catégories!$D$5:$D$60,MATCH(E627,Catégories!$A$5:$A$60,0)),"?"))</f>
        <v/>
      </c>
      <c r="K627" s="33" t="n">
        <f aca="false">IF(H627="Recette",G627,IF(H627="Dépense",-G627,0))</f>
        <v>0</v>
      </c>
      <c r="L627" s="33" t="n">
        <f aca="false">IF(E627="",0,G627*IFERROR(INDEX(Catégories!$E$5:$E$60,MATCH(E627,Catégories!$A$5:$A$60,0)),0))</f>
        <v>0</v>
      </c>
    </row>
    <row r="628" customFormat="false" ht="15" hidden="false" customHeight="true" outlineLevel="0" collapsed="false">
      <c r="A628" s="34"/>
      <c r="B628" s="29" t="str">
        <f aca="false">IF(A628="","",YEAR(A628))</f>
        <v/>
      </c>
      <c r="G628" s="35"/>
      <c r="H628" s="32" t="str">
        <f aca="false">IF(E628="","",IFERROR(INDEX(Catégories!$B$5:$B$60,MATCH(E628,Catégories!$A$5:$A$60,0)),"?"))</f>
        <v/>
      </c>
      <c r="I628" s="32" t="str">
        <f aca="false">IF(E628="","",IFERROR(INDEX(Catégories!$C$5:$C$60,MATCH(E628,Catégories!$A$5:$A$60,0)),"?"))</f>
        <v/>
      </c>
      <c r="J628" s="32" t="str">
        <f aca="false">IF(E628="","",IFERROR(INDEX(Catégories!$D$5:$D$60,MATCH(E628,Catégories!$A$5:$A$60,0)),"?"))</f>
        <v/>
      </c>
      <c r="K628" s="33" t="n">
        <f aca="false">IF(H628="Recette",G628,IF(H628="Dépense",-G628,0))</f>
        <v>0</v>
      </c>
      <c r="L628" s="33" t="n">
        <f aca="false">IF(E628="",0,G628*IFERROR(INDEX(Catégories!$E$5:$E$60,MATCH(E628,Catégories!$A$5:$A$60,0)),0))</f>
        <v>0</v>
      </c>
    </row>
    <row r="629" customFormat="false" ht="15" hidden="false" customHeight="true" outlineLevel="0" collapsed="false">
      <c r="A629" s="34"/>
      <c r="B629" s="29" t="str">
        <f aca="false">IF(A629="","",YEAR(A629))</f>
        <v/>
      </c>
      <c r="G629" s="35"/>
      <c r="H629" s="32" t="str">
        <f aca="false">IF(E629="","",IFERROR(INDEX(Catégories!$B$5:$B$60,MATCH(E629,Catégories!$A$5:$A$60,0)),"?"))</f>
        <v/>
      </c>
      <c r="I629" s="32" t="str">
        <f aca="false">IF(E629="","",IFERROR(INDEX(Catégories!$C$5:$C$60,MATCH(E629,Catégories!$A$5:$A$60,0)),"?"))</f>
        <v/>
      </c>
      <c r="J629" s="32" t="str">
        <f aca="false">IF(E629="","",IFERROR(INDEX(Catégories!$D$5:$D$60,MATCH(E629,Catégories!$A$5:$A$60,0)),"?"))</f>
        <v/>
      </c>
      <c r="K629" s="33" t="n">
        <f aca="false">IF(H629="Recette",G629,IF(H629="Dépense",-G629,0))</f>
        <v>0</v>
      </c>
      <c r="L629" s="33" t="n">
        <f aca="false">IF(E629="",0,G629*IFERROR(INDEX(Catégories!$E$5:$E$60,MATCH(E629,Catégories!$A$5:$A$60,0)),0))</f>
        <v>0</v>
      </c>
    </row>
    <row r="630" customFormat="false" ht="15" hidden="false" customHeight="true" outlineLevel="0" collapsed="false">
      <c r="A630" s="34"/>
      <c r="B630" s="29" t="str">
        <f aca="false">IF(A630="","",YEAR(A630))</f>
        <v/>
      </c>
      <c r="G630" s="35"/>
      <c r="H630" s="32" t="str">
        <f aca="false">IF(E630="","",IFERROR(INDEX(Catégories!$B$5:$B$60,MATCH(E630,Catégories!$A$5:$A$60,0)),"?"))</f>
        <v/>
      </c>
      <c r="I630" s="32" t="str">
        <f aca="false">IF(E630="","",IFERROR(INDEX(Catégories!$C$5:$C$60,MATCH(E630,Catégories!$A$5:$A$60,0)),"?"))</f>
        <v/>
      </c>
      <c r="J630" s="32" t="str">
        <f aca="false">IF(E630="","",IFERROR(INDEX(Catégories!$D$5:$D$60,MATCH(E630,Catégories!$A$5:$A$60,0)),"?"))</f>
        <v/>
      </c>
      <c r="K630" s="33" t="n">
        <f aca="false">IF(H630="Recette",G630,IF(H630="Dépense",-G630,0))</f>
        <v>0</v>
      </c>
      <c r="L630" s="33" t="n">
        <f aca="false">IF(E630="",0,G630*IFERROR(INDEX(Catégories!$E$5:$E$60,MATCH(E630,Catégories!$A$5:$A$60,0)),0))</f>
        <v>0</v>
      </c>
    </row>
    <row r="631" customFormat="false" ht="15" hidden="false" customHeight="true" outlineLevel="0" collapsed="false">
      <c r="A631" s="34"/>
      <c r="B631" s="29" t="str">
        <f aca="false">IF(A631="","",YEAR(A631))</f>
        <v/>
      </c>
      <c r="G631" s="35"/>
      <c r="H631" s="32" t="str">
        <f aca="false">IF(E631="","",IFERROR(INDEX(Catégories!$B$5:$B$60,MATCH(E631,Catégories!$A$5:$A$60,0)),"?"))</f>
        <v/>
      </c>
      <c r="I631" s="32" t="str">
        <f aca="false">IF(E631="","",IFERROR(INDEX(Catégories!$C$5:$C$60,MATCH(E631,Catégories!$A$5:$A$60,0)),"?"))</f>
        <v/>
      </c>
      <c r="J631" s="32" t="str">
        <f aca="false">IF(E631="","",IFERROR(INDEX(Catégories!$D$5:$D$60,MATCH(E631,Catégories!$A$5:$A$60,0)),"?"))</f>
        <v/>
      </c>
      <c r="K631" s="33" t="n">
        <f aca="false">IF(H631="Recette",G631,IF(H631="Dépense",-G631,0))</f>
        <v>0</v>
      </c>
      <c r="L631" s="33" t="n">
        <f aca="false">IF(E631="",0,G631*IFERROR(INDEX(Catégories!$E$5:$E$60,MATCH(E631,Catégories!$A$5:$A$60,0)),0))</f>
        <v>0</v>
      </c>
    </row>
    <row r="632" customFormat="false" ht="15" hidden="false" customHeight="true" outlineLevel="0" collapsed="false">
      <c r="A632" s="34"/>
      <c r="B632" s="29" t="str">
        <f aca="false">IF(A632="","",YEAR(A632))</f>
        <v/>
      </c>
      <c r="G632" s="35"/>
      <c r="H632" s="32" t="str">
        <f aca="false">IF(E632="","",IFERROR(INDEX(Catégories!$B$5:$B$60,MATCH(E632,Catégories!$A$5:$A$60,0)),"?"))</f>
        <v/>
      </c>
      <c r="I632" s="32" t="str">
        <f aca="false">IF(E632="","",IFERROR(INDEX(Catégories!$C$5:$C$60,MATCH(E632,Catégories!$A$5:$A$60,0)),"?"))</f>
        <v/>
      </c>
      <c r="J632" s="32" t="str">
        <f aca="false">IF(E632="","",IFERROR(INDEX(Catégories!$D$5:$D$60,MATCH(E632,Catégories!$A$5:$A$60,0)),"?"))</f>
        <v/>
      </c>
      <c r="K632" s="33" t="n">
        <f aca="false">IF(H632="Recette",G632,IF(H632="Dépense",-G632,0))</f>
        <v>0</v>
      </c>
      <c r="L632" s="33" t="n">
        <f aca="false">IF(E632="",0,G632*IFERROR(INDEX(Catégories!$E$5:$E$60,MATCH(E632,Catégories!$A$5:$A$60,0)),0))</f>
        <v>0</v>
      </c>
    </row>
    <row r="633" customFormat="false" ht="15" hidden="false" customHeight="true" outlineLevel="0" collapsed="false">
      <c r="A633" s="34"/>
      <c r="B633" s="29" t="str">
        <f aca="false">IF(A633="","",YEAR(A633))</f>
        <v/>
      </c>
      <c r="G633" s="35"/>
      <c r="H633" s="32" t="str">
        <f aca="false">IF(E633="","",IFERROR(INDEX(Catégories!$B$5:$B$60,MATCH(E633,Catégories!$A$5:$A$60,0)),"?"))</f>
        <v/>
      </c>
      <c r="I633" s="32" t="str">
        <f aca="false">IF(E633="","",IFERROR(INDEX(Catégories!$C$5:$C$60,MATCH(E633,Catégories!$A$5:$A$60,0)),"?"))</f>
        <v/>
      </c>
      <c r="J633" s="32" t="str">
        <f aca="false">IF(E633="","",IFERROR(INDEX(Catégories!$D$5:$D$60,MATCH(E633,Catégories!$A$5:$A$60,0)),"?"))</f>
        <v/>
      </c>
      <c r="K633" s="33" t="n">
        <f aca="false">IF(H633="Recette",G633,IF(H633="Dépense",-G633,0))</f>
        <v>0</v>
      </c>
      <c r="L633" s="33" t="n">
        <f aca="false">IF(E633="",0,G633*IFERROR(INDEX(Catégories!$E$5:$E$60,MATCH(E633,Catégories!$A$5:$A$60,0)),0))</f>
        <v>0</v>
      </c>
    </row>
    <row r="634" customFormat="false" ht="15" hidden="false" customHeight="true" outlineLevel="0" collapsed="false">
      <c r="A634" s="34"/>
      <c r="B634" s="29" t="str">
        <f aca="false">IF(A634="","",YEAR(A634))</f>
        <v/>
      </c>
      <c r="G634" s="35"/>
      <c r="H634" s="32" t="str">
        <f aca="false">IF(E634="","",IFERROR(INDEX(Catégories!$B$5:$B$60,MATCH(E634,Catégories!$A$5:$A$60,0)),"?"))</f>
        <v/>
      </c>
      <c r="I634" s="32" t="str">
        <f aca="false">IF(E634="","",IFERROR(INDEX(Catégories!$C$5:$C$60,MATCH(E634,Catégories!$A$5:$A$60,0)),"?"))</f>
        <v/>
      </c>
      <c r="J634" s="32" t="str">
        <f aca="false">IF(E634="","",IFERROR(INDEX(Catégories!$D$5:$D$60,MATCH(E634,Catégories!$A$5:$A$60,0)),"?"))</f>
        <v/>
      </c>
      <c r="K634" s="33" t="n">
        <f aca="false">IF(H634="Recette",G634,IF(H634="Dépense",-G634,0))</f>
        <v>0</v>
      </c>
      <c r="L634" s="33" t="n">
        <f aca="false">IF(E634="",0,G634*IFERROR(INDEX(Catégories!$E$5:$E$60,MATCH(E634,Catégories!$A$5:$A$60,0)),0))</f>
        <v>0</v>
      </c>
    </row>
    <row r="635" customFormat="false" ht="15" hidden="false" customHeight="true" outlineLevel="0" collapsed="false">
      <c r="A635" s="34"/>
      <c r="B635" s="29" t="str">
        <f aca="false">IF(A635="","",YEAR(A635))</f>
        <v/>
      </c>
      <c r="G635" s="35"/>
      <c r="H635" s="32" t="str">
        <f aca="false">IF(E635="","",IFERROR(INDEX(Catégories!$B$5:$B$60,MATCH(E635,Catégories!$A$5:$A$60,0)),"?"))</f>
        <v/>
      </c>
      <c r="I635" s="32" t="str">
        <f aca="false">IF(E635="","",IFERROR(INDEX(Catégories!$C$5:$C$60,MATCH(E635,Catégories!$A$5:$A$60,0)),"?"))</f>
        <v/>
      </c>
      <c r="J635" s="32" t="str">
        <f aca="false">IF(E635="","",IFERROR(INDEX(Catégories!$D$5:$D$60,MATCH(E635,Catégories!$A$5:$A$60,0)),"?"))</f>
        <v/>
      </c>
      <c r="K635" s="33" t="n">
        <f aca="false">IF(H635="Recette",G635,IF(H635="Dépense",-G635,0))</f>
        <v>0</v>
      </c>
      <c r="L635" s="33" t="n">
        <f aca="false">IF(E635="",0,G635*IFERROR(INDEX(Catégories!$E$5:$E$60,MATCH(E635,Catégories!$A$5:$A$60,0)),0))</f>
        <v>0</v>
      </c>
    </row>
    <row r="636" customFormat="false" ht="15" hidden="false" customHeight="true" outlineLevel="0" collapsed="false">
      <c r="A636" s="34"/>
      <c r="B636" s="29" t="str">
        <f aca="false">IF(A636="","",YEAR(A636))</f>
        <v/>
      </c>
      <c r="G636" s="35"/>
      <c r="H636" s="32" t="str">
        <f aca="false">IF(E636="","",IFERROR(INDEX(Catégories!$B$5:$B$60,MATCH(E636,Catégories!$A$5:$A$60,0)),"?"))</f>
        <v/>
      </c>
      <c r="I636" s="32" t="str">
        <f aca="false">IF(E636="","",IFERROR(INDEX(Catégories!$C$5:$C$60,MATCH(E636,Catégories!$A$5:$A$60,0)),"?"))</f>
        <v/>
      </c>
      <c r="J636" s="32" t="str">
        <f aca="false">IF(E636="","",IFERROR(INDEX(Catégories!$D$5:$D$60,MATCH(E636,Catégories!$A$5:$A$60,0)),"?"))</f>
        <v/>
      </c>
      <c r="K636" s="33" t="n">
        <f aca="false">IF(H636="Recette",G636,IF(H636="Dépense",-G636,0))</f>
        <v>0</v>
      </c>
      <c r="L636" s="33" t="n">
        <f aca="false">IF(E636="",0,G636*IFERROR(INDEX(Catégories!$E$5:$E$60,MATCH(E636,Catégories!$A$5:$A$60,0)),0))</f>
        <v>0</v>
      </c>
    </row>
    <row r="637" customFormat="false" ht="15" hidden="false" customHeight="true" outlineLevel="0" collapsed="false">
      <c r="A637" s="34"/>
      <c r="B637" s="29" t="str">
        <f aca="false">IF(A637="","",YEAR(A637))</f>
        <v/>
      </c>
      <c r="G637" s="35"/>
      <c r="H637" s="32" t="str">
        <f aca="false">IF(E637="","",IFERROR(INDEX(Catégories!$B$5:$B$60,MATCH(E637,Catégories!$A$5:$A$60,0)),"?"))</f>
        <v/>
      </c>
      <c r="I637" s="32" t="str">
        <f aca="false">IF(E637="","",IFERROR(INDEX(Catégories!$C$5:$C$60,MATCH(E637,Catégories!$A$5:$A$60,0)),"?"))</f>
        <v/>
      </c>
      <c r="J637" s="32" t="str">
        <f aca="false">IF(E637="","",IFERROR(INDEX(Catégories!$D$5:$D$60,MATCH(E637,Catégories!$A$5:$A$60,0)),"?"))</f>
        <v/>
      </c>
      <c r="K637" s="33" t="n">
        <f aca="false">IF(H637="Recette",G637,IF(H637="Dépense",-G637,0))</f>
        <v>0</v>
      </c>
      <c r="L637" s="33" t="n">
        <f aca="false">IF(E637="",0,G637*IFERROR(INDEX(Catégories!$E$5:$E$60,MATCH(E637,Catégories!$A$5:$A$60,0)),0))</f>
        <v>0</v>
      </c>
    </row>
    <row r="638" customFormat="false" ht="15" hidden="false" customHeight="true" outlineLevel="0" collapsed="false">
      <c r="A638" s="34"/>
      <c r="B638" s="29" t="str">
        <f aca="false">IF(A638="","",YEAR(A638))</f>
        <v/>
      </c>
      <c r="G638" s="35"/>
      <c r="H638" s="32" t="str">
        <f aca="false">IF(E638="","",IFERROR(INDEX(Catégories!$B$5:$B$60,MATCH(E638,Catégories!$A$5:$A$60,0)),"?"))</f>
        <v/>
      </c>
      <c r="I638" s="32" t="str">
        <f aca="false">IF(E638="","",IFERROR(INDEX(Catégories!$C$5:$C$60,MATCH(E638,Catégories!$A$5:$A$60,0)),"?"))</f>
        <v/>
      </c>
      <c r="J638" s="32" t="str">
        <f aca="false">IF(E638="","",IFERROR(INDEX(Catégories!$D$5:$D$60,MATCH(E638,Catégories!$A$5:$A$60,0)),"?"))</f>
        <v/>
      </c>
      <c r="K638" s="33" t="n">
        <f aca="false">IF(H638="Recette",G638,IF(H638="Dépense",-G638,0))</f>
        <v>0</v>
      </c>
      <c r="L638" s="33" t="n">
        <f aca="false">IF(E638="",0,G638*IFERROR(INDEX(Catégories!$E$5:$E$60,MATCH(E638,Catégories!$A$5:$A$60,0)),0))</f>
        <v>0</v>
      </c>
    </row>
    <row r="639" customFormat="false" ht="15" hidden="false" customHeight="true" outlineLevel="0" collapsed="false">
      <c r="A639" s="34"/>
      <c r="B639" s="29" t="str">
        <f aca="false">IF(A639="","",YEAR(A639))</f>
        <v/>
      </c>
      <c r="G639" s="35"/>
      <c r="H639" s="32" t="str">
        <f aca="false">IF(E639="","",IFERROR(INDEX(Catégories!$B$5:$B$60,MATCH(E639,Catégories!$A$5:$A$60,0)),"?"))</f>
        <v/>
      </c>
      <c r="I639" s="32" t="str">
        <f aca="false">IF(E639="","",IFERROR(INDEX(Catégories!$C$5:$C$60,MATCH(E639,Catégories!$A$5:$A$60,0)),"?"))</f>
        <v/>
      </c>
      <c r="J639" s="32" t="str">
        <f aca="false">IF(E639="","",IFERROR(INDEX(Catégories!$D$5:$D$60,MATCH(E639,Catégories!$A$5:$A$60,0)),"?"))</f>
        <v/>
      </c>
      <c r="K639" s="33" t="n">
        <f aca="false">IF(H639="Recette",G639,IF(H639="Dépense",-G639,0))</f>
        <v>0</v>
      </c>
      <c r="L639" s="33" t="n">
        <f aca="false">IF(E639="",0,G639*IFERROR(INDEX(Catégories!$E$5:$E$60,MATCH(E639,Catégories!$A$5:$A$60,0)),0))</f>
        <v>0</v>
      </c>
    </row>
    <row r="640" customFormat="false" ht="15" hidden="false" customHeight="true" outlineLevel="0" collapsed="false">
      <c r="A640" s="34"/>
      <c r="B640" s="29" t="str">
        <f aca="false">IF(A640="","",YEAR(A640))</f>
        <v/>
      </c>
      <c r="G640" s="35"/>
      <c r="H640" s="32" t="str">
        <f aca="false">IF(E640="","",IFERROR(INDEX(Catégories!$B$5:$B$60,MATCH(E640,Catégories!$A$5:$A$60,0)),"?"))</f>
        <v/>
      </c>
      <c r="I640" s="32" t="str">
        <f aca="false">IF(E640="","",IFERROR(INDEX(Catégories!$C$5:$C$60,MATCH(E640,Catégories!$A$5:$A$60,0)),"?"))</f>
        <v/>
      </c>
      <c r="J640" s="32" t="str">
        <f aca="false">IF(E640="","",IFERROR(INDEX(Catégories!$D$5:$D$60,MATCH(E640,Catégories!$A$5:$A$60,0)),"?"))</f>
        <v/>
      </c>
      <c r="K640" s="33" t="n">
        <f aca="false">IF(H640="Recette",G640,IF(H640="Dépense",-G640,0))</f>
        <v>0</v>
      </c>
      <c r="L640" s="33" t="n">
        <f aca="false">IF(E640="",0,G640*IFERROR(INDEX(Catégories!$E$5:$E$60,MATCH(E640,Catégories!$A$5:$A$60,0)),0))</f>
        <v>0</v>
      </c>
    </row>
    <row r="641" customFormat="false" ht="15" hidden="false" customHeight="true" outlineLevel="0" collapsed="false">
      <c r="A641" s="34"/>
      <c r="B641" s="29" t="str">
        <f aca="false">IF(A641="","",YEAR(A641))</f>
        <v/>
      </c>
      <c r="G641" s="35"/>
      <c r="H641" s="32" t="str">
        <f aca="false">IF(E641="","",IFERROR(INDEX(Catégories!$B$5:$B$60,MATCH(E641,Catégories!$A$5:$A$60,0)),"?"))</f>
        <v/>
      </c>
      <c r="I641" s="32" t="str">
        <f aca="false">IF(E641="","",IFERROR(INDEX(Catégories!$C$5:$C$60,MATCH(E641,Catégories!$A$5:$A$60,0)),"?"))</f>
        <v/>
      </c>
      <c r="J641" s="32" t="str">
        <f aca="false">IF(E641="","",IFERROR(INDEX(Catégories!$D$5:$D$60,MATCH(E641,Catégories!$A$5:$A$60,0)),"?"))</f>
        <v/>
      </c>
      <c r="K641" s="33" t="n">
        <f aca="false">IF(H641="Recette",G641,IF(H641="Dépense",-G641,0))</f>
        <v>0</v>
      </c>
      <c r="L641" s="33" t="n">
        <f aca="false">IF(E641="",0,G641*IFERROR(INDEX(Catégories!$E$5:$E$60,MATCH(E641,Catégories!$A$5:$A$60,0)),0))</f>
        <v>0</v>
      </c>
    </row>
    <row r="642" customFormat="false" ht="15" hidden="false" customHeight="true" outlineLevel="0" collapsed="false">
      <c r="A642" s="34"/>
      <c r="B642" s="29" t="str">
        <f aca="false">IF(A642="","",YEAR(A642))</f>
        <v/>
      </c>
      <c r="G642" s="35"/>
      <c r="H642" s="32" t="str">
        <f aca="false">IF(E642="","",IFERROR(INDEX(Catégories!$B$5:$B$60,MATCH(E642,Catégories!$A$5:$A$60,0)),"?"))</f>
        <v/>
      </c>
      <c r="I642" s="32" t="str">
        <f aca="false">IF(E642="","",IFERROR(INDEX(Catégories!$C$5:$C$60,MATCH(E642,Catégories!$A$5:$A$60,0)),"?"))</f>
        <v/>
      </c>
      <c r="J642" s="32" t="str">
        <f aca="false">IF(E642="","",IFERROR(INDEX(Catégories!$D$5:$D$60,MATCH(E642,Catégories!$A$5:$A$60,0)),"?"))</f>
        <v/>
      </c>
      <c r="K642" s="33" t="n">
        <f aca="false">IF(H642="Recette",G642,IF(H642="Dépense",-G642,0))</f>
        <v>0</v>
      </c>
      <c r="L642" s="33" t="n">
        <f aca="false">IF(E642="",0,G642*IFERROR(INDEX(Catégories!$E$5:$E$60,MATCH(E642,Catégories!$A$5:$A$60,0)),0))</f>
        <v>0</v>
      </c>
    </row>
    <row r="643" customFormat="false" ht="15" hidden="false" customHeight="true" outlineLevel="0" collapsed="false">
      <c r="A643" s="34"/>
      <c r="B643" s="29" t="str">
        <f aca="false">IF(A643="","",YEAR(A643))</f>
        <v/>
      </c>
      <c r="G643" s="35"/>
      <c r="H643" s="32" t="str">
        <f aca="false">IF(E643="","",IFERROR(INDEX(Catégories!$B$5:$B$60,MATCH(E643,Catégories!$A$5:$A$60,0)),"?"))</f>
        <v/>
      </c>
      <c r="I643" s="32" t="str">
        <f aca="false">IF(E643="","",IFERROR(INDEX(Catégories!$C$5:$C$60,MATCH(E643,Catégories!$A$5:$A$60,0)),"?"))</f>
        <v/>
      </c>
      <c r="J643" s="32" t="str">
        <f aca="false">IF(E643="","",IFERROR(INDEX(Catégories!$D$5:$D$60,MATCH(E643,Catégories!$A$5:$A$60,0)),"?"))</f>
        <v/>
      </c>
      <c r="K643" s="33" t="n">
        <f aca="false">IF(H643="Recette",G643,IF(H643="Dépense",-G643,0))</f>
        <v>0</v>
      </c>
      <c r="L643" s="33" t="n">
        <f aca="false">IF(E643="",0,G643*IFERROR(INDEX(Catégories!$E$5:$E$60,MATCH(E643,Catégories!$A$5:$A$60,0)),0))</f>
        <v>0</v>
      </c>
    </row>
    <row r="644" customFormat="false" ht="15" hidden="false" customHeight="true" outlineLevel="0" collapsed="false">
      <c r="A644" s="34"/>
      <c r="B644" s="29" t="str">
        <f aca="false">IF(A644="","",YEAR(A644))</f>
        <v/>
      </c>
      <c r="G644" s="35"/>
      <c r="H644" s="32" t="str">
        <f aca="false">IF(E644="","",IFERROR(INDEX(Catégories!$B$5:$B$60,MATCH(E644,Catégories!$A$5:$A$60,0)),"?"))</f>
        <v/>
      </c>
      <c r="I644" s="32" t="str">
        <f aca="false">IF(E644="","",IFERROR(INDEX(Catégories!$C$5:$C$60,MATCH(E644,Catégories!$A$5:$A$60,0)),"?"))</f>
        <v/>
      </c>
      <c r="J644" s="32" t="str">
        <f aca="false">IF(E644="","",IFERROR(INDEX(Catégories!$D$5:$D$60,MATCH(E644,Catégories!$A$5:$A$60,0)),"?"))</f>
        <v/>
      </c>
      <c r="K644" s="33" t="n">
        <f aca="false">IF(H644="Recette",G644,IF(H644="Dépense",-G644,0))</f>
        <v>0</v>
      </c>
      <c r="L644" s="33" t="n">
        <f aca="false">IF(E644="",0,G644*IFERROR(INDEX(Catégories!$E$5:$E$60,MATCH(E644,Catégories!$A$5:$A$60,0)),0))</f>
        <v>0</v>
      </c>
    </row>
    <row r="645" customFormat="false" ht="15" hidden="false" customHeight="true" outlineLevel="0" collapsed="false">
      <c r="A645" s="34"/>
      <c r="B645" s="29" t="str">
        <f aca="false">IF(A645="","",YEAR(A645))</f>
        <v/>
      </c>
      <c r="G645" s="35"/>
      <c r="H645" s="32" t="str">
        <f aca="false">IF(E645="","",IFERROR(INDEX(Catégories!$B$5:$B$60,MATCH(E645,Catégories!$A$5:$A$60,0)),"?"))</f>
        <v/>
      </c>
      <c r="I645" s="32" t="str">
        <f aca="false">IF(E645="","",IFERROR(INDEX(Catégories!$C$5:$C$60,MATCH(E645,Catégories!$A$5:$A$60,0)),"?"))</f>
        <v/>
      </c>
      <c r="J645" s="32" t="str">
        <f aca="false">IF(E645="","",IFERROR(INDEX(Catégories!$D$5:$D$60,MATCH(E645,Catégories!$A$5:$A$60,0)),"?"))</f>
        <v/>
      </c>
      <c r="K645" s="33" t="n">
        <f aca="false">IF(H645="Recette",G645,IF(H645="Dépense",-G645,0))</f>
        <v>0</v>
      </c>
      <c r="L645" s="33" t="n">
        <f aca="false">IF(E645="",0,G645*IFERROR(INDEX(Catégories!$E$5:$E$60,MATCH(E645,Catégories!$A$5:$A$60,0)),0))</f>
        <v>0</v>
      </c>
    </row>
    <row r="646" customFormat="false" ht="15" hidden="false" customHeight="true" outlineLevel="0" collapsed="false">
      <c r="A646" s="34"/>
      <c r="B646" s="29" t="str">
        <f aca="false">IF(A646="","",YEAR(A646))</f>
        <v/>
      </c>
      <c r="G646" s="35"/>
      <c r="H646" s="32" t="str">
        <f aca="false">IF(E646="","",IFERROR(INDEX(Catégories!$B$5:$B$60,MATCH(E646,Catégories!$A$5:$A$60,0)),"?"))</f>
        <v/>
      </c>
      <c r="I646" s="32" t="str">
        <f aca="false">IF(E646="","",IFERROR(INDEX(Catégories!$C$5:$C$60,MATCH(E646,Catégories!$A$5:$A$60,0)),"?"))</f>
        <v/>
      </c>
      <c r="J646" s="32" t="str">
        <f aca="false">IF(E646="","",IFERROR(INDEX(Catégories!$D$5:$D$60,MATCH(E646,Catégories!$A$5:$A$60,0)),"?"))</f>
        <v/>
      </c>
      <c r="K646" s="33" t="n">
        <f aca="false">IF(H646="Recette",G646,IF(H646="Dépense",-G646,0))</f>
        <v>0</v>
      </c>
      <c r="L646" s="33" t="n">
        <f aca="false">IF(E646="",0,G646*IFERROR(INDEX(Catégories!$E$5:$E$60,MATCH(E646,Catégories!$A$5:$A$60,0)),0))</f>
        <v>0</v>
      </c>
    </row>
    <row r="647" customFormat="false" ht="15" hidden="false" customHeight="true" outlineLevel="0" collapsed="false">
      <c r="A647" s="34"/>
      <c r="B647" s="29" t="str">
        <f aca="false">IF(A647="","",YEAR(A647))</f>
        <v/>
      </c>
      <c r="G647" s="35"/>
      <c r="H647" s="32" t="str">
        <f aca="false">IF(E647="","",IFERROR(INDEX(Catégories!$B$5:$B$60,MATCH(E647,Catégories!$A$5:$A$60,0)),"?"))</f>
        <v/>
      </c>
      <c r="I647" s="32" t="str">
        <f aca="false">IF(E647="","",IFERROR(INDEX(Catégories!$C$5:$C$60,MATCH(E647,Catégories!$A$5:$A$60,0)),"?"))</f>
        <v/>
      </c>
      <c r="J647" s="32" t="str">
        <f aca="false">IF(E647="","",IFERROR(INDEX(Catégories!$D$5:$D$60,MATCH(E647,Catégories!$A$5:$A$60,0)),"?"))</f>
        <v/>
      </c>
      <c r="K647" s="33" t="n">
        <f aca="false">IF(H647="Recette",G647,IF(H647="Dépense",-G647,0))</f>
        <v>0</v>
      </c>
      <c r="L647" s="33" t="n">
        <f aca="false">IF(E647="",0,G647*IFERROR(INDEX(Catégories!$E$5:$E$60,MATCH(E647,Catégories!$A$5:$A$60,0)),0))</f>
        <v>0</v>
      </c>
    </row>
    <row r="648" customFormat="false" ht="15" hidden="false" customHeight="true" outlineLevel="0" collapsed="false">
      <c r="A648" s="34"/>
      <c r="B648" s="29" t="str">
        <f aca="false">IF(A648="","",YEAR(A648))</f>
        <v/>
      </c>
      <c r="G648" s="35"/>
      <c r="H648" s="32" t="str">
        <f aca="false">IF(E648="","",IFERROR(INDEX(Catégories!$B$5:$B$60,MATCH(E648,Catégories!$A$5:$A$60,0)),"?"))</f>
        <v/>
      </c>
      <c r="I648" s="32" t="str">
        <f aca="false">IF(E648="","",IFERROR(INDEX(Catégories!$C$5:$C$60,MATCH(E648,Catégories!$A$5:$A$60,0)),"?"))</f>
        <v/>
      </c>
      <c r="J648" s="32" t="str">
        <f aca="false">IF(E648="","",IFERROR(INDEX(Catégories!$D$5:$D$60,MATCH(E648,Catégories!$A$5:$A$60,0)),"?"))</f>
        <v/>
      </c>
      <c r="K648" s="33" t="n">
        <f aca="false">IF(H648="Recette",G648,IF(H648="Dépense",-G648,0))</f>
        <v>0</v>
      </c>
      <c r="L648" s="33" t="n">
        <f aca="false">IF(E648="",0,G648*IFERROR(INDEX(Catégories!$E$5:$E$60,MATCH(E648,Catégories!$A$5:$A$60,0)),0))</f>
        <v>0</v>
      </c>
    </row>
    <row r="649" customFormat="false" ht="15" hidden="false" customHeight="true" outlineLevel="0" collapsed="false">
      <c r="A649" s="34"/>
      <c r="B649" s="29" t="str">
        <f aca="false">IF(A649="","",YEAR(A649))</f>
        <v/>
      </c>
      <c r="G649" s="35"/>
      <c r="H649" s="32" t="str">
        <f aca="false">IF(E649="","",IFERROR(INDEX(Catégories!$B$5:$B$60,MATCH(E649,Catégories!$A$5:$A$60,0)),"?"))</f>
        <v/>
      </c>
      <c r="I649" s="32" t="str">
        <f aca="false">IF(E649="","",IFERROR(INDEX(Catégories!$C$5:$C$60,MATCH(E649,Catégories!$A$5:$A$60,0)),"?"))</f>
        <v/>
      </c>
      <c r="J649" s="32" t="str">
        <f aca="false">IF(E649="","",IFERROR(INDEX(Catégories!$D$5:$D$60,MATCH(E649,Catégories!$A$5:$A$60,0)),"?"))</f>
        <v/>
      </c>
      <c r="K649" s="33" t="n">
        <f aca="false">IF(H649="Recette",G649,IF(H649="Dépense",-G649,0))</f>
        <v>0</v>
      </c>
      <c r="L649" s="33" t="n">
        <f aca="false">IF(E649="",0,G649*IFERROR(INDEX(Catégories!$E$5:$E$60,MATCH(E649,Catégories!$A$5:$A$60,0)),0))</f>
        <v>0</v>
      </c>
    </row>
    <row r="650" customFormat="false" ht="15" hidden="false" customHeight="true" outlineLevel="0" collapsed="false">
      <c r="A650" s="34"/>
      <c r="B650" s="29" t="str">
        <f aca="false">IF(A650="","",YEAR(A650))</f>
        <v/>
      </c>
      <c r="G650" s="35"/>
      <c r="H650" s="32" t="str">
        <f aca="false">IF(E650="","",IFERROR(INDEX(Catégories!$B$5:$B$60,MATCH(E650,Catégories!$A$5:$A$60,0)),"?"))</f>
        <v/>
      </c>
      <c r="I650" s="32" t="str">
        <f aca="false">IF(E650="","",IFERROR(INDEX(Catégories!$C$5:$C$60,MATCH(E650,Catégories!$A$5:$A$60,0)),"?"))</f>
        <v/>
      </c>
      <c r="J650" s="32" t="str">
        <f aca="false">IF(E650="","",IFERROR(INDEX(Catégories!$D$5:$D$60,MATCH(E650,Catégories!$A$5:$A$60,0)),"?"))</f>
        <v/>
      </c>
      <c r="K650" s="33" t="n">
        <f aca="false">IF(H650="Recette",G650,IF(H650="Dépense",-G650,0))</f>
        <v>0</v>
      </c>
      <c r="L650" s="33" t="n">
        <f aca="false">IF(E650="",0,G650*IFERROR(INDEX(Catégories!$E$5:$E$60,MATCH(E650,Catégories!$A$5:$A$60,0)),0))</f>
        <v>0</v>
      </c>
    </row>
    <row r="651" customFormat="false" ht="15" hidden="false" customHeight="true" outlineLevel="0" collapsed="false">
      <c r="A651" s="34"/>
      <c r="B651" s="29" t="str">
        <f aca="false">IF(A651="","",YEAR(A651))</f>
        <v/>
      </c>
      <c r="G651" s="35"/>
      <c r="H651" s="32" t="str">
        <f aca="false">IF(E651="","",IFERROR(INDEX(Catégories!$B$5:$B$60,MATCH(E651,Catégories!$A$5:$A$60,0)),"?"))</f>
        <v/>
      </c>
      <c r="I651" s="32" t="str">
        <f aca="false">IF(E651="","",IFERROR(INDEX(Catégories!$C$5:$C$60,MATCH(E651,Catégories!$A$5:$A$60,0)),"?"))</f>
        <v/>
      </c>
      <c r="J651" s="32" t="str">
        <f aca="false">IF(E651="","",IFERROR(INDEX(Catégories!$D$5:$D$60,MATCH(E651,Catégories!$A$5:$A$60,0)),"?"))</f>
        <v/>
      </c>
      <c r="K651" s="33" t="n">
        <f aca="false">IF(H651="Recette",G651,IF(H651="Dépense",-G651,0))</f>
        <v>0</v>
      </c>
      <c r="L651" s="33" t="n">
        <f aca="false">IF(E651="",0,G651*IFERROR(INDEX(Catégories!$E$5:$E$60,MATCH(E651,Catégories!$A$5:$A$60,0)),0))</f>
        <v>0</v>
      </c>
    </row>
    <row r="652" customFormat="false" ht="15" hidden="false" customHeight="true" outlineLevel="0" collapsed="false">
      <c r="A652" s="34"/>
      <c r="B652" s="29" t="str">
        <f aca="false">IF(A652="","",YEAR(A652))</f>
        <v/>
      </c>
      <c r="G652" s="35"/>
      <c r="H652" s="32" t="str">
        <f aca="false">IF(E652="","",IFERROR(INDEX(Catégories!$B$5:$B$60,MATCH(E652,Catégories!$A$5:$A$60,0)),"?"))</f>
        <v/>
      </c>
      <c r="I652" s="32" t="str">
        <f aca="false">IF(E652="","",IFERROR(INDEX(Catégories!$C$5:$C$60,MATCH(E652,Catégories!$A$5:$A$60,0)),"?"))</f>
        <v/>
      </c>
      <c r="J652" s="32" t="str">
        <f aca="false">IF(E652="","",IFERROR(INDEX(Catégories!$D$5:$D$60,MATCH(E652,Catégories!$A$5:$A$60,0)),"?"))</f>
        <v/>
      </c>
      <c r="K652" s="33" t="n">
        <f aca="false">IF(H652="Recette",G652,IF(H652="Dépense",-G652,0))</f>
        <v>0</v>
      </c>
      <c r="L652" s="33" t="n">
        <f aca="false">IF(E652="",0,G652*IFERROR(INDEX(Catégories!$E$5:$E$60,MATCH(E652,Catégories!$A$5:$A$60,0)),0))</f>
        <v>0</v>
      </c>
    </row>
    <row r="653" customFormat="false" ht="15" hidden="false" customHeight="true" outlineLevel="0" collapsed="false">
      <c r="A653" s="34"/>
      <c r="B653" s="29" t="str">
        <f aca="false">IF(A653="","",YEAR(A653))</f>
        <v/>
      </c>
      <c r="G653" s="35"/>
      <c r="H653" s="32" t="str">
        <f aca="false">IF(E653="","",IFERROR(INDEX(Catégories!$B$5:$B$60,MATCH(E653,Catégories!$A$5:$A$60,0)),"?"))</f>
        <v/>
      </c>
      <c r="I653" s="32" t="str">
        <f aca="false">IF(E653="","",IFERROR(INDEX(Catégories!$C$5:$C$60,MATCH(E653,Catégories!$A$5:$A$60,0)),"?"))</f>
        <v/>
      </c>
      <c r="J653" s="32" t="str">
        <f aca="false">IF(E653="","",IFERROR(INDEX(Catégories!$D$5:$D$60,MATCH(E653,Catégories!$A$5:$A$60,0)),"?"))</f>
        <v/>
      </c>
      <c r="K653" s="33" t="n">
        <f aca="false">IF(H653="Recette",G653,IF(H653="Dépense",-G653,0))</f>
        <v>0</v>
      </c>
      <c r="L653" s="33" t="n">
        <f aca="false">IF(E653="",0,G653*IFERROR(INDEX(Catégories!$E$5:$E$60,MATCH(E653,Catégories!$A$5:$A$60,0)),0))</f>
        <v>0</v>
      </c>
    </row>
    <row r="654" customFormat="false" ht="15" hidden="false" customHeight="true" outlineLevel="0" collapsed="false">
      <c r="A654" s="34"/>
      <c r="B654" s="29" t="str">
        <f aca="false">IF(A654="","",YEAR(A654))</f>
        <v/>
      </c>
      <c r="G654" s="35"/>
      <c r="H654" s="32" t="str">
        <f aca="false">IF(E654="","",IFERROR(INDEX(Catégories!$B$5:$B$60,MATCH(E654,Catégories!$A$5:$A$60,0)),"?"))</f>
        <v/>
      </c>
      <c r="I654" s="32" t="str">
        <f aca="false">IF(E654="","",IFERROR(INDEX(Catégories!$C$5:$C$60,MATCH(E654,Catégories!$A$5:$A$60,0)),"?"))</f>
        <v/>
      </c>
      <c r="J654" s="32" t="str">
        <f aca="false">IF(E654="","",IFERROR(INDEX(Catégories!$D$5:$D$60,MATCH(E654,Catégories!$A$5:$A$60,0)),"?"))</f>
        <v/>
      </c>
      <c r="K654" s="33" t="n">
        <f aca="false">IF(H654="Recette",G654,IF(H654="Dépense",-G654,0))</f>
        <v>0</v>
      </c>
      <c r="L654" s="33" t="n">
        <f aca="false">IF(E654="",0,G654*IFERROR(INDEX(Catégories!$E$5:$E$60,MATCH(E654,Catégories!$A$5:$A$60,0)),0))</f>
        <v>0</v>
      </c>
    </row>
    <row r="655" customFormat="false" ht="15" hidden="false" customHeight="true" outlineLevel="0" collapsed="false">
      <c r="A655" s="34"/>
      <c r="B655" s="29" t="str">
        <f aca="false">IF(A655="","",YEAR(A655))</f>
        <v/>
      </c>
      <c r="G655" s="35"/>
      <c r="H655" s="32" t="str">
        <f aca="false">IF(E655="","",IFERROR(INDEX(Catégories!$B$5:$B$60,MATCH(E655,Catégories!$A$5:$A$60,0)),"?"))</f>
        <v/>
      </c>
      <c r="I655" s="32" t="str">
        <f aca="false">IF(E655="","",IFERROR(INDEX(Catégories!$C$5:$C$60,MATCH(E655,Catégories!$A$5:$A$60,0)),"?"))</f>
        <v/>
      </c>
      <c r="J655" s="32" t="str">
        <f aca="false">IF(E655="","",IFERROR(INDEX(Catégories!$D$5:$D$60,MATCH(E655,Catégories!$A$5:$A$60,0)),"?"))</f>
        <v/>
      </c>
      <c r="K655" s="33" t="n">
        <f aca="false">IF(H655="Recette",G655,IF(H655="Dépense",-G655,0))</f>
        <v>0</v>
      </c>
      <c r="L655" s="33" t="n">
        <f aca="false">IF(E655="",0,G655*IFERROR(INDEX(Catégories!$E$5:$E$60,MATCH(E655,Catégories!$A$5:$A$60,0)),0))</f>
        <v>0</v>
      </c>
    </row>
    <row r="656" customFormat="false" ht="15" hidden="false" customHeight="true" outlineLevel="0" collapsed="false">
      <c r="A656" s="34"/>
      <c r="B656" s="29" t="str">
        <f aca="false">IF(A656="","",YEAR(A656))</f>
        <v/>
      </c>
      <c r="G656" s="35"/>
      <c r="H656" s="32" t="str">
        <f aca="false">IF(E656="","",IFERROR(INDEX(Catégories!$B$5:$B$60,MATCH(E656,Catégories!$A$5:$A$60,0)),"?"))</f>
        <v/>
      </c>
      <c r="I656" s="32" t="str">
        <f aca="false">IF(E656="","",IFERROR(INDEX(Catégories!$C$5:$C$60,MATCH(E656,Catégories!$A$5:$A$60,0)),"?"))</f>
        <v/>
      </c>
      <c r="J656" s="32" t="str">
        <f aca="false">IF(E656="","",IFERROR(INDEX(Catégories!$D$5:$D$60,MATCH(E656,Catégories!$A$5:$A$60,0)),"?"))</f>
        <v/>
      </c>
      <c r="K656" s="33" t="n">
        <f aca="false">IF(H656="Recette",G656,IF(H656="Dépense",-G656,0))</f>
        <v>0</v>
      </c>
      <c r="L656" s="33" t="n">
        <f aca="false">IF(E656="",0,G656*IFERROR(INDEX(Catégories!$E$5:$E$60,MATCH(E656,Catégories!$A$5:$A$60,0)),0))</f>
        <v>0</v>
      </c>
    </row>
    <row r="657" customFormat="false" ht="15" hidden="false" customHeight="true" outlineLevel="0" collapsed="false">
      <c r="A657" s="34"/>
      <c r="B657" s="29" t="str">
        <f aca="false">IF(A657="","",YEAR(A657))</f>
        <v/>
      </c>
      <c r="G657" s="35"/>
      <c r="H657" s="32" t="str">
        <f aca="false">IF(E657="","",IFERROR(INDEX(Catégories!$B$5:$B$60,MATCH(E657,Catégories!$A$5:$A$60,0)),"?"))</f>
        <v/>
      </c>
      <c r="I657" s="32" t="str">
        <f aca="false">IF(E657="","",IFERROR(INDEX(Catégories!$C$5:$C$60,MATCH(E657,Catégories!$A$5:$A$60,0)),"?"))</f>
        <v/>
      </c>
      <c r="J657" s="32" t="str">
        <f aca="false">IF(E657="","",IFERROR(INDEX(Catégories!$D$5:$D$60,MATCH(E657,Catégories!$A$5:$A$60,0)),"?"))</f>
        <v/>
      </c>
      <c r="K657" s="33" t="n">
        <f aca="false">IF(H657="Recette",G657,IF(H657="Dépense",-G657,0))</f>
        <v>0</v>
      </c>
      <c r="L657" s="33" t="n">
        <f aca="false">IF(E657="",0,G657*IFERROR(INDEX(Catégories!$E$5:$E$60,MATCH(E657,Catégories!$A$5:$A$60,0)),0))</f>
        <v>0</v>
      </c>
    </row>
    <row r="658" customFormat="false" ht="15" hidden="false" customHeight="true" outlineLevel="0" collapsed="false">
      <c r="A658" s="34"/>
      <c r="B658" s="29" t="str">
        <f aca="false">IF(A658="","",YEAR(A658))</f>
        <v/>
      </c>
      <c r="G658" s="35"/>
      <c r="H658" s="32" t="str">
        <f aca="false">IF(E658="","",IFERROR(INDEX(Catégories!$B$5:$B$60,MATCH(E658,Catégories!$A$5:$A$60,0)),"?"))</f>
        <v/>
      </c>
      <c r="I658" s="32" t="str">
        <f aca="false">IF(E658="","",IFERROR(INDEX(Catégories!$C$5:$C$60,MATCH(E658,Catégories!$A$5:$A$60,0)),"?"))</f>
        <v/>
      </c>
      <c r="J658" s="32" t="str">
        <f aca="false">IF(E658="","",IFERROR(INDEX(Catégories!$D$5:$D$60,MATCH(E658,Catégories!$A$5:$A$60,0)),"?"))</f>
        <v/>
      </c>
      <c r="K658" s="33" t="n">
        <f aca="false">IF(H658="Recette",G658,IF(H658="Dépense",-G658,0))</f>
        <v>0</v>
      </c>
      <c r="L658" s="33" t="n">
        <f aca="false">IF(E658="",0,G658*IFERROR(INDEX(Catégories!$E$5:$E$60,MATCH(E658,Catégories!$A$5:$A$60,0)),0))</f>
        <v>0</v>
      </c>
    </row>
    <row r="659" customFormat="false" ht="15" hidden="false" customHeight="true" outlineLevel="0" collapsed="false">
      <c r="A659" s="34"/>
      <c r="B659" s="29" t="str">
        <f aca="false">IF(A659="","",YEAR(A659))</f>
        <v/>
      </c>
      <c r="G659" s="35"/>
      <c r="H659" s="32" t="str">
        <f aca="false">IF(E659="","",IFERROR(INDEX(Catégories!$B$5:$B$60,MATCH(E659,Catégories!$A$5:$A$60,0)),"?"))</f>
        <v/>
      </c>
      <c r="I659" s="32" t="str">
        <f aca="false">IF(E659="","",IFERROR(INDEX(Catégories!$C$5:$C$60,MATCH(E659,Catégories!$A$5:$A$60,0)),"?"))</f>
        <v/>
      </c>
      <c r="J659" s="32" t="str">
        <f aca="false">IF(E659="","",IFERROR(INDEX(Catégories!$D$5:$D$60,MATCH(E659,Catégories!$A$5:$A$60,0)),"?"))</f>
        <v/>
      </c>
      <c r="K659" s="33" t="n">
        <f aca="false">IF(H659="Recette",G659,IF(H659="Dépense",-G659,0))</f>
        <v>0</v>
      </c>
      <c r="L659" s="33" t="n">
        <f aca="false">IF(E659="",0,G659*IFERROR(INDEX(Catégories!$E$5:$E$60,MATCH(E659,Catégories!$A$5:$A$60,0)),0))</f>
        <v>0</v>
      </c>
    </row>
    <row r="660" customFormat="false" ht="15" hidden="false" customHeight="true" outlineLevel="0" collapsed="false">
      <c r="A660" s="34"/>
      <c r="B660" s="29" t="str">
        <f aca="false">IF(A660="","",YEAR(A660))</f>
        <v/>
      </c>
      <c r="G660" s="35"/>
      <c r="H660" s="32" t="str">
        <f aca="false">IF(E660="","",IFERROR(INDEX(Catégories!$B$5:$B$60,MATCH(E660,Catégories!$A$5:$A$60,0)),"?"))</f>
        <v/>
      </c>
      <c r="I660" s="32" t="str">
        <f aca="false">IF(E660="","",IFERROR(INDEX(Catégories!$C$5:$C$60,MATCH(E660,Catégories!$A$5:$A$60,0)),"?"))</f>
        <v/>
      </c>
      <c r="J660" s="32" t="str">
        <f aca="false">IF(E660="","",IFERROR(INDEX(Catégories!$D$5:$D$60,MATCH(E660,Catégories!$A$5:$A$60,0)),"?"))</f>
        <v/>
      </c>
      <c r="K660" s="33" t="n">
        <f aca="false">IF(H660="Recette",G660,IF(H660="Dépense",-G660,0))</f>
        <v>0</v>
      </c>
      <c r="L660" s="33" t="n">
        <f aca="false">IF(E660="",0,G660*IFERROR(INDEX(Catégories!$E$5:$E$60,MATCH(E660,Catégories!$A$5:$A$60,0)),0))</f>
        <v>0</v>
      </c>
    </row>
    <row r="661" customFormat="false" ht="15" hidden="false" customHeight="true" outlineLevel="0" collapsed="false">
      <c r="A661" s="34"/>
      <c r="B661" s="29" t="str">
        <f aca="false">IF(A661="","",YEAR(A661))</f>
        <v/>
      </c>
      <c r="G661" s="35"/>
      <c r="H661" s="32" t="str">
        <f aca="false">IF(E661="","",IFERROR(INDEX(Catégories!$B$5:$B$60,MATCH(E661,Catégories!$A$5:$A$60,0)),"?"))</f>
        <v/>
      </c>
      <c r="I661" s="32" t="str">
        <f aca="false">IF(E661="","",IFERROR(INDEX(Catégories!$C$5:$C$60,MATCH(E661,Catégories!$A$5:$A$60,0)),"?"))</f>
        <v/>
      </c>
      <c r="J661" s="32" t="str">
        <f aca="false">IF(E661="","",IFERROR(INDEX(Catégories!$D$5:$D$60,MATCH(E661,Catégories!$A$5:$A$60,0)),"?"))</f>
        <v/>
      </c>
      <c r="K661" s="33" t="n">
        <f aca="false">IF(H661="Recette",G661,IF(H661="Dépense",-G661,0))</f>
        <v>0</v>
      </c>
      <c r="L661" s="33" t="n">
        <f aca="false">IF(E661="",0,G661*IFERROR(INDEX(Catégories!$E$5:$E$60,MATCH(E661,Catégories!$A$5:$A$60,0)),0))</f>
        <v>0</v>
      </c>
    </row>
    <row r="662" customFormat="false" ht="15" hidden="false" customHeight="true" outlineLevel="0" collapsed="false">
      <c r="A662" s="34"/>
      <c r="B662" s="29" t="str">
        <f aca="false">IF(A662="","",YEAR(A662))</f>
        <v/>
      </c>
      <c r="G662" s="35"/>
      <c r="H662" s="32" t="str">
        <f aca="false">IF(E662="","",IFERROR(INDEX(Catégories!$B$5:$B$60,MATCH(E662,Catégories!$A$5:$A$60,0)),"?"))</f>
        <v/>
      </c>
      <c r="I662" s="32" t="str">
        <f aca="false">IF(E662="","",IFERROR(INDEX(Catégories!$C$5:$C$60,MATCH(E662,Catégories!$A$5:$A$60,0)),"?"))</f>
        <v/>
      </c>
      <c r="J662" s="32" t="str">
        <f aca="false">IF(E662="","",IFERROR(INDEX(Catégories!$D$5:$D$60,MATCH(E662,Catégories!$A$5:$A$60,0)),"?"))</f>
        <v/>
      </c>
      <c r="K662" s="33" t="n">
        <f aca="false">IF(H662="Recette",G662,IF(H662="Dépense",-G662,0))</f>
        <v>0</v>
      </c>
      <c r="L662" s="33" t="n">
        <f aca="false">IF(E662="",0,G662*IFERROR(INDEX(Catégories!$E$5:$E$60,MATCH(E662,Catégories!$A$5:$A$60,0)),0))</f>
        <v>0</v>
      </c>
    </row>
    <row r="663" customFormat="false" ht="15" hidden="false" customHeight="true" outlineLevel="0" collapsed="false">
      <c r="A663" s="34"/>
      <c r="B663" s="29" t="str">
        <f aca="false">IF(A663="","",YEAR(A663))</f>
        <v/>
      </c>
      <c r="G663" s="35"/>
      <c r="H663" s="32" t="str">
        <f aca="false">IF(E663="","",IFERROR(INDEX(Catégories!$B$5:$B$60,MATCH(E663,Catégories!$A$5:$A$60,0)),"?"))</f>
        <v/>
      </c>
      <c r="I663" s="32" t="str">
        <f aca="false">IF(E663="","",IFERROR(INDEX(Catégories!$C$5:$C$60,MATCH(E663,Catégories!$A$5:$A$60,0)),"?"))</f>
        <v/>
      </c>
      <c r="J663" s="32" t="str">
        <f aca="false">IF(E663="","",IFERROR(INDEX(Catégories!$D$5:$D$60,MATCH(E663,Catégories!$A$5:$A$60,0)),"?"))</f>
        <v/>
      </c>
      <c r="K663" s="33" t="n">
        <f aca="false">IF(H663="Recette",G663,IF(H663="Dépense",-G663,0))</f>
        <v>0</v>
      </c>
      <c r="L663" s="33" t="n">
        <f aca="false">IF(E663="",0,G663*IFERROR(INDEX(Catégories!$E$5:$E$60,MATCH(E663,Catégories!$A$5:$A$60,0)),0))</f>
        <v>0</v>
      </c>
    </row>
    <row r="664" customFormat="false" ht="15" hidden="false" customHeight="true" outlineLevel="0" collapsed="false">
      <c r="A664" s="34"/>
      <c r="B664" s="29" t="str">
        <f aca="false">IF(A664="","",YEAR(A664))</f>
        <v/>
      </c>
      <c r="G664" s="35"/>
      <c r="H664" s="32" t="str">
        <f aca="false">IF(E664="","",IFERROR(INDEX(Catégories!$B$5:$B$60,MATCH(E664,Catégories!$A$5:$A$60,0)),"?"))</f>
        <v/>
      </c>
      <c r="I664" s="32" t="str">
        <f aca="false">IF(E664="","",IFERROR(INDEX(Catégories!$C$5:$C$60,MATCH(E664,Catégories!$A$5:$A$60,0)),"?"))</f>
        <v/>
      </c>
      <c r="J664" s="32" t="str">
        <f aca="false">IF(E664="","",IFERROR(INDEX(Catégories!$D$5:$D$60,MATCH(E664,Catégories!$A$5:$A$60,0)),"?"))</f>
        <v/>
      </c>
      <c r="K664" s="33" t="n">
        <f aca="false">IF(H664="Recette",G664,IF(H664="Dépense",-G664,0))</f>
        <v>0</v>
      </c>
      <c r="L664" s="33" t="n">
        <f aca="false">IF(E664="",0,G664*IFERROR(INDEX(Catégories!$E$5:$E$60,MATCH(E664,Catégories!$A$5:$A$60,0)),0))</f>
        <v>0</v>
      </c>
    </row>
    <row r="665" customFormat="false" ht="15" hidden="false" customHeight="true" outlineLevel="0" collapsed="false">
      <c r="A665" s="34"/>
      <c r="B665" s="29" t="str">
        <f aca="false">IF(A665="","",YEAR(A665))</f>
        <v/>
      </c>
      <c r="G665" s="35"/>
      <c r="H665" s="32" t="str">
        <f aca="false">IF(E665="","",IFERROR(INDEX(Catégories!$B$5:$B$60,MATCH(E665,Catégories!$A$5:$A$60,0)),"?"))</f>
        <v/>
      </c>
      <c r="I665" s="32" t="str">
        <f aca="false">IF(E665="","",IFERROR(INDEX(Catégories!$C$5:$C$60,MATCH(E665,Catégories!$A$5:$A$60,0)),"?"))</f>
        <v/>
      </c>
      <c r="J665" s="32" t="str">
        <f aca="false">IF(E665="","",IFERROR(INDEX(Catégories!$D$5:$D$60,MATCH(E665,Catégories!$A$5:$A$60,0)),"?"))</f>
        <v/>
      </c>
      <c r="K665" s="33" t="n">
        <f aca="false">IF(H665="Recette",G665,IF(H665="Dépense",-G665,0))</f>
        <v>0</v>
      </c>
      <c r="L665" s="33" t="n">
        <f aca="false">IF(E665="",0,G665*IFERROR(INDEX(Catégories!$E$5:$E$60,MATCH(E665,Catégories!$A$5:$A$60,0)),0))</f>
        <v>0</v>
      </c>
    </row>
    <row r="666" customFormat="false" ht="15" hidden="false" customHeight="true" outlineLevel="0" collapsed="false">
      <c r="A666" s="34"/>
      <c r="B666" s="29" t="str">
        <f aca="false">IF(A666="","",YEAR(A666))</f>
        <v/>
      </c>
      <c r="G666" s="35"/>
      <c r="H666" s="32" t="str">
        <f aca="false">IF(E666="","",IFERROR(INDEX(Catégories!$B$5:$B$60,MATCH(E666,Catégories!$A$5:$A$60,0)),"?"))</f>
        <v/>
      </c>
      <c r="I666" s="32" t="str">
        <f aca="false">IF(E666="","",IFERROR(INDEX(Catégories!$C$5:$C$60,MATCH(E666,Catégories!$A$5:$A$60,0)),"?"))</f>
        <v/>
      </c>
      <c r="J666" s="32" t="str">
        <f aca="false">IF(E666="","",IFERROR(INDEX(Catégories!$D$5:$D$60,MATCH(E666,Catégories!$A$5:$A$60,0)),"?"))</f>
        <v/>
      </c>
      <c r="K666" s="33" t="n">
        <f aca="false">IF(H666="Recette",G666,IF(H666="Dépense",-G666,0))</f>
        <v>0</v>
      </c>
      <c r="L666" s="33" t="n">
        <f aca="false">IF(E666="",0,G666*IFERROR(INDEX(Catégories!$E$5:$E$60,MATCH(E666,Catégories!$A$5:$A$60,0)),0))</f>
        <v>0</v>
      </c>
    </row>
    <row r="667" customFormat="false" ht="15" hidden="false" customHeight="true" outlineLevel="0" collapsed="false">
      <c r="A667" s="34"/>
      <c r="B667" s="29" t="str">
        <f aca="false">IF(A667="","",YEAR(A667))</f>
        <v/>
      </c>
      <c r="G667" s="35"/>
      <c r="H667" s="32" t="str">
        <f aca="false">IF(E667="","",IFERROR(INDEX(Catégories!$B$5:$B$60,MATCH(E667,Catégories!$A$5:$A$60,0)),"?"))</f>
        <v/>
      </c>
      <c r="I667" s="32" t="str">
        <f aca="false">IF(E667="","",IFERROR(INDEX(Catégories!$C$5:$C$60,MATCH(E667,Catégories!$A$5:$A$60,0)),"?"))</f>
        <v/>
      </c>
      <c r="J667" s="32" t="str">
        <f aca="false">IF(E667="","",IFERROR(INDEX(Catégories!$D$5:$D$60,MATCH(E667,Catégories!$A$5:$A$60,0)),"?"))</f>
        <v/>
      </c>
      <c r="K667" s="33" t="n">
        <f aca="false">IF(H667="Recette",G667,IF(H667="Dépense",-G667,0))</f>
        <v>0</v>
      </c>
      <c r="L667" s="33" t="n">
        <f aca="false">IF(E667="",0,G667*IFERROR(INDEX(Catégories!$E$5:$E$60,MATCH(E667,Catégories!$A$5:$A$60,0)),0))</f>
        <v>0</v>
      </c>
    </row>
    <row r="668" customFormat="false" ht="15" hidden="false" customHeight="true" outlineLevel="0" collapsed="false">
      <c r="A668" s="34"/>
      <c r="B668" s="29" t="str">
        <f aca="false">IF(A668="","",YEAR(A668))</f>
        <v/>
      </c>
      <c r="G668" s="35"/>
      <c r="H668" s="32" t="str">
        <f aca="false">IF(E668="","",IFERROR(INDEX(Catégories!$B$5:$B$60,MATCH(E668,Catégories!$A$5:$A$60,0)),"?"))</f>
        <v/>
      </c>
      <c r="I668" s="32" t="str">
        <f aca="false">IF(E668="","",IFERROR(INDEX(Catégories!$C$5:$C$60,MATCH(E668,Catégories!$A$5:$A$60,0)),"?"))</f>
        <v/>
      </c>
      <c r="J668" s="32" t="str">
        <f aca="false">IF(E668="","",IFERROR(INDEX(Catégories!$D$5:$D$60,MATCH(E668,Catégories!$A$5:$A$60,0)),"?"))</f>
        <v/>
      </c>
      <c r="K668" s="33" t="n">
        <f aca="false">IF(H668="Recette",G668,IF(H668="Dépense",-G668,0))</f>
        <v>0</v>
      </c>
      <c r="L668" s="33" t="n">
        <f aca="false">IF(E668="",0,G668*IFERROR(INDEX(Catégories!$E$5:$E$60,MATCH(E668,Catégories!$A$5:$A$60,0)),0))</f>
        <v>0</v>
      </c>
    </row>
    <row r="669" customFormat="false" ht="15" hidden="false" customHeight="true" outlineLevel="0" collapsed="false">
      <c r="A669" s="34"/>
      <c r="B669" s="29" t="str">
        <f aca="false">IF(A669="","",YEAR(A669))</f>
        <v/>
      </c>
      <c r="G669" s="35"/>
      <c r="H669" s="32" t="str">
        <f aca="false">IF(E669="","",IFERROR(INDEX(Catégories!$B$5:$B$60,MATCH(E669,Catégories!$A$5:$A$60,0)),"?"))</f>
        <v/>
      </c>
      <c r="I669" s="32" t="str">
        <f aca="false">IF(E669="","",IFERROR(INDEX(Catégories!$C$5:$C$60,MATCH(E669,Catégories!$A$5:$A$60,0)),"?"))</f>
        <v/>
      </c>
      <c r="J669" s="32" t="str">
        <f aca="false">IF(E669="","",IFERROR(INDEX(Catégories!$D$5:$D$60,MATCH(E669,Catégories!$A$5:$A$60,0)),"?"))</f>
        <v/>
      </c>
      <c r="K669" s="33" t="n">
        <f aca="false">IF(H669="Recette",G669,IF(H669="Dépense",-G669,0))</f>
        <v>0</v>
      </c>
      <c r="L669" s="33" t="n">
        <f aca="false">IF(E669="",0,G669*IFERROR(INDEX(Catégories!$E$5:$E$60,MATCH(E669,Catégories!$A$5:$A$60,0)),0))</f>
        <v>0</v>
      </c>
    </row>
    <row r="670" customFormat="false" ht="15" hidden="false" customHeight="true" outlineLevel="0" collapsed="false">
      <c r="A670" s="34"/>
      <c r="B670" s="29" t="str">
        <f aca="false">IF(A670="","",YEAR(A670))</f>
        <v/>
      </c>
      <c r="G670" s="35"/>
      <c r="H670" s="32" t="str">
        <f aca="false">IF(E670="","",IFERROR(INDEX(Catégories!$B$5:$B$60,MATCH(E670,Catégories!$A$5:$A$60,0)),"?"))</f>
        <v/>
      </c>
      <c r="I670" s="32" t="str">
        <f aca="false">IF(E670="","",IFERROR(INDEX(Catégories!$C$5:$C$60,MATCH(E670,Catégories!$A$5:$A$60,0)),"?"))</f>
        <v/>
      </c>
      <c r="J670" s="32" t="str">
        <f aca="false">IF(E670="","",IFERROR(INDEX(Catégories!$D$5:$D$60,MATCH(E670,Catégories!$A$5:$A$60,0)),"?"))</f>
        <v/>
      </c>
      <c r="K670" s="33" t="n">
        <f aca="false">IF(H670="Recette",G670,IF(H670="Dépense",-G670,0))</f>
        <v>0</v>
      </c>
      <c r="L670" s="33" t="n">
        <f aca="false">IF(E670="",0,G670*IFERROR(INDEX(Catégories!$E$5:$E$60,MATCH(E670,Catégories!$A$5:$A$60,0)),0))</f>
        <v>0</v>
      </c>
    </row>
    <row r="671" customFormat="false" ht="15" hidden="false" customHeight="true" outlineLevel="0" collapsed="false">
      <c r="A671" s="34"/>
      <c r="B671" s="29" t="str">
        <f aca="false">IF(A671="","",YEAR(A671))</f>
        <v/>
      </c>
      <c r="G671" s="35"/>
      <c r="H671" s="32" t="str">
        <f aca="false">IF(E671="","",IFERROR(INDEX(Catégories!$B$5:$B$60,MATCH(E671,Catégories!$A$5:$A$60,0)),"?"))</f>
        <v/>
      </c>
      <c r="I671" s="32" t="str">
        <f aca="false">IF(E671="","",IFERROR(INDEX(Catégories!$C$5:$C$60,MATCH(E671,Catégories!$A$5:$A$60,0)),"?"))</f>
        <v/>
      </c>
      <c r="J671" s="32" t="str">
        <f aca="false">IF(E671="","",IFERROR(INDEX(Catégories!$D$5:$D$60,MATCH(E671,Catégories!$A$5:$A$60,0)),"?"))</f>
        <v/>
      </c>
      <c r="K671" s="33" t="n">
        <f aca="false">IF(H671="Recette",G671,IF(H671="Dépense",-G671,0))</f>
        <v>0</v>
      </c>
      <c r="L671" s="33" t="n">
        <f aca="false">IF(E671="",0,G671*IFERROR(INDEX(Catégories!$E$5:$E$60,MATCH(E671,Catégories!$A$5:$A$60,0)),0))</f>
        <v>0</v>
      </c>
    </row>
    <row r="672" customFormat="false" ht="15" hidden="false" customHeight="true" outlineLevel="0" collapsed="false">
      <c r="A672" s="34"/>
      <c r="B672" s="29" t="str">
        <f aca="false">IF(A672="","",YEAR(A672))</f>
        <v/>
      </c>
      <c r="G672" s="35"/>
      <c r="H672" s="32" t="str">
        <f aca="false">IF(E672="","",IFERROR(INDEX(Catégories!$B$5:$B$60,MATCH(E672,Catégories!$A$5:$A$60,0)),"?"))</f>
        <v/>
      </c>
      <c r="I672" s="32" t="str">
        <f aca="false">IF(E672="","",IFERROR(INDEX(Catégories!$C$5:$C$60,MATCH(E672,Catégories!$A$5:$A$60,0)),"?"))</f>
        <v/>
      </c>
      <c r="J672" s="32" t="str">
        <f aca="false">IF(E672="","",IFERROR(INDEX(Catégories!$D$5:$D$60,MATCH(E672,Catégories!$A$5:$A$60,0)),"?"))</f>
        <v/>
      </c>
      <c r="K672" s="33" t="n">
        <f aca="false">IF(H672="Recette",G672,IF(H672="Dépense",-G672,0))</f>
        <v>0</v>
      </c>
      <c r="L672" s="33" t="n">
        <f aca="false">IF(E672="",0,G672*IFERROR(INDEX(Catégories!$E$5:$E$60,MATCH(E672,Catégories!$A$5:$A$60,0)),0))</f>
        <v>0</v>
      </c>
    </row>
    <row r="673" customFormat="false" ht="15" hidden="false" customHeight="true" outlineLevel="0" collapsed="false">
      <c r="A673" s="34"/>
      <c r="B673" s="29" t="str">
        <f aca="false">IF(A673="","",YEAR(A673))</f>
        <v/>
      </c>
      <c r="G673" s="35"/>
      <c r="H673" s="32" t="str">
        <f aca="false">IF(E673="","",IFERROR(INDEX(Catégories!$B$5:$B$60,MATCH(E673,Catégories!$A$5:$A$60,0)),"?"))</f>
        <v/>
      </c>
      <c r="I673" s="32" t="str">
        <f aca="false">IF(E673="","",IFERROR(INDEX(Catégories!$C$5:$C$60,MATCH(E673,Catégories!$A$5:$A$60,0)),"?"))</f>
        <v/>
      </c>
      <c r="J673" s="32" t="str">
        <f aca="false">IF(E673="","",IFERROR(INDEX(Catégories!$D$5:$D$60,MATCH(E673,Catégories!$A$5:$A$60,0)),"?"))</f>
        <v/>
      </c>
      <c r="K673" s="33" t="n">
        <f aca="false">IF(H673="Recette",G673,IF(H673="Dépense",-G673,0))</f>
        <v>0</v>
      </c>
      <c r="L673" s="33" t="n">
        <f aca="false">IF(E673="",0,G673*IFERROR(INDEX(Catégories!$E$5:$E$60,MATCH(E673,Catégories!$A$5:$A$60,0)),0))</f>
        <v>0</v>
      </c>
    </row>
    <row r="674" customFormat="false" ht="15" hidden="false" customHeight="true" outlineLevel="0" collapsed="false">
      <c r="A674" s="34"/>
      <c r="B674" s="29" t="str">
        <f aca="false">IF(A674="","",YEAR(A674))</f>
        <v/>
      </c>
      <c r="G674" s="35"/>
      <c r="H674" s="32" t="str">
        <f aca="false">IF(E674="","",IFERROR(INDEX(Catégories!$B$5:$B$60,MATCH(E674,Catégories!$A$5:$A$60,0)),"?"))</f>
        <v/>
      </c>
      <c r="I674" s="32" t="str">
        <f aca="false">IF(E674="","",IFERROR(INDEX(Catégories!$C$5:$C$60,MATCH(E674,Catégories!$A$5:$A$60,0)),"?"))</f>
        <v/>
      </c>
      <c r="J674" s="32" t="str">
        <f aca="false">IF(E674="","",IFERROR(INDEX(Catégories!$D$5:$D$60,MATCH(E674,Catégories!$A$5:$A$60,0)),"?"))</f>
        <v/>
      </c>
      <c r="K674" s="33" t="n">
        <f aca="false">IF(H674="Recette",G674,IF(H674="Dépense",-G674,0))</f>
        <v>0</v>
      </c>
      <c r="L674" s="33" t="n">
        <f aca="false">IF(E674="",0,G674*IFERROR(INDEX(Catégories!$E$5:$E$60,MATCH(E674,Catégories!$A$5:$A$60,0)),0))</f>
        <v>0</v>
      </c>
    </row>
    <row r="675" customFormat="false" ht="15" hidden="false" customHeight="true" outlineLevel="0" collapsed="false">
      <c r="A675" s="34"/>
      <c r="B675" s="29" t="str">
        <f aca="false">IF(A675="","",YEAR(A675))</f>
        <v/>
      </c>
      <c r="G675" s="35"/>
      <c r="H675" s="32" t="str">
        <f aca="false">IF(E675="","",IFERROR(INDEX(Catégories!$B$5:$B$60,MATCH(E675,Catégories!$A$5:$A$60,0)),"?"))</f>
        <v/>
      </c>
      <c r="I675" s="32" t="str">
        <f aca="false">IF(E675="","",IFERROR(INDEX(Catégories!$C$5:$C$60,MATCH(E675,Catégories!$A$5:$A$60,0)),"?"))</f>
        <v/>
      </c>
      <c r="J675" s="32" t="str">
        <f aca="false">IF(E675="","",IFERROR(INDEX(Catégories!$D$5:$D$60,MATCH(E675,Catégories!$A$5:$A$60,0)),"?"))</f>
        <v/>
      </c>
      <c r="K675" s="33" t="n">
        <f aca="false">IF(H675="Recette",G675,IF(H675="Dépense",-G675,0))</f>
        <v>0</v>
      </c>
      <c r="L675" s="33" t="n">
        <f aca="false">IF(E675="",0,G675*IFERROR(INDEX(Catégories!$E$5:$E$60,MATCH(E675,Catégories!$A$5:$A$60,0)),0))</f>
        <v>0</v>
      </c>
    </row>
    <row r="676" customFormat="false" ht="15" hidden="false" customHeight="true" outlineLevel="0" collapsed="false">
      <c r="A676" s="34"/>
      <c r="B676" s="29" t="str">
        <f aca="false">IF(A676="","",YEAR(A676))</f>
        <v/>
      </c>
      <c r="G676" s="35"/>
      <c r="H676" s="32" t="str">
        <f aca="false">IF(E676="","",IFERROR(INDEX(Catégories!$B$5:$B$60,MATCH(E676,Catégories!$A$5:$A$60,0)),"?"))</f>
        <v/>
      </c>
      <c r="I676" s="32" t="str">
        <f aca="false">IF(E676="","",IFERROR(INDEX(Catégories!$C$5:$C$60,MATCH(E676,Catégories!$A$5:$A$60,0)),"?"))</f>
        <v/>
      </c>
      <c r="J676" s="32" t="str">
        <f aca="false">IF(E676="","",IFERROR(INDEX(Catégories!$D$5:$D$60,MATCH(E676,Catégories!$A$5:$A$60,0)),"?"))</f>
        <v/>
      </c>
      <c r="K676" s="33" t="n">
        <f aca="false">IF(H676="Recette",G676,IF(H676="Dépense",-G676,0))</f>
        <v>0</v>
      </c>
      <c r="L676" s="33" t="n">
        <f aca="false">IF(E676="",0,G676*IFERROR(INDEX(Catégories!$E$5:$E$60,MATCH(E676,Catégories!$A$5:$A$60,0)),0))</f>
        <v>0</v>
      </c>
    </row>
    <row r="677" customFormat="false" ht="15" hidden="false" customHeight="true" outlineLevel="0" collapsed="false">
      <c r="A677" s="34"/>
      <c r="B677" s="29" t="str">
        <f aca="false">IF(A677="","",YEAR(A677))</f>
        <v/>
      </c>
      <c r="G677" s="35"/>
      <c r="H677" s="32" t="str">
        <f aca="false">IF(E677="","",IFERROR(INDEX(Catégories!$B$5:$B$60,MATCH(E677,Catégories!$A$5:$A$60,0)),"?"))</f>
        <v/>
      </c>
      <c r="I677" s="32" t="str">
        <f aca="false">IF(E677="","",IFERROR(INDEX(Catégories!$C$5:$C$60,MATCH(E677,Catégories!$A$5:$A$60,0)),"?"))</f>
        <v/>
      </c>
      <c r="J677" s="32" t="str">
        <f aca="false">IF(E677="","",IFERROR(INDEX(Catégories!$D$5:$D$60,MATCH(E677,Catégories!$A$5:$A$60,0)),"?"))</f>
        <v/>
      </c>
      <c r="K677" s="33" t="n">
        <f aca="false">IF(H677="Recette",G677,IF(H677="Dépense",-G677,0))</f>
        <v>0</v>
      </c>
      <c r="L677" s="33" t="n">
        <f aca="false">IF(E677="",0,G677*IFERROR(INDEX(Catégories!$E$5:$E$60,MATCH(E677,Catégories!$A$5:$A$60,0)),0))</f>
        <v>0</v>
      </c>
    </row>
    <row r="678" customFormat="false" ht="15" hidden="false" customHeight="true" outlineLevel="0" collapsed="false">
      <c r="A678" s="34"/>
      <c r="B678" s="29" t="str">
        <f aca="false">IF(A678="","",YEAR(A678))</f>
        <v/>
      </c>
      <c r="G678" s="35"/>
      <c r="H678" s="32" t="str">
        <f aca="false">IF(E678="","",IFERROR(INDEX(Catégories!$B$5:$B$60,MATCH(E678,Catégories!$A$5:$A$60,0)),"?"))</f>
        <v/>
      </c>
      <c r="I678" s="32" t="str">
        <f aca="false">IF(E678="","",IFERROR(INDEX(Catégories!$C$5:$C$60,MATCH(E678,Catégories!$A$5:$A$60,0)),"?"))</f>
        <v/>
      </c>
      <c r="J678" s="32" t="str">
        <f aca="false">IF(E678="","",IFERROR(INDEX(Catégories!$D$5:$D$60,MATCH(E678,Catégories!$A$5:$A$60,0)),"?"))</f>
        <v/>
      </c>
      <c r="K678" s="33" t="n">
        <f aca="false">IF(H678="Recette",G678,IF(H678="Dépense",-G678,0))</f>
        <v>0</v>
      </c>
      <c r="L678" s="33" t="n">
        <f aca="false">IF(E678="",0,G678*IFERROR(INDEX(Catégories!$E$5:$E$60,MATCH(E678,Catégories!$A$5:$A$60,0)),0))</f>
        <v>0</v>
      </c>
    </row>
    <row r="679" customFormat="false" ht="15" hidden="false" customHeight="true" outlineLevel="0" collapsed="false">
      <c r="A679" s="34"/>
      <c r="B679" s="29" t="str">
        <f aca="false">IF(A679="","",YEAR(A679))</f>
        <v/>
      </c>
      <c r="G679" s="35"/>
      <c r="H679" s="32" t="str">
        <f aca="false">IF(E679="","",IFERROR(INDEX(Catégories!$B$5:$B$60,MATCH(E679,Catégories!$A$5:$A$60,0)),"?"))</f>
        <v/>
      </c>
      <c r="I679" s="32" t="str">
        <f aca="false">IF(E679="","",IFERROR(INDEX(Catégories!$C$5:$C$60,MATCH(E679,Catégories!$A$5:$A$60,0)),"?"))</f>
        <v/>
      </c>
      <c r="J679" s="32" t="str">
        <f aca="false">IF(E679="","",IFERROR(INDEX(Catégories!$D$5:$D$60,MATCH(E679,Catégories!$A$5:$A$60,0)),"?"))</f>
        <v/>
      </c>
      <c r="K679" s="33" t="n">
        <f aca="false">IF(H679="Recette",G679,IF(H679="Dépense",-G679,0))</f>
        <v>0</v>
      </c>
      <c r="L679" s="33" t="n">
        <f aca="false">IF(E679="",0,G679*IFERROR(INDEX(Catégories!$E$5:$E$60,MATCH(E679,Catégories!$A$5:$A$60,0)),0))</f>
        <v>0</v>
      </c>
    </row>
    <row r="680" customFormat="false" ht="15" hidden="false" customHeight="true" outlineLevel="0" collapsed="false">
      <c r="A680" s="34"/>
      <c r="B680" s="29" t="str">
        <f aca="false">IF(A680="","",YEAR(A680))</f>
        <v/>
      </c>
      <c r="G680" s="35"/>
      <c r="H680" s="32" t="str">
        <f aca="false">IF(E680="","",IFERROR(INDEX(Catégories!$B$5:$B$60,MATCH(E680,Catégories!$A$5:$A$60,0)),"?"))</f>
        <v/>
      </c>
      <c r="I680" s="32" t="str">
        <f aca="false">IF(E680="","",IFERROR(INDEX(Catégories!$C$5:$C$60,MATCH(E680,Catégories!$A$5:$A$60,0)),"?"))</f>
        <v/>
      </c>
      <c r="J680" s="32" t="str">
        <f aca="false">IF(E680="","",IFERROR(INDEX(Catégories!$D$5:$D$60,MATCH(E680,Catégories!$A$5:$A$60,0)),"?"))</f>
        <v/>
      </c>
      <c r="K680" s="33" t="n">
        <f aca="false">IF(H680="Recette",G680,IF(H680="Dépense",-G680,0))</f>
        <v>0</v>
      </c>
      <c r="L680" s="33" t="n">
        <f aca="false">IF(E680="",0,G680*IFERROR(INDEX(Catégories!$E$5:$E$60,MATCH(E680,Catégories!$A$5:$A$60,0)),0))</f>
        <v>0</v>
      </c>
    </row>
    <row r="681" customFormat="false" ht="15" hidden="false" customHeight="true" outlineLevel="0" collapsed="false">
      <c r="A681" s="34"/>
      <c r="B681" s="29" t="str">
        <f aca="false">IF(A681="","",YEAR(A681))</f>
        <v/>
      </c>
      <c r="G681" s="35"/>
      <c r="H681" s="32" t="str">
        <f aca="false">IF(E681="","",IFERROR(INDEX(Catégories!$B$5:$B$60,MATCH(E681,Catégories!$A$5:$A$60,0)),"?"))</f>
        <v/>
      </c>
      <c r="I681" s="32" t="str">
        <f aca="false">IF(E681="","",IFERROR(INDEX(Catégories!$C$5:$C$60,MATCH(E681,Catégories!$A$5:$A$60,0)),"?"))</f>
        <v/>
      </c>
      <c r="J681" s="32" t="str">
        <f aca="false">IF(E681="","",IFERROR(INDEX(Catégories!$D$5:$D$60,MATCH(E681,Catégories!$A$5:$A$60,0)),"?"))</f>
        <v/>
      </c>
      <c r="K681" s="33" t="n">
        <f aca="false">IF(H681="Recette",G681,IF(H681="Dépense",-G681,0))</f>
        <v>0</v>
      </c>
      <c r="L681" s="33" t="n">
        <f aca="false">IF(E681="",0,G681*IFERROR(INDEX(Catégories!$E$5:$E$60,MATCH(E681,Catégories!$A$5:$A$60,0)),0))</f>
        <v>0</v>
      </c>
    </row>
    <row r="682" customFormat="false" ht="15" hidden="false" customHeight="true" outlineLevel="0" collapsed="false">
      <c r="A682" s="34"/>
      <c r="B682" s="29" t="str">
        <f aca="false">IF(A682="","",YEAR(A682))</f>
        <v/>
      </c>
      <c r="G682" s="35"/>
      <c r="H682" s="32" t="str">
        <f aca="false">IF(E682="","",IFERROR(INDEX(Catégories!$B$5:$B$60,MATCH(E682,Catégories!$A$5:$A$60,0)),"?"))</f>
        <v/>
      </c>
      <c r="I682" s="32" t="str">
        <f aca="false">IF(E682="","",IFERROR(INDEX(Catégories!$C$5:$C$60,MATCH(E682,Catégories!$A$5:$A$60,0)),"?"))</f>
        <v/>
      </c>
      <c r="J682" s="32" t="str">
        <f aca="false">IF(E682="","",IFERROR(INDEX(Catégories!$D$5:$D$60,MATCH(E682,Catégories!$A$5:$A$60,0)),"?"))</f>
        <v/>
      </c>
      <c r="K682" s="33" t="n">
        <f aca="false">IF(H682="Recette",G682,IF(H682="Dépense",-G682,0))</f>
        <v>0</v>
      </c>
      <c r="L682" s="33" t="n">
        <f aca="false">IF(E682="",0,G682*IFERROR(INDEX(Catégories!$E$5:$E$60,MATCH(E682,Catégories!$A$5:$A$60,0)),0))</f>
        <v>0</v>
      </c>
    </row>
    <row r="683" customFormat="false" ht="15" hidden="false" customHeight="true" outlineLevel="0" collapsed="false">
      <c r="A683" s="34"/>
      <c r="B683" s="29" t="str">
        <f aca="false">IF(A683="","",YEAR(A683))</f>
        <v/>
      </c>
      <c r="G683" s="35"/>
      <c r="H683" s="32" t="str">
        <f aca="false">IF(E683="","",IFERROR(INDEX(Catégories!$B$5:$B$60,MATCH(E683,Catégories!$A$5:$A$60,0)),"?"))</f>
        <v/>
      </c>
      <c r="I683" s="32" t="str">
        <f aca="false">IF(E683="","",IFERROR(INDEX(Catégories!$C$5:$C$60,MATCH(E683,Catégories!$A$5:$A$60,0)),"?"))</f>
        <v/>
      </c>
      <c r="J683" s="32" t="str">
        <f aca="false">IF(E683="","",IFERROR(INDEX(Catégories!$D$5:$D$60,MATCH(E683,Catégories!$A$5:$A$60,0)),"?"))</f>
        <v/>
      </c>
      <c r="K683" s="33" t="n">
        <f aca="false">IF(H683="Recette",G683,IF(H683="Dépense",-G683,0))</f>
        <v>0</v>
      </c>
      <c r="L683" s="33" t="n">
        <f aca="false">IF(E683="",0,G683*IFERROR(INDEX(Catégories!$E$5:$E$60,MATCH(E683,Catégories!$A$5:$A$60,0)),0))</f>
        <v>0</v>
      </c>
    </row>
    <row r="684" customFormat="false" ht="15" hidden="false" customHeight="true" outlineLevel="0" collapsed="false">
      <c r="A684" s="34"/>
      <c r="B684" s="29" t="str">
        <f aca="false">IF(A684="","",YEAR(A684))</f>
        <v/>
      </c>
      <c r="G684" s="35"/>
      <c r="H684" s="32" t="str">
        <f aca="false">IF(E684="","",IFERROR(INDEX(Catégories!$B$5:$B$60,MATCH(E684,Catégories!$A$5:$A$60,0)),"?"))</f>
        <v/>
      </c>
      <c r="I684" s="32" t="str">
        <f aca="false">IF(E684="","",IFERROR(INDEX(Catégories!$C$5:$C$60,MATCH(E684,Catégories!$A$5:$A$60,0)),"?"))</f>
        <v/>
      </c>
      <c r="J684" s="32" t="str">
        <f aca="false">IF(E684="","",IFERROR(INDEX(Catégories!$D$5:$D$60,MATCH(E684,Catégories!$A$5:$A$60,0)),"?"))</f>
        <v/>
      </c>
      <c r="K684" s="33" t="n">
        <f aca="false">IF(H684="Recette",G684,IF(H684="Dépense",-G684,0))</f>
        <v>0</v>
      </c>
      <c r="L684" s="33" t="n">
        <f aca="false">IF(E684="",0,G684*IFERROR(INDEX(Catégories!$E$5:$E$60,MATCH(E684,Catégories!$A$5:$A$60,0)),0))</f>
        <v>0</v>
      </c>
    </row>
    <row r="685" customFormat="false" ht="15" hidden="false" customHeight="true" outlineLevel="0" collapsed="false">
      <c r="A685" s="34"/>
      <c r="B685" s="29" t="str">
        <f aca="false">IF(A685="","",YEAR(A685))</f>
        <v/>
      </c>
      <c r="G685" s="35"/>
      <c r="H685" s="32" t="str">
        <f aca="false">IF(E685="","",IFERROR(INDEX(Catégories!$B$5:$B$60,MATCH(E685,Catégories!$A$5:$A$60,0)),"?"))</f>
        <v/>
      </c>
      <c r="I685" s="32" t="str">
        <f aca="false">IF(E685="","",IFERROR(INDEX(Catégories!$C$5:$C$60,MATCH(E685,Catégories!$A$5:$A$60,0)),"?"))</f>
        <v/>
      </c>
      <c r="J685" s="32" t="str">
        <f aca="false">IF(E685="","",IFERROR(INDEX(Catégories!$D$5:$D$60,MATCH(E685,Catégories!$A$5:$A$60,0)),"?"))</f>
        <v/>
      </c>
      <c r="K685" s="33" t="n">
        <f aca="false">IF(H685="Recette",G685,IF(H685="Dépense",-G685,0))</f>
        <v>0</v>
      </c>
      <c r="L685" s="33" t="n">
        <f aca="false">IF(E685="",0,G685*IFERROR(INDEX(Catégories!$E$5:$E$60,MATCH(E685,Catégories!$A$5:$A$60,0)),0))</f>
        <v>0</v>
      </c>
    </row>
    <row r="686" customFormat="false" ht="15" hidden="false" customHeight="true" outlineLevel="0" collapsed="false">
      <c r="A686" s="34"/>
      <c r="B686" s="29" t="str">
        <f aca="false">IF(A686="","",YEAR(A686))</f>
        <v/>
      </c>
      <c r="G686" s="35"/>
      <c r="H686" s="32" t="str">
        <f aca="false">IF(E686="","",IFERROR(INDEX(Catégories!$B$5:$B$60,MATCH(E686,Catégories!$A$5:$A$60,0)),"?"))</f>
        <v/>
      </c>
      <c r="I686" s="32" t="str">
        <f aca="false">IF(E686="","",IFERROR(INDEX(Catégories!$C$5:$C$60,MATCH(E686,Catégories!$A$5:$A$60,0)),"?"))</f>
        <v/>
      </c>
      <c r="J686" s="32" t="str">
        <f aca="false">IF(E686="","",IFERROR(INDEX(Catégories!$D$5:$D$60,MATCH(E686,Catégories!$A$5:$A$60,0)),"?"))</f>
        <v/>
      </c>
      <c r="K686" s="33" t="n">
        <f aca="false">IF(H686="Recette",G686,IF(H686="Dépense",-G686,0))</f>
        <v>0</v>
      </c>
      <c r="L686" s="33" t="n">
        <f aca="false">IF(E686="",0,G686*IFERROR(INDEX(Catégories!$E$5:$E$60,MATCH(E686,Catégories!$A$5:$A$60,0)),0))</f>
        <v>0</v>
      </c>
    </row>
    <row r="687" customFormat="false" ht="15" hidden="false" customHeight="true" outlineLevel="0" collapsed="false">
      <c r="A687" s="34"/>
      <c r="B687" s="29" t="str">
        <f aca="false">IF(A687="","",YEAR(A687))</f>
        <v/>
      </c>
      <c r="G687" s="35"/>
      <c r="H687" s="32" t="str">
        <f aca="false">IF(E687="","",IFERROR(INDEX(Catégories!$B$5:$B$60,MATCH(E687,Catégories!$A$5:$A$60,0)),"?"))</f>
        <v/>
      </c>
      <c r="I687" s="32" t="str">
        <f aca="false">IF(E687="","",IFERROR(INDEX(Catégories!$C$5:$C$60,MATCH(E687,Catégories!$A$5:$A$60,0)),"?"))</f>
        <v/>
      </c>
      <c r="J687" s="32" t="str">
        <f aca="false">IF(E687="","",IFERROR(INDEX(Catégories!$D$5:$D$60,MATCH(E687,Catégories!$A$5:$A$60,0)),"?"))</f>
        <v/>
      </c>
      <c r="K687" s="33" t="n">
        <f aca="false">IF(H687="Recette",G687,IF(H687="Dépense",-G687,0))</f>
        <v>0</v>
      </c>
      <c r="L687" s="33" t="n">
        <f aca="false">IF(E687="",0,G687*IFERROR(INDEX(Catégories!$E$5:$E$60,MATCH(E687,Catégories!$A$5:$A$60,0)),0))</f>
        <v>0</v>
      </c>
    </row>
    <row r="688" customFormat="false" ht="15" hidden="false" customHeight="true" outlineLevel="0" collapsed="false">
      <c r="A688" s="34"/>
      <c r="B688" s="29" t="str">
        <f aca="false">IF(A688="","",YEAR(A688))</f>
        <v/>
      </c>
      <c r="G688" s="35"/>
      <c r="H688" s="32" t="str">
        <f aca="false">IF(E688="","",IFERROR(INDEX(Catégories!$B$5:$B$60,MATCH(E688,Catégories!$A$5:$A$60,0)),"?"))</f>
        <v/>
      </c>
      <c r="I688" s="32" t="str">
        <f aca="false">IF(E688="","",IFERROR(INDEX(Catégories!$C$5:$C$60,MATCH(E688,Catégories!$A$5:$A$60,0)),"?"))</f>
        <v/>
      </c>
      <c r="J688" s="32" t="str">
        <f aca="false">IF(E688="","",IFERROR(INDEX(Catégories!$D$5:$D$60,MATCH(E688,Catégories!$A$5:$A$60,0)),"?"))</f>
        <v/>
      </c>
      <c r="K688" s="33" t="n">
        <f aca="false">IF(H688="Recette",G688,IF(H688="Dépense",-G688,0))</f>
        <v>0</v>
      </c>
      <c r="L688" s="33" t="n">
        <f aca="false">IF(E688="",0,G688*IFERROR(INDEX(Catégories!$E$5:$E$60,MATCH(E688,Catégories!$A$5:$A$60,0)),0))</f>
        <v>0</v>
      </c>
    </row>
    <row r="689" customFormat="false" ht="15" hidden="false" customHeight="true" outlineLevel="0" collapsed="false">
      <c r="A689" s="34"/>
      <c r="B689" s="29" t="str">
        <f aca="false">IF(A689="","",YEAR(A689))</f>
        <v/>
      </c>
      <c r="G689" s="35"/>
      <c r="H689" s="32" t="str">
        <f aca="false">IF(E689="","",IFERROR(INDEX(Catégories!$B$5:$B$60,MATCH(E689,Catégories!$A$5:$A$60,0)),"?"))</f>
        <v/>
      </c>
      <c r="I689" s="32" t="str">
        <f aca="false">IF(E689="","",IFERROR(INDEX(Catégories!$C$5:$C$60,MATCH(E689,Catégories!$A$5:$A$60,0)),"?"))</f>
        <v/>
      </c>
      <c r="J689" s="32" t="str">
        <f aca="false">IF(E689="","",IFERROR(INDEX(Catégories!$D$5:$D$60,MATCH(E689,Catégories!$A$5:$A$60,0)),"?"))</f>
        <v/>
      </c>
      <c r="K689" s="33" t="n">
        <f aca="false">IF(H689="Recette",G689,IF(H689="Dépense",-G689,0))</f>
        <v>0</v>
      </c>
      <c r="L689" s="33" t="n">
        <f aca="false">IF(E689="",0,G689*IFERROR(INDEX(Catégories!$E$5:$E$60,MATCH(E689,Catégories!$A$5:$A$60,0)),0))</f>
        <v>0</v>
      </c>
    </row>
    <row r="690" customFormat="false" ht="15" hidden="false" customHeight="true" outlineLevel="0" collapsed="false">
      <c r="A690" s="34"/>
      <c r="B690" s="29" t="str">
        <f aca="false">IF(A690="","",YEAR(A690))</f>
        <v/>
      </c>
      <c r="G690" s="35"/>
      <c r="H690" s="32" t="str">
        <f aca="false">IF(E690="","",IFERROR(INDEX(Catégories!$B$5:$B$60,MATCH(E690,Catégories!$A$5:$A$60,0)),"?"))</f>
        <v/>
      </c>
      <c r="I690" s="32" t="str">
        <f aca="false">IF(E690="","",IFERROR(INDEX(Catégories!$C$5:$C$60,MATCH(E690,Catégories!$A$5:$A$60,0)),"?"))</f>
        <v/>
      </c>
      <c r="J690" s="32" t="str">
        <f aca="false">IF(E690="","",IFERROR(INDEX(Catégories!$D$5:$D$60,MATCH(E690,Catégories!$A$5:$A$60,0)),"?"))</f>
        <v/>
      </c>
      <c r="K690" s="33" t="n">
        <f aca="false">IF(H690="Recette",G690,IF(H690="Dépense",-G690,0))</f>
        <v>0</v>
      </c>
      <c r="L690" s="33" t="n">
        <f aca="false">IF(E690="",0,G690*IFERROR(INDEX(Catégories!$E$5:$E$60,MATCH(E690,Catégories!$A$5:$A$60,0)),0))</f>
        <v>0</v>
      </c>
    </row>
    <row r="691" customFormat="false" ht="15" hidden="false" customHeight="true" outlineLevel="0" collapsed="false">
      <c r="A691" s="34"/>
      <c r="B691" s="29" t="str">
        <f aca="false">IF(A691="","",YEAR(A691))</f>
        <v/>
      </c>
      <c r="G691" s="35"/>
      <c r="H691" s="32" t="str">
        <f aca="false">IF(E691="","",IFERROR(INDEX(Catégories!$B$5:$B$60,MATCH(E691,Catégories!$A$5:$A$60,0)),"?"))</f>
        <v/>
      </c>
      <c r="I691" s="32" t="str">
        <f aca="false">IF(E691="","",IFERROR(INDEX(Catégories!$C$5:$C$60,MATCH(E691,Catégories!$A$5:$A$60,0)),"?"))</f>
        <v/>
      </c>
      <c r="J691" s="32" t="str">
        <f aca="false">IF(E691="","",IFERROR(INDEX(Catégories!$D$5:$D$60,MATCH(E691,Catégories!$A$5:$A$60,0)),"?"))</f>
        <v/>
      </c>
      <c r="K691" s="33" t="n">
        <f aca="false">IF(H691="Recette",G691,IF(H691="Dépense",-G691,0))</f>
        <v>0</v>
      </c>
      <c r="L691" s="33" t="n">
        <f aca="false">IF(E691="",0,G691*IFERROR(INDEX(Catégories!$E$5:$E$60,MATCH(E691,Catégories!$A$5:$A$60,0)),0))</f>
        <v>0</v>
      </c>
    </row>
    <row r="692" customFormat="false" ht="15" hidden="false" customHeight="true" outlineLevel="0" collapsed="false">
      <c r="A692" s="34"/>
      <c r="B692" s="29" t="str">
        <f aca="false">IF(A692="","",YEAR(A692))</f>
        <v/>
      </c>
      <c r="G692" s="35"/>
      <c r="H692" s="32" t="str">
        <f aca="false">IF(E692="","",IFERROR(INDEX(Catégories!$B$5:$B$60,MATCH(E692,Catégories!$A$5:$A$60,0)),"?"))</f>
        <v/>
      </c>
      <c r="I692" s="32" t="str">
        <f aca="false">IF(E692="","",IFERROR(INDEX(Catégories!$C$5:$C$60,MATCH(E692,Catégories!$A$5:$A$60,0)),"?"))</f>
        <v/>
      </c>
      <c r="J692" s="32" t="str">
        <f aca="false">IF(E692="","",IFERROR(INDEX(Catégories!$D$5:$D$60,MATCH(E692,Catégories!$A$5:$A$60,0)),"?"))</f>
        <v/>
      </c>
      <c r="K692" s="33" t="n">
        <f aca="false">IF(H692="Recette",G692,IF(H692="Dépense",-G692,0))</f>
        <v>0</v>
      </c>
      <c r="L692" s="33" t="n">
        <f aca="false">IF(E692="",0,G692*IFERROR(INDEX(Catégories!$E$5:$E$60,MATCH(E692,Catégories!$A$5:$A$60,0)),0))</f>
        <v>0</v>
      </c>
    </row>
    <row r="693" customFormat="false" ht="15" hidden="false" customHeight="true" outlineLevel="0" collapsed="false">
      <c r="A693" s="34"/>
      <c r="B693" s="29" t="str">
        <f aca="false">IF(A693="","",YEAR(A693))</f>
        <v/>
      </c>
      <c r="G693" s="35"/>
      <c r="H693" s="32" t="str">
        <f aca="false">IF(E693="","",IFERROR(INDEX(Catégories!$B$5:$B$60,MATCH(E693,Catégories!$A$5:$A$60,0)),"?"))</f>
        <v/>
      </c>
      <c r="I693" s="32" t="str">
        <f aca="false">IF(E693="","",IFERROR(INDEX(Catégories!$C$5:$C$60,MATCH(E693,Catégories!$A$5:$A$60,0)),"?"))</f>
        <v/>
      </c>
      <c r="J693" s="32" t="str">
        <f aca="false">IF(E693="","",IFERROR(INDEX(Catégories!$D$5:$D$60,MATCH(E693,Catégories!$A$5:$A$60,0)),"?"))</f>
        <v/>
      </c>
      <c r="K693" s="33" t="n">
        <f aca="false">IF(H693="Recette",G693,IF(H693="Dépense",-G693,0))</f>
        <v>0</v>
      </c>
      <c r="L693" s="33" t="n">
        <f aca="false">IF(E693="",0,G693*IFERROR(INDEX(Catégories!$E$5:$E$60,MATCH(E693,Catégories!$A$5:$A$60,0)),0))</f>
        <v>0</v>
      </c>
    </row>
    <row r="694" customFormat="false" ht="15" hidden="false" customHeight="true" outlineLevel="0" collapsed="false">
      <c r="A694" s="34"/>
      <c r="B694" s="29" t="str">
        <f aca="false">IF(A694="","",YEAR(A694))</f>
        <v/>
      </c>
      <c r="G694" s="35"/>
      <c r="H694" s="32" t="str">
        <f aca="false">IF(E694="","",IFERROR(INDEX(Catégories!$B$5:$B$60,MATCH(E694,Catégories!$A$5:$A$60,0)),"?"))</f>
        <v/>
      </c>
      <c r="I694" s="32" t="str">
        <f aca="false">IF(E694="","",IFERROR(INDEX(Catégories!$C$5:$C$60,MATCH(E694,Catégories!$A$5:$A$60,0)),"?"))</f>
        <v/>
      </c>
      <c r="J694" s="32" t="str">
        <f aca="false">IF(E694="","",IFERROR(INDEX(Catégories!$D$5:$D$60,MATCH(E694,Catégories!$A$5:$A$60,0)),"?"))</f>
        <v/>
      </c>
      <c r="K694" s="33" t="n">
        <f aca="false">IF(H694="Recette",G694,IF(H694="Dépense",-G694,0))</f>
        <v>0</v>
      </c>
      <c r="L694" s="33" t="n">
        <f aca="false">IF(E694="",0,G694*IFERROR(INDEX(Catégories!$E$5:$E$60,MATCH(E694,Catégories!$A$5:$A$60,0)),0))</f>
        <v>0</v>
      </c>
    </row>
    <row r="695" customFormat="false" ht="15" hidden="false" customHeight="true" outlineLevel="0" collapsed="false">
      <c r="A695" s="34"/>
      <c r="B695" s="29" t="str">
        <f aca="false">IF(A695="","",YEAR(A695))</f>
        <v/>
      </c>
      <c r="G695" s="35"/>
      <c r="H695" s="32" t="str">
        <f aca="false">IF(E695="","",IFERROR(INDEX(Catégories!$B$5:$B$60,MATCH(E695,Catégories!$A$5:$A$60,0)),"?"))</f>
        <v/>
      </c>
      <c r="I695" s="32" t="str">
        <f aca="false">IF(E695="","",IFERROR(INDEX(Catégories!$C$5:$C$60,MATCH(E695,Catégories!$A$5:$A$60,0)),"?"))</f>
        <v/>
      </c>
      <c r="J695" s="32" t="str">
        <f aca="false">IF(E695="","",IFERROR(INDEX(Catégories!$D$5:$D$60,MATCH(E695,Catégories!$A$5:$A$60,0)),"?"))</f>
        <v/>
      </c>
      <c r="K695" s="33" t="n">
        <f aca="false">IF(H695="Recette",G695,IF(H695="Dépense",-G695,0))</f>
        <v>0</v>
      </c>
      <c r="L695" s="33" t="n">
        <f aca="false">IF(E695="",0,G695*IFERROR(INDEX(Catégories!$E$5:$E$60,MATCH(E695,Catégories!$A$5:$A$60,0)),0))</f>
        <v>0</v>
      </c>
    </row>
    <row r="696" customFormat="false" ht="15" hidden="false" customHeight="true" outlineLevel="0" collapsed="false">
      <c r="A696" s="34"/>
      <c r="B696" s="29" t="str">
        <f aca="false">IF(A696="","",YEAR(A696))</f>
        <v/>
      </c>
      <c r="G696" s="35"/>
      <c r="H696" s="32" t="str">
        <f aca="false">IF(E696="","",IFERROR(INDEX(Catégories!$B$5:$B$60,MATCH(E696,Catégories!$A$5:$A$60,0)),"?"))</f>
        <v/>
      </c>
      <c r="I696" s="32" t="str">
        <f aca="false">IF(E696="","",IFERROR(INDEX(Catégories!$C$5:$C$60,MATCH(E696,Catégories!$A$5:$A$60,0)),"?"))</f>
        <v/>
      </c>
      <c r="J696" s="32" t="str">
        <f aca="false">IF(E696="","",IFERROR(INDEX(Catégories!$D$5:$D$60,MATCH(E696,Catégories!$A$5:$A$60,0)),"?"))</f>
        <v/>
      </c>
      <c r="K696" s="33" t="n">
        <f aca="false">IF(H696="Recette",G696,IF(H696="Dépense",-G696,0))</f>
        <v>0</v>
      </c>
      <c r="L696" s="33" t="n">
        <f aca="false">IF(E696="",0,G696*IFERROR(INDEX(Catégories!$E$5:$E$60,MATCH(E696,Catégories!$A$5:$A$60,0)),0))</f>
        <v>0</v>
      </c>
    </row>
    <row r="697" customFormat="false" ht="15" hidden="false" customHeight="true" outlineLevel="0" collapsed="false">
      <c r="A697" s="34"/>
      <c r="B697" s="29" t="str">
        <f aca="false">IF(A697="","",YEAR(A697))</f>
        <v/>
      </c>
      <c r="G697" s="35"/>
      <c r="H697" s="32" t="str">
        <f aca="false">IF(E697="","",IFERROR(INDEX(Catégories!$B$5:$B$60,MATCH(E697,Catégories!$A$5:$A$60,0)),"?"))</f>
        <v/>
      </c>
      <c r="I697" s="32" t="str">
        <f aca="false">IF(E697="","",IFERROR(INDEX(Catégories!$C$5:$C$60,MATCH(E697,Catégories!$A$5:$A$60,0)),"?"))</f>
        <v/>
      </c>
      <c r="J697" s="32" t="str">
        <f aca="false">IF(E697="","",IFERROR(INDEX(Catégories!$D$5:$D$60,MATCH(E697,Catégories!$A$5:$A$60,0)),"?"))</f>
        <v/>
      </c>
      <c r="K697" s="33" t="n">
        <f aca="false">IF(H697="Recette",G697,IF(H697="Dépense",-G697,0))</f>
        <v>0</v>
      </c>
      <c r="L697" s="33" t="n">
        <f aca="false">IF(E697="",0,G697*IFERROR(INDEX(Catégories!$E$5:$E$60,MATCH(E697,Catégories!$A$5:$A$60,0)),0))</f>
        <v>0</v>
      </c>
    </row>
    <row r="698" customFormat="false" ht="15" hidden="false" customHeight="true" outlineLevel="0" collapsed="false">
      <c r="A698" s="34"/>
      <c r="B698" s="29" t="str">
        <f aca="false">IF(A698="","",YEAR(A698))</f>
        <v/>
      </c>
      <c r="G698" s="35"/>
      <c r="H698" s="32" t="str">
        <f aca="false">IF(E698="","",IFERROR(INDEX(Catégories!$B$5:$B$60,MATCH(E698,Catégories!$A$5:$A$60,0)),"?"))</f>
        <v/>
      </c>
      <c r="I698" s="32" t="str">
        <f aca="false">IF(E698="","",IFERROR(INDEX(Catégories!$C$5:$C$60,MATCH(E698,Catégories!$A$5:$A$60,0)),"?"))</f>
        <v/>
      </c>
      <c r="J698" s="32" t="str">
        <f aca="false">IF(E698="","",IFERROR(INDEX(Catégories!$D$5:$D$60,MATCH(E698,Catégories!$A$5:$A$60,0)),"?"))</f>
        <v/>
      </c>
      <c r="K698" s="33" t="n">
        <f aca="false">IF(H698="Recette",G698,IF(H698="Dépense",-G698,0))</f>
        <v>0</v>
      </c>
      <c r="L698" s="33" t="n">
        <f aca="false">IF(E698="",0,G698*IFERROR(INDEX(Catégories!$E$5:$E$60,MATCH(E698,Catégories!$A$5:$A$60,0)),0))</f>
        <v>0</v>
      </c>
    </row>
    <row r="699" customFormat="false" ht="15" hidden="false" customHeight="true" outlineLevel="0" collapsed="false">
      <c r="A699" s="34"/>
      <c r="B699" s="29" t="str">
        <f aca="false">IF(A699="","",YEAR(A699))</f>
        <v/>
      </c>
      <c r="G699" s="35"/>
      <c r="H699" s="32" t="str">
        <f aca="false">IF(E699="","",IFERROR(INDEX(Catégories!$B$5:$B$60,MATCH(E699,Catégories!$A$5:$A$60,0)),"?"))</f>
        <v/>
      </c>
      <c r="I699" s="32" t="str">
        <f aca="false">IF(E699="","",IFERROR(INDEX(Catégories!$C$5:$C$60,MATCH(E699,Catégories!$A$5:$A$60,0)),"?"))</f>
        <v/>
      </c>
      <c r="J699" s="32" t="str">
        <f aca="false">IF(E699="","",IFERROR(INDEX(Catégories!$D$5:$D$60,MATCH(E699,Catégories!$A$5:$A$60,0)),"?"))</f>
        <v/>
      </c>
      <c r="K699" s="33" t="n">
        <f aca="false">IF(H699="Recette",G699,IF(H699="Dépense",-G699,0))</f>
        <v>0</v>
      </c>
      <c r="L699" s="33" t="n">
        <f aca="false">IF(E699="",0,G699*IFERROR(INDEX(Catégories!$E$5:$E$60,MATCH(E699,Catégories!$A$5:$A$60,0)),0))</f>
        <v>0</v>
      </c>
    </row>
    <row r="700" customFormat="false" ht="15" hidden="false" customHeight="true" outlineLevel="0" collapsed="false">
      <c r="A700" s="34"/>
      <c r="B700" s="29" t="str">
        <f aca="false">IF(A700="","",YEAR(A700))</f>
        <v/>
      </c>
      <c r="G700" s="35"/>
      <c r="H700" s="32" t="str">
        <f aca="false">IF(E700="","",IFERROR(INDEX(Catégories!$B$5:$B$60,MATCH(E700,Catégories!$A$5:$A$60,0)),"?"))</f>
        <v/>
      </c>
      <c r="I700" s="32" t="str">
        <f aca="false">IF(E700="","",IFERROR(INDEX(Catégories!$C$5:$C$60,MATCH(E700,Catégories!$A$5:$A$60,0)),"?"))</f>
        <v/>
      </c>
      <c r="J700" s="32" t="str">
        <f aca="false">IF(E700="","",IFERROR(INDEX(Catégories!$D$5:$D$60,MATCH(E700,Catégories!$A$5:$A$60,0)),"?"))</f>
        <v/>
      </c>
      <c r="K700" s="33" t="n">
        <f aca="false">IF(H700="Recette",G700,IF(H700="Dépense",-G700,0))</f>
        <v>0</v>
      </c>
      <c r="L700" s="33" t="n">
        <f aca="false">IF(E700="",0,G700*IFERROR(INDEX(Catégories!$E$5:$E$60,MATCH(E700,Catégories!$A$5:$A$60,0)),0))</f>
        <v>0</v>
      </c>
    </row>
    <row r="701" customFormat="false" ht="15" hidden="false" customHeight="true" outlineLevel="0" collapsed="false">
      <c r="A701" s="34"/>
      <c r="B701" s="29" t="str">
        <f aca="false">IF(A701="","",YEAR(A701))</f>
        <v/>
      </c>
      <c r="G701" s="35"/>
      <c r="H701" s="32" t="str">
        <f aca="false">IF(E701="","",IFERROR(INDEX(Catégories!$B$5:$B$60,MATCH(E701,Catégories!$A$5:$A$60,0)),"?"))</f>
        <v/>
      </c>
      <c r="I701" s="32" t="str">
        <f aca="false">IF(E701="","",IFERROR(INDEX(Catégories!$C$5:$C$60,MATCH(E701,Catégories!$A$5:$A$60,0)),"?"))</f>
        <v/>
      </c>
      <c r="J701" s="32" t="str">
        <f aca="false">IF(E701="","",IFERROR(INDEX(Catégories!$D$5:$D$60,MATCH(E701,Catégories!$A$5:$A$60,0)),"?"))</f>
        <v/>
      </c>
      <c r="K701" s="33" t="n">
        <f aca="false">IF(H701="Recette",G701,IF(H701="Dépense",-G701,0))</f>
        <v>0</v>
      </c>
      <c r="L701" s="33" t="n">
        <f aca="false">IF(E701="",0,G701*IFERROR(INDEX(Catégories!$E$5:$E$60,MATCH(E701,Catégories!$A$5:$A$60,0)),0))</f>
        <v>0</v>
      </c>
    </row>
    <row r="702" customFormat="false" ht="15" hidden="false" customHeight="true" outlineLevel="0" collapsed="false">
      <c r="A702" s="34"/>
      <c r="B702" s="29" t="str">
        <f aca="false">IF(A702="","",YEAR(A702))</f>
        <v/>
      </c>
      <c r="G702" s="35"/>
      <c r="H702" s="32" t="str">
        <f aca="false">IF(E702="","",IFERROR(INDEX(Catégories!$B$5:$B$60,MATCH(E702,Catégories!$A$5:$A$60,0)),"?"))</f>
        <v/>
      </c>
      <c r="I702" s="32" t="str">
        <f aca="false">IF(E702="","",IFERROR(INDEX(Catégories!$C$5:$C$60,MATCH(E702,Catégories!$A$5:$A$60,0)),"?"))</f>
        <v/>
      </c>
      <c r="J702" s="32" t="str">
        <f aca="false">IF(E702="","",IFERROR(INDEX(Catégories!$D$5:$D$60,MATCH(E702,Catégories!$A$5:$A$60,0)),"?"))</f>
        <v/>
      </c>
      <c r="K702" s="33" t="n">
        <f aca="false">IF(H702="Recette",G702,IF(H702="Dépense",-G702,0))</f>
        <v>0</v>
      </c>
      <c r="L702" s="33" t="n">
        <f aca="false">IF(E702="",0,G702*IFERROR(INDEX(Catégories!$E$5:$E$60,MATCH(E702,Catégories!$A$5:$A$60,0)),0))</f>
        <v>0</v>
      </c>
    </row>
    <row r="703" customFormat="false" ht="15" hidden="false" customHeight="true" outlineLevel="0" collapsed="false">
      <c r="A703" s="34"/>
      <c r="B703" s="29" t="str">
        <f aca="false">IF(A703="","",YEAR(A703))</f>
        <v/>
      </c>
      <c r="G703" s="35"/>
      <c r="H703" s="32" t="str">
        <f aca="false">IF(E703="","",IFERROR(INDEX(Catégories!$B$5:$B$60,MATCH(E703,Catégories!$A$5:$A$60,0)),"?"))</f>
        <v/>
      </c>
      <c r="I703" s="32" t="str">
        <f aca="false">IF(E703="","",IFERROR(INDEX(Catégories!$C$5:$C$60,MATCH(E703,Catégories!$A$5:$A$60,0)),"?"))</f>
        <v/>
      </c>
      <c r="J703" s="32" t="str">
        <f aca="false">IF(E703="","",IFERROR(INDEX(Catégories!$D$5:$D$60,MATCH(E703,Catégories!$A$5:$A$60,0)),"?"))</f>
        <v/>
      </c>
      <c r="K703" s="33" t="n">
        <f aca="false">IF(H703="Recette",G703,IF(H703="Dépense",-G703,0))</f>
        <v>0</v>
      </c>
      <c r="L703" s="33" t="n">
        <f aca="false">IF(E703="",0,G703*IFERROR(INDEX(Catégories!$E$5:$E$60,MATCH(E703,Catégories!$A$5:$A$60,0)),0))</f>
        <v>0</v>
      </c>
    </row>
    <row r="704" customFormat="false" ht="15" hidden="false" customHeight="true" outlineLevel="0" collapsed="false">
      <c r="A704" s="34"/>
      <c r="B704" s="29" t="str">
        <f aca="false">IF(A704="","",YEAR(A704))</f>
        <v/>
      </c>
      <c r="G704" s="35"/>
      <c r="H704" s="32" t="str">
        <f aca="false">IF(E704="","",IFERROR(INDEX(Catégories!$B$5:$B$60,MATCH(E704,Catégories!$A$5:$A$60,0)),"?"))</f>
        <v/>
      </c>
      <c r="I704" s="32" t="str">
        <f aca="false">IF(E704="","",IFERROR(INDEX(Catégories!$C$5:$C$60,MATCH(E704,Catégories!$A$5:$A$60,0)),"?"))</f>
        <v/>
      </c>
      <c r="J704" s="32" t="str">
        <f aca="false">IF(E704="","",IFERROR(INDEX(Catégories!$D$5:$D$60,MATCH(E704,Catégories!$A$5:$A$60,0)),"?"))</f>
        <v/>
      </c>
      <c r="K704" s="33" t="n">
        <f aca="false">IF(H704="Recette",G704,IF(H704="Dépense",-G704,0))</f>
        <v>0</v>
      </c>
      <c r="L704" s="33" t="n">
        <f aca="false">IF(E704="",0,G704*IFERROR(INDEX(Catégories!$E$5:$E$60,MATCH(E704,Catégories!$A$5:$A$60,0)),0))</f>
        <v>0</v>
      </c>
    </row>
    <row r="705" customFormat="false" ht="15" hidden="false" customHeight="true" outlineLevel="0" collapsed="false">
      <c r="A705" s="34"/>
      <c r="B705" s="29" t="str">
        <f aca="false">IF(A705="","",YEAR(A705))</f>
        <v/>
      </c>
      <c r="G705" s="35"/>
      <c r="H705" s="32" t="str">
        <f aca="false">IF(E705="","",IFERROR(INDEX(Catégories!$B$5:$B$60,MATCH(E705,Catégories!$A$5:$A$60,0)),"?"))</f>
        <v/>
      </c>
      <c r="I705" s="32" t="str">
        <f aca="false">IF(E705="","",IFERROR(INDEX(Catégories!$C$5:$C$60,MATCH(E705,Catégories!$A$5:$A$60,0)),"?"))</f>
        <v/>
      </c>
      <c r="J705" s="32" t="str">
        <f aca="false">IF(E705="","",IFERROR(INDEX(Catégories!$D$5:$D$60,MATCH(E705,Catégories!$A$5:$A$60,0)),"?"))</f>
        <v/>
      </c>
      <c r="K705" s="33" t="n">
        <f aca="false">IF(H705="Recette",G705,IF(H705="Dépense",-G705,0))</f>
        <v>0</v>
      </c>
      <c r="L705" s="33" t="n">
        <f aca="false">IF(E705="",0,G705*IFERROR(INDEX(Catégories!$E$5:$E$60,MATCH(E705,Catégories!$A$5:$A$60,0)),0))</f>
        <v>0</v>
      </c>
    </row>
    <row r="706" customFormat="false" ht="15" hidden="false" customHeight="true" outlineLevel="0" collapsed="false">
      <c r="A706" s="34"/>
      <c r="B706" s="29" t="str">
        <f aca="false">IF(A706="","",YEAR(A706))</f>
        <v/>
      </c>
      <c r="G706" s="35"/>
      <c r="H706" s="32" t="str">
        <f aca="false">IF(E706="","",IFERROR(INDEX(Catégories!$B$5:$B$60,MATCH(E706,Catégories!$A$5:$A$60,0)),"?"))</f>
        <v/>
      </c>
      <c r="I706" s="32" t="str">
        <f aca="false">IF(E706="","",IFERROR(INDEX(Catégories!$C$5:$C$60,MATCH(E706,Catégories!$A$5:$A$60,0)),"?"))</f>
        <v/>
      </c>
      <c r="J706" s="32" t="str">
        <f aca="false">IF(E706="","",IFERROR(INDEX(Catégories!$D$5:$D$60,MATCH(E706,Catégories!$A$5:$A$60,0)),"?"))</f>
        <v/>
      </c>
      <c r="K706" s="33" t="n">
        <f aca="false">IF(H706="Recette",G706,IF(H706="Dépense",-G706,0))</f>
        <v>0</v>
      </c>
      <c r="L706" s="33" t="n">
        <f aca="false">IF(E706="",0,G706*IFERROR(INDEX(Catégories!$E$5:$E$60,MATCH(E706,Catégories!$A$5:$A$60,0)),0))</f>
        <v>0</v>
      </c>
    </row>
    <row r="707" customFormat="false" ht="15" hidden="false" customHeight="true" outlineLevel="0" collapsed="false">
      <c r="A707" s="34"/>
      <c r="B707" s="29" t="str">
        <f aca="false">IF(A707="","",YEAR(A707))</f>
        <v/>
      </c>
      <c r="G707" s="35"/>
      <c r="H707" s="32" t="str">
        <f aca="false">IF(E707="","",IFERROR(INDEX(Catégories!$B$5:$B$60,MATCH(E707,Catégories!$A$5:$A$60,0)),"?"))</f>
        <v/>
      </c>
      <c r="I707" s="32" t="str">
        <f aca="false">IF(E707="","",IFERROR(INDEX(Catégories!$C$5:$C$60,MATCH(E707,Catégories!$A$5:$A$60,0)),"?"))</f>
        <v/>
      </c>
      <c r="J707" s="32" t="str">
        <f aca="false">IF(E707="","",IFERROR(INDEX(Catégories!$D$5:$D$60,MATCH(E707,Catégories!$A$5:$A$60,0)),"?"))</f>
        <v/>
      </c>
      <c r="K707" s="33" t="n">
        <f aca="false">IF(H707="Recette",G707,IF(H707="Dépense",-G707,0))</f>
        <v>0</v>
      </c>
      <c r="L707" s="33" t="n">
        <f aca="false">IF(E707="",0,G707*IFERROR(INDEX(Catégories!$E$5:$E$60,MATCH(E707,Catégories!$A$5:$A$60,0)),0))</f>
        <v>0</v>
      </c>
    </row>
    <row r="708" customFormat="false" ht="15" hidden="false" customHeight="true" outlineLevel="0" collapsed="false">
      <c r="A708" s="34"/>
      <c r="B708" s="29" t="str">
        <f aca="false">IF(A708="","",YEAR(A708))</f>
        <v/>
      </c>
      <c r="G708" s="35"/>
      <c r="H708" s="32" t="str">
        <f aca="false">IF(E708="","",IFERROR(INDEX(Catégories!$B$5:$B$60,MATCH(E708,Catégories!$A$5:$A$60,0)),"?"))</f>
        <v/>
      </c>
      <c r="I708" s="32" t="str">
        <f aca="false">IF(E708="","",IFERROR(INDEX(Catégories!$C$5:$C$60,MATCH(E708,Catégories!$A$5:$A$60,0)),"?"))</f>
        <v/>
      </c>
      <c r="J708" s="32" t="str">
        <f aca="false">IF(E708="","",IFERROR(INDEX(Catégories!$D$5:$D$60,MATCH(E708,Catégories!$A$5:$A$60,0)),"?"))</f>
        <v/>
      </c>
      <c r="K708" s="33" t="n">
        <f aca="false">IF(H708="Recette",G708,IF(H708="Dépense",-G708,0))</f>
        <v>0</v>
      </c>
      <c r="L708" s="33" t="n">
        <f aca="false">IF(E708="",0,G708*IFERROR(INDEX(Catégories!$E$5:$E$60,MATCH(E708,Catégories!$A$5:$A$60,0)),0))</f>
        <v>0</v>
      </c>
    </row>
    <row r="709" customFormat="false" ht="15" hidden="false" customHeight="true" outlineLevel="0" collapsed="false">
      <c r="A709" s="34"/>
      <c r="B709" s="29" t="str">
        <f aca="false">IF(A709="","",YEAR(A709))</f>
        <v/>
      </c>
      <c r="G709" s="35"/>
      <c r="H709" s="32" t="str">
        <f aca="false">IF(E709="","",IFERROR(INDEX(Catégories!$B$5:$B$60,MATCH(E709,Catégories!$A$5:$A$60,0)),"?"))</f>
        <v/>
      </c>
      <c r="I709" s="32" t="str">
        <f aca="false">IF(E709="","",IFERROR(INDEX(Catégories!$C$5:$C$60,MATCH(E709,Catégories!$A$5:$A$60,0)),"?"))</f>
        <v/>
      </c>
      <c r="J709" s="32" t="str">
        <f aca="false">IF(E709="","",IFERROR(INDEX(Catégories!$D$5:$D$60,MATCH(E709,Catégories!$A$5:$A$60,0)),"?"))</f>
        <v/>
      </c>
      <c r="K709" s="33" t="n">
        <f aca="false">IF(H709="Recette",G709,IF(H709="Dépense",-G709,0))</f>
        <v>0</v>
      </c>
      <c r="L709" s="33" t="n">
        <f aca="false">IF(E709="",0,G709*IFERROR(INDEX(Catégories!$E$5:$E$60,MATCH(E709,Catégories!$A$5:$A$60,0)),0))</f>
        <v>0</v>
      </c>
    </row>
    <row r="710" customFormat="false" ht="15" hidden="false" customHeight="true" outlineLevel="0" collapsed="false">
      <c r="A710" s="34"/>
      <c r="B710" s="29" t="str">
        <f aca="false">IF(A710="","",YEAR(A710))</f>
        <v/>
      </c>
      <c r="G710" s="35"/>
      <c r="H710" s="32" t="str">
        <f aca="false">IF(E710="","",IFERROR(INDEX(Catégories!$B$5:$B$60,MATCH(E710,Catégories!$A$5:$A$60,0)),"?"))</f>
        <v/>
      </c>
      <c r="I710" s="32" t="str">
        <f aca="false">IF(E710="","",IFERROR(INDEX(Catégories!$C$5:$C$60,MATCH(E710,Catégories!$A$5:$A$60,0)),"?"))</f>
        <v/>
      </c>
      <c r="J710" s="32" t="str">
        <f aca="false">IF(E710="","",IFERROR(INDEX(Catégories!$D$5:$D$60,MATCH(E710,Catégories!$A$5:$A$60,0)),"?"))</f>
        <v/>
      </c>
      <c r="K710" s="33" t="n">
        <f aca="false">IF(H710="Recette",G710,IF(H710="Dépense",-G710,0))</f>
        <v>0</v>
      </c>
      <c r="L710" s="33" t="n">
        <f aca="false">IF(E710="",0,G710*IFERROR(INDEX(Catégories!$E$5:$E$60,MATCH(E710,Catégories!$A$5:$A$60,0)),0))</f>
        <v>0</v>
      </c>
    </row>
    <row r="711" customFormat="false" ht="15" hidden="false" customHeight="true" outlineLevel="0" collapsed="false">
      <c r="A711" s="34"/>
      <c r="B711" s="29" t="str">
        <f aca="false">IF(A711="","",YEAR(A711))</f>
        <v/>
      </c>
      <c r="G711" s="35"/>
      <c r="H711" s="32" t="str">
        <f aca="false">IF(E711="","",IFERROR(INDEX(Catégories!$B$5:$B$60,MATCH(E711,Catégories!$A$5:$A$60,0)),"?"))</f>
        <v/>
      </c>
      <c r="I711" s="32" t="str">
        <f aca="false">IF(E711="","",IFERROR(INDEX(Catégories!$C$5:$C$60,MATCH(E711,Catégories!$A$5:$A$60,0)),"?"))</f>
        <v/>
      </c>
      <c r="J711" s="32" t="str">
        <f aca="false">IF(E711="","",IFERROR(INDEX(Catégories!$D$5:$D$60,MATCH(E711,Catégories!$A$5:$A$60,0)),"?"))</f>
        <v/>
      </c>
      <c r="K711" s="33" t="n">
        <f aca="false">IF(H711="Recette",G711,IF(H711="Dépense",-G711,0))</f>
        <v>0</v>
      </c>
      <c r="L711" s="33" t="n">
        <f aca="false">IF(E711="",0,G711*IFERROR(INDEX(Catégories!$E$5:$E$60,MATCH(E711,Catégories!$A$5:$A$60,0)),0))</f>
        <v>0</v>
      </c>
    </row>
    <row r="712" customFormat="false" ht="15" hidden="false" customHeight="true" outlineLevel="0" collapsed="false">
      <c r="A712" s="34"/>
      <c r="B712" s="29" t="str">
        <f aca="false">IF(A712="","",YEAR(A712))</f>
        <v/>
      </c>
      <c r="G712" s="35"/>
      <c r="H712" s="32" t="str">
        <f aca="false">IF(E712="","",IFERROR(INDEX(Catégories!$B$5:$B$60,MATCH(E712,Catégories!$A$5:$A$60,0)),"?"))</f>
        <v/>
      </c>
      <c r="I712" s="32" t="str">
        <f aca="false">IF(E712="","",IFERROR(INDEX(Catégories!$C$5:$C$60,MATCH(E712,Catégories!$A$5:$A$60,0)),"?"))</f>
        <v/>
      </c>
      <c r="J712" s="32" t="str">
        <f aca="false">IF(E712="","",IFERROR(INDEX(Catégories!$D$5:$D$60,MATCH(E712,Catégories!$A$5:$A$60,0)),"?"))</f>
        <v/>
      </c>
      <c r="K712" s="33" t="n">
        <f aca="false">IF(H712="Recette",G712,IF(H712="Dépense",-G712,0))</f>
        <v>0</v>
      </c>
      <c r="L712" s="33" t="n">
        <f aca="false">IF(E712="",0,G712*IFERROR(INDEX(Catégories!$E$5:$E$60,MATCH(E712,Catégories!$A$5:$A$60,0)),0))</f>
        <v>0</v>
      </c>
    </row>
    <row r="713" customFormat="false" ht="15" hidden="false" customHeight="true" outlineLevel="0" collapsed="false">
      <c r="A713" s="34"/>
      <c r="B713" s="29" t="str">
        <f aca="false">IF(A713="","",YEAR(A713))</f>
        <v/>
      </c>
      <c r="G713" s="35"/>
      <c r="H713" s="32" t="str">
        <f aca="false">IF(E713="","",IFERROR(INDEX(Catégories!$B$5:$B$60,MATCH(E713,Catégories!$A$5:$A$60,0)),"?"))</f>
        <v/>
      </c>
      <c r="I713" s="32" t="str">
        <f aca="false">IF(E713="","",IFERROR(INDEX(Catégories!$C$5:$C$60,MATCH(E713,Catégories!$A$5:$A$60,0)),"?"))</f>
        <v/>
      </c>
      <c r="J713" s="32" t="str">
        <f aca="false">IF(E713="","",IFERROR(INDEX(Catégories!$D$5:$D$60,MATCH(E713,Catégories!$A$5:$A$60,0)),"?"))</f>
        <v/>
      </c>
      <c r="K713" s="33" t="n">
        <f aca="false">IF(H713="Recette",G713,IF(H713="Dépense",-G713,0))</f>
        <v>0</v>
      </c>
      <c r="L713" s="33" t="n">
        <f aca="false">IF(E713="",0,G713*IFERROR(INDEX(Catégories!$E$5:$E$60,MATCH(E713,Catégories!$A$5:$A$60,0)),0))</f>
        <v>0</v>
      </c>
    </row>
    <row r="714" customFormat="false" ht="15" hidden="false" customHeight="true" outlineLevel="0" collapsed="false">
      <c r="A714" s="34"/>
      <c r="B714" s="29" t="str">
        <f aca="false">IF(A714="","",YEAR(A714))</f>
        <v/>
      </c>
      <c r="G714" s="35"/>
      <c r="H714" s="32" t="str">
        <f aca="false">IF(E714="","",IFERROR(INDEX(Catégories!$B$5:$B$60,MATCH(E714,Catégories!$A$5:$A$60,0)),"?"))</f>
        <v/>
      </c>
      <c r="I714" s="32" t="str">
        <f aca="false">IF(E714="","",IFERROR(INDEX(Catégories!$C$5:$C$60,MATCH(E714,Catégories!$A$5:$A$60,0)),"?"))</f>
        <v/>
      </c>
      <c r="J714" s="32" t="str">
        <f aca="false">IF(E714="","",IFERROR(INDEX(Catégories!$D$5:$D$60,MATCH(E714,Catégories!$A$5:$A$60,0)),"?"))</f>
        <v/>
      </c>
      <c r="K714" s="33" t="n">
        <f aca="false">IF(H714="Recette",G714,IF(H714="Dépense",-G714,0))</f>
        <v>0</v>
      </c>
      <c r="L714" s="33" t="n">
        <f aca="false">IF(E714="",0,G714*IFERROR(INDEX(Catégories!$E$5:$E$60,MATCH(E714,Catégories!$A$5:$A$60,0)),0))</f>
        <v>0</v>
      </c>
    </row>
    <row r="715" customFormat="false" ht="15" hidden="false" customHeight="true" outlineLevel="0" collapsed="false">
      <c r="A715" s="34"/>
      <c r="B715" s="29" t="str">
        <f aca="false">IF(A715="","",YEAR(A715))</f>
        <v/>
      </c>
      <c r="G715" s="35"/>
      <c r="H715" s="32" t="str">
        <f aca="false">IF(E715="","",IFERROR(INDEX(Catégories!$B$5:$B$60,MATCH(E715,Catégories!$A$5:$A$60,0)),"?"))</f>
        <v/>
      </c>
      <c r="I715" s="32" t="str">
        <f aca="false">IF(E715="","",IFERROR(INDEX(Catégories!$C$5:$C$60,MATCH(E715,Catégories!$A$5:$A$60,0)),"?"))</f>
        <v/>
      </c>
      <c r="J715" s="32" t="str">
        <f aca="false">IF(E715="","",IFERROR(INDEX(Catégories!$D$5:$D$60,MATCH(E715,Catégories!$A$5:$A$60,0)),"?"))</f>
        <v/>
      </c>
      <c r="K715" s="33" t="n">
        <f aca="false">IF(H715="Recette",G715,IF(H715="Dépense",-G715,0))</f>
        <v>0</v>
      </c>
      <c r="L715" s="33" t="n">
        <f aca="false">IF(E715="",0,G715*IFERROR(INDEX(Catégories!$E$5:$E$60,MATCH(E715,Catégories!$A$5:$A$60,0)),0))</f>
        <v>0</v>
      </c>
    </row>
    <row r="716" customFormat="false" ht="15" hidden="false" customHeight="true" outlineLevel="0" collapsed="false">
      <c r="A716" s="34"/>
      <c r="B716" s="29" t="str">
        <f aca="false">IF(A716="","",YEAR(A716))</f>
        <v/>
      </c>
      <c r="G716" s="35"/>
      <c r="H716" s="32" t="str">
        <f aca="false">IF(E716="","",IFERROR(INDEX(Catégories!$B$5:$B$60,MATCH(E716,Catégories!$A$5:$A$60,0)),"?"))</f>
        <v/>
      </c>
      <c r="I716" s="32" t="str">
        <f aca="false">IF(E716="","",IFERROR(INDEX(Catégories!$C$5:$C$60,MATCH(E716,Catégories!$A$5:$A$60,0)),"?"))</f>
        <v/>
      </c>
      <c r="J716" s="32" t="str">
        <f aca="false">IF(E716="","",IFERROR(INDEX(Catégories!$D$5:$D$60,MATCH(E716,Catégories!$A$5:$A$60,0)),"?"))</f>
        <v/>
      </c>
      <c r="K716" s="33" t="n">
        <f aca="false">IF(H716="Recette",G716,IF(H716="Dépense",-G716,0))</f>
        <v>0</v>
      </c>
      <c r="L716" s="33" t="n">
        <f aca="false">IF(E716="",0,G716*IFERROR(INDEX(Catégories!$E$5:$E$60,MATCH(E716,Catégories!$A$5:$A$60,0)),0))</f>
        <v>0</v>
      </c>
    </row>
    <row r="717" customFormat="false" ht="15" hidden="false" customHeight="true" outlineLevel="0" collapsed="false">
      <c r="A717" s="34"/>
      <c r="B717" s="29" t="str">
        <f aca="false">IF(A717="","",YEAR(A717))</f>
        <v/>
      </c>
      <c r="G717" s="35"/>
      <c r="H717" s="32" t="str">
        <f aca="false">IF(E717="","",IFERROR(INDEX(Catégories!$B$5:$B$60,MATCH(E717,Catégories!$A$5:$A$60,0)),"?"))</f>
        <v/>
      </c>
      <c r="I717" s="32" t="str">
        <f aca="false">IF(E717="","",IFERROR(INDEX(Catégories!$C$5:$C$60,MATCH(E717,Catégories!$A$5:$A$60,0)),"?"))</f>
        <v/>
      </c>
      <c r="J717" s="32" t="str">
        <f aca="false">IF(E717="","",IFERROR(INDEX(Catégories!$D$5:$D$60,MATCH(E717,Catégories!$A$5:$A$60,0)),"?"))</f>
        <v/>
      </c>
      <c r="K717" s="33" t="n">
        <f aca="false">IF(H717="Recette",G717,IF(H717="Dépense",-G717,0))</f>
        <v>0</v>
      </c>
      <c r="L717" s="33" t="n">
        <f aca="false">IF(E717="",0,G717*IFERROR(INDEX(Catégories!$E$5:$E$60,MATCH(E717,Catégories!$A$5:$A$60,0)),0))</f>
        <v>0</v>
      </c>
    </row>
    <row r="718" customFormat="false" ht="15" hidden="false" customHeight="true" outlineLevel="0" collapsed="false">
      <c r="A718" s="34"/>
      <c r="B718" s="29" t="str">
        <f aca="false">IF(A718="","",YEAR(A718))</f>
        <v/>
      </c>
      <c r="G718" s="35"/>
      <c r="H718" s="32" t="str">
        <f aca="false">IF(E718="","",IFERROR(INDEX(Catégories!$B$5:$B$60,MATCH(E718,Catégories!$A$5:$A$60,0)),"?"))</f>
        <v/>
      </c>
      <c r="I718" s="32" t="str">
        <f aca="false">IF(E718="","",IFERROR(INDEX(Catégories!$C$5:$C$60,MATCH(E718,Catégories!$A$5:$A$60,0)),"?"))</f>
        <v/>
      </c>
      <c r="J718" s="32" t="str">
        <f aca="false">IF(E718="","",IFERROR(INDEX(Catégories!$D$5:$D$60,MATCH(E718,Catégories!$A$5:$A$60,0)),"?"))</f>
        <v/>
      </c>
      <c r="K718" s="33" t="n">
        <f aca="false">IF(H718="Recette",G718,IF(H718="Dépense",-G718,0))</f>
        <v>0</v>
      </c>
      <c r="L718" s="33" t="n">
        <f aca="false">IF(E718="",0,G718*IFERROR(INDEX(Catégories!$E$5:$E$60,MATCH(E718,Catégories!$A$5:$A$60,0)),0))</f>
        <v>0</v>
      </c>
    </row>
    <row r="719" customFormat="false" ht="15" hidden="false" customHeight="true" outlineLevel="0" collapsed="false">
      <c r="A719" s="34"/>
      <c r="B719" s="29" t="str">
        <f aca="false">IF(A719="","",YEAR(A719))</f>
        <v/>
      </c>
      <c r="G719" s="35"/>
      <c r="H719" s="32" t="str">
        <f aca="false">IF(E719="","",IFERROR(INDEX(Catégories!$B$5:$B$60,MATCH(E719,Catégories!$A$5:$A$60,0)),"?"))</f>
        <v/>
      </c>
      <c r="I719" s="32" t="str">
        <f aca="false">IF(E719="","",IFERROR(INDEX(Catégories!$C$5:$C$60,MATCH(E719,Catégories!$A$5:$A$60,0)),"?"))</f>
        <v/>
      </c>
      <c r="J719" s="32" t="str">
        <f aca="false">IF(E719="","",IFERROR(INDEX(Catégories!$D$5:$D$60,MATCH(E719,Catégories!$A$5:$A$60,0)),"?"))</f>
        <v/>
      </c>
      <c r="K719" s="33" t="n">
        <f aca="false">IF(H719="Recette",G719,IF(H719="Dépense",-G719,0))</f>
        <v>0</v>
      </c>
      <c r="L719" s="33" t="n">
        <f aca="false">IF(E719="",0,G719*IFERROR(INDEX(Catégories!$E$5:$E$60,MATCH(E719,Catégories!$A$5:$A$60,0)),0))</f>
        <v>0</v>
      </c>
    </row>
    <row r="720" customFormat="false" ht="15" hidden="false" customHeight="true" outlineLevel="0" collapsed="false">
      <c r="A720" s="34"/>
      <c r="B720" s="29" t="str">
        <f aca="false">IF(A720="","",YEAR(A720))</f>
        <v/>
      </c>
      <c r="G720" s="35"/>
      <c r="H720" s="32" t="str">
        <f aca="false">IF(E720="","",IFERROR(INDEX(Catégories!$B$5:$B$60,MATCH(E720,Catégories!$A$5:$A$60,0)),"?"))</f>
        <v/>
      </c>
      <c r="I720" s="32" t="str">
        <f aca="false">IF(E720="","",IFERROR(INDEX(Catégories!$C$5:$C$60,MATCH(E720,Catégories!$A$5:$A$60,0)),"?"))</f>
        <v/>
      </c>
      <c r="J720" s="32" t="str">
        <f aca="false">IF(E720="","",IFERROR(INDEX(Catégories!$D$5:$D$60,MATCH(E720,Catégories!$A$5:$A$60,0)),"?"))</f>
        <v/>
      </c>
      <c r="K720" s="33" t="n">
        <f aca="false">IF(H720="Recette",G720,IF(H720="Dépense",-G720,0))</f>
        <v>0</v>
      </c>
      <c r="L720" s="33" t="n">
        <f aca="false">IF(E720="",0,G720*IFERROR(INDEX(Catégories!$E$5:$E$60,MATCH(E720,Catégories!$A$5:$A$60,0)),0))</f>
        <v>0</v>
      </c>
    </row>
    <row r="721" customFormat="false" ht="15" hidden="false" customHeight="true" outlineLevel="0" collapsed="false">
      <c r="A721" s="34"/>
      <c r="B721" s="29" t="str">
        <f aca="false">IF(A721="","",YEAR(A721))</f>
        <v/>
      </c>
      <c r="G721" s="35"/>
      <c r="H721" s="32" t="str">
        <f aca="false">IF(E721="","",IFERROR(INDEX(Catégories!$B$5:$B$60,MATCH(E721,Catégories!$A$5:$A$60,0)),"?"))</f>
        <v/>
      </c>
      <c r="I721" s="32" t="str">
        <f aca="false">IF(E721="","",IFERROR(INDEX(Catégories!$C$5:$C$60,MATCH(E721,Catégories!$A$5:$A$60,0)),"?"))</f>
        <v/>
      </c>
      <c r="J721" s="32" t="str">
        <f aca="false">IF(E721="","",IFERROR(INDEX(Catégories!$D$5:$D$60,MATCH(E721,Catégories!$A$5:$A$60,0)),"?"))</f>
        <v/>
      </c>
      <c r="K721" s="33" t="n">
        <f aca="false">IF(H721="Recette",G721,IF(H721="Dépense",-G721,0))</f>
        <v>0</v>
      </c>
      <c r="L721" s="33" t="n">
        <f aca="false">IF(E721="",0,G721*IFERROR(INDEX(Catégories!$E$5:$E$60,MATCH(E721,Catégories!$A$5:$A$60,0)),0))</f>
        <v>0</v>
      </c>
    </row>
    <row r="722" customFormat="false" ht="15" hidden="false" customHeight="true" outlineLevel="0" collapsed="false">
      <c r="A722" s="34"/>
      <c r="B722" s="29" t="str">
        <f aca="false">IF(A722="","",YEAR(A722))</f>
        <v/>
      </c>
      <c r="G722" s="35"/>
      <c r="H722" s="32" t="str">
        <f aca="false">IF(E722="","",IFERROR(INDEX(Catégories!$B$5:$B$60,MATCH(E722,Catégories!$A$5:$A$60,0)),"?"))</f>
        <v/>
      </c>
      <c r="I722" s="32" t="str">
        <f aca="false">IF(E722="","",IFERROR(INDEX(Catégories!$C$5:$C$60,MATCH(E722,Catégories!$A$5:$A$60,0)),"?"))</f>
        <v/>
      </c>
      <c r="J722" s="32" t="str">
        <f aca="false">IF(E722="","",IFERROR(INDEX(Catégories!$D$5:$D$60,MATCH(E722,Catégories!$A$5:$A$60,0)),"?"))</f>
        <v/>
      </c>
      <c r="K722" s="33" t="n">
        <f aca="false">IF(H722="Recette",G722,IF(H722="Dépense",-G722,0))</f>
        <v>0</v>
      </c>
      <c r="L722" s="33" t="n">
        <f aca="false">IF(E722="",0,G722*IFERROR(INDEX(Catégories!$E$5:$E$60,MATCH(E722,Catégories!$A$5:$A$60,0)),0))</f>
        <v>0</v>
      </c>
    </row>
    <row r="723" customFormat="false" ht="15" hidden="false" customHeight="true" outlineLevel="0" collapsed="false">
      <c r="A723" s="34"/>
      <c r="B723" s="29" t="str">
        <f aca="false">IF(A723="","",YEAR(A723))</f>
        <v/>
      </c>
      <c r="G723" s="35"/>
      <c r="H723" s="32" t="str">
        <f aca="false">IF(E723="","",IFERROR(INDEX(Catégories!$B$5:$B$60,MATCH(E723,Catégories!$A$5:$A$60,0)),"?"))</f>
        <v/>
      </c>
      <c r="I723" s="32" t="str">
        <f aca="false">IF(E723="","",IFERROR(INDEX(Catégories!$C$5:$C$60,MATCH(E723,Catégories!$A$5:$A$60,0)),"?"))</f>
        <v/>
      </c>
      <c r="J723" s="32" t="str">
        <f aca="false">IF(E723="","",IFERROR(INDEX(Catégories!$D$5:$D$60,MATCH(E723,Catégories!$A$5:$A$60,0)),"?"))</f>
        <v/>
      </c>
      <c r="K723" s="33" t="n">
        <f aca="false">IF(H723="Recette",G723,IF(H723="Dépense",-G723,0))</f>
        <v>0</v>
      </c>
      <c r="L723" s="33" t="n">
        <f aca="false">IF(E723="",0,G723*IFERROR(INDEX(Catégories!$E$5:$E$60,MATCH(E723,Catégories!$A$5:$A$60,0)),0))</f>
        <v>0</v>
      </c>
    </row>
    <row r="724" customFormat="false" ht="15" hidden="false" customHeight="true" outlineLevel="0" collapsed="false">
      <c r="A724" s="34"/>
      <c r="B724" s="29" t="str">
        <f aca="false">IF(A724="","",YEAR(A724))</f>
        <v/>
      </c>
      <c r="G724" s="35"/>
      <c r="H724" s="32" t="str">
        <f aca="false">IF(E724="","",IFERROR(INDEX(Catégories!$B$5:$B$60,MATCH(E724,Catégories!$A$5:$A$60,0)),"?"))</f>
        <v/>
      </c>
      <c r="I724" s="32" t="str">
        <f aca="false">IF(E724="","",IFERROR(INDEX(Catégories!$C$5:$C$60,MATCH(E724,Catégories!$A$5:$A$60,0)),"?"))</f>
        <v/>
      </c>
      <c r="J724" s="32" t="str">
        <f aca="false">IF(E724="","",IFERROR(INDEX(Catégories!$D$5:$D$60,MATCH(E724,Catégories!$A$5:$A$60,0)),"?"))</f>
        <v/>
      </c>
      <c r="K724" s="33" t="n">
        <f aca="false">IF(H724="Recette",G724,IF(H724="Dépense",-G724,0))</f>
        <v>0</v>
      </c>
      <c r="L724" s="33" t="n">
        <f aca="false">IF(E724="",0,G724*IFERROR(INDEX(Catégories!$E$5:$E$60,MATCH(E724,Catégories!$A$5:$A$60,0)),0))</f>
        <v>0</v>
      </c>
    </row>
    <row r="725" customFormat="false" ht="15" hidden="false" customHeight="true" outlineLevel="0" collapsed="false">
      <c r="A725" s="34"/>
      <c r="B725" s="29" t="str">
        <f aca="false">IF(A725="","",YEAR(A725))</f>
        <v/>
      </c>
      <c r="G725" s="35"/>
      <c r="H725" s="32" t="str">
        <f aca="false">IF(E725="","",IFERROR(INDEX(Catégories!$B$5:$B$60,MATCH(E725,Catégories!$A$5:$A$60,0)),"?"))</f>
        <v/>
      </c>
      <c r="I725" s="32" t="str">
        <f aca="false">IF(E725="","",IFERROR(INDEX(Catégories!$C$5:$C$60,MATCH(E725,Catégories!$A$5:$A$60,0)),"?"))</f>
        <v/>
      </c>
      <c r="J725" s="32" t="str">
        <f aca="false">IF(E725="","",IFERROR(INDEX(Catégories!$D$5:$D$60,MATCH(E725,Catégories!$A$5:$A$60,0)),"?"))</f>
        <v/>
      </c>
      <c r="K725" s="33" t="n">
        <f aca="false">IF(H725="Recette",G725,IF(H725="Dépense",-G725,0))</f>
        <v>0</v>
      </c>
      <c r="L725" s="33" t="n">
        <f aca="false">IF(E725="",0,G725*IFERROR(INDEX(Catégories!$E$5:$E$60,MATCH(E725,Catégories!$A$5:$A$60,0)),0))</f>
        <v>0</v>
      </c>
    </row>
    <row r="726" customFormat="false" ht="15" hidden="false" customHeight="true" outlineLevel="0" collapsed="false">
      <c r="A726" s="34"/>
      <c r="B726" s="29" t="str">
        <f aca="false">IF(A726="","",YEAR(A726))</f>
        <v/>
      </c>
      <c r="G726" s="35"/>
      <c r="H726" s="32" t="str">
        <f aca="false">IF(E726="","",IFERROR(INDEX(Catégories!$B$5:$B$60,MATCH(E726,Catégories!$A$5:$A$60,0)),"?"))</f>
        <v/>
      </c>
      <c r="I726" s="32" t="str">
        <f aca="false">IF(E726="","",IFERROR(INDEX(Catégories!$C$5:$C$60,MATCH(E726,Catégories!$A$5:$A$60,0)),"?"))</f>
        <v/>
      </c>
      <c r="J726" s="32" t="str">
        <f aca="false">IF(E726="","",IFERROR(INDEX(Catégories!$D$5:$D$60,MATCH(E726,Catégories!$A$5:$A$60,0)),"?"))</f>
        <v/>
      </c>
      <c r="K726" s="33" t="n">
        <f aca="false">IF(H726="Recette",G726,IF(H726="Dépense",-G726,0))</f>
        <v>0</v>
      </c>
      <c r="L726" s="33" t="n">
        <f aca="false">IF(E726="",0,G726*IFERROR(INDEX(Catégories!$E$5:$E$60,MATCH(E726,Catégories!$A$5:$A$60,0)),0))</f>
        <v>0</v>
      </c>
    </row>
    <row r="727" customFormat="false" ht="15" hidden="false" customHeight="true" outlineLevel="0" collapsed="false">
      <c r="A727" s="34"/>
      <c r="B727" s="29" t="str">
        <f aca="false">IF(A727="","",YEAR(A727))</f>
        <v/>
      </c>
      <c r="G727" s="35"/>
      <c r="H727" s="32" t="str">
        <f aca="false">IF(E727="","",IFERROR(INDEX(Catégories!$B$5:$B$60,MATCH(E727,Catégories!$A$5:$A$60,0)),"?"))</f>
        <v/>
      </c>
      <c r="I727" s="32" t="str">
        <f aca="false">IF(E727="","",IFERROR(INDEX(Catégories!$C$5:$C$60,MATCH(E727,Catégories!$A$5:$A$60,0)),"?"))</f>
        <v/>
      </c>
      <c r="J727" s="32" t="str">
        <f aca="false">IF(E727="","",IFERROR(INDEX(Catégories!$D$5:$D$60,MATCH(E727,Catégories!$A$5:$A$60,0)),"?"))</f>
        <v/>
      </c>
      <c r="K727" s="33" t="n">
        <f aca="false">IF(H727="Recette",G727,IF(H727="Dépense",-G727,0))</f>
        <v>0</v>
      </c>
      <c r="L727" s="33" t="n">
        <f aca="false">IF(E727="",0,G727*IFERROR(INDEX(Catégories!$E$5:$E$60,MATCH(E727,Catégories!$A$5:$A$60,0)),0))</f>
        <v>0</v>
      </c>
    </row>
    <row r="728" customFormat="false" ht="15" hidden="false" customHeight="true" outlineLevel="0" collapsed="false">
      <c r="A728" s="34"/>
      <c r="B728" s="29" t="str">
        <f aca="false">IF(A728="","",YEAR(A728))</f>
        <v/>
      </c>
      <c r="G728" s="35"/>
      <c r="H728" s="32" t="str">
        <f aca="false">IF(E728="","",IFERROR(INDEX(Catégories!$B$5:$B$60,MATCH(E728,Catégories!$A$5:$A$60,0)),"?"))</f>
        <v/>
      </c>
      <c r="I728" s="32" t="str">
        <f aca="false">IF(E728="","",IFERROR(INDEX(Catégories!$C$5:$C$60,MATCH(E728,Catégories!$A$5:$A$60,0)),"?"))</f>
        <v/>
      </c>
      <c r="J728" s="32" t="str">
        <f aca="false">IF(E728="","",IFERROR(INDEX(Catégories!$D$5:$D$60,MATCH(E728,Catégories!$A$5:$A$60,0)),"?"))</f>
        <v/>
      </c>
      <c r="K728" s="33" t="n">
        <f aca="false">IF(H728="Recette",G728,IF(H728="Dépense",-G728,0))</f>
        <v>0</v>
      </c>
      <c r="L728" s="33" t="n">
        <f aca="false">IF(E728="",0,G728*IFERROR(INDEX(Catégories!$E$5:$E$60,MATCH(E728,Catégories!$A$5:$A$60,0)),0))</f>
        <v>0</v>
      </c>
    </row>
    <row r="729" customFormat="false" ht="15" hidden="false" customHeight="true" outlineLevel="0" collapsed="false">
      <c r="A729" s="34"/>
      <c r="B729" s="29" t="str">
        <f aca="false">IF(A729="","",YEAR(A729))</f>
        <v/>
      </c>
      <c r="G729" s="35"/>
      <c r="H729" s="32" t="str">
        <f aca="false">IF(E729="","",IFERROR(INDEX(Catégories!$B$5:$B$60,MATCH(E729,Catégories!$A$5:$A$60,0)),"?"))</f>
        <v/>
      </c>
      <c r="I729" s="32" t="str">
        <f aca="false">IF(E729="","",IFERROR(INDEX(Catégories!$C$5:$C$60,MATCH(E729,Catégories!$A$5:$A$60,0)),"?"))</f>
        <v/>
      </c>
      <c r="J729" s="32" t="str">
        <f aca="false">IF(E729="","",IFERROR(INDEX(Catégories!$D$5:$D$60,MATCH(E729,Catégories!$A$5:$A$60,0)),"?"))</f>
        <v/>
      </c>
      <c r="K729" s="33" t="n">
        <f aca="false">IF(H729="Recette",G729,IF(H729="Dépense",-G729,0))</f>
        <v>0</v>
      </c>
      <c r="L729" s="33" t="n">
        <f aca="false">IF(E729="",0,G729*IFERROR(INDEX(Catégories!$E$5:$E$60,MATCH(E729,Catégories!$A$5:$A$60,0)),0))</f>
        <v>0</v>
      </c>
    </row>
    <row r="730" customFormat="false" ht="15" hidden="false" customHeight="true" outlineLevel="0" collapsed="false">
      <c r="A730" s="34"/>
      <c r="B730" s="29" t="str">
        <f aca="false">IF(A730="","",YEAR(A730))</f>
        <v/>
      </c>
      <c r="G730" s="35"/>
      <c r="H730" s="32" t="str">
        <f aca="false">IF(E730="","",IFERROR(INDEX(Catégories!$B$5:$B$60,MATCH(E730,Catégories!$A$5:$A$60,0)),"?"))</f>
        <v/>
      </c>
      <c r="I730" s="32" t="str">
        <f aca="false">IF(E730="","",IFERROR(INDEX(Catégories!$C$5:$C$60,MATCH(E730,Catégories!$A$5:$A$60,0)),"?"))</f>
        <v/>
      </c>
      <c r="J730" s="32" t="str">
        <f aca="false">IF(E730="","",IFERROR(INDEX(Catégories!$D$5:$D$60,MATCH(E730,Catégories!$A$5:$A$60,0)),"?"))</f>
        <v/>
      </c>
      <c r="K730" s="33" t="n">
        <f aca="false">IF(H730="Recette",G730,IF(H730="Dépense",-G730,0))</f>
        <v>0</v>
      </c>
      <c r="L730" s="33" t="n">
        <f aca="false">IF(E730="",0,G730*IFERROR(INDEX(Catégories!$E$5:$E$60,MATCH(E730,Catégories!$A$5:$A$60,0)),0))</f>
        <v>0</v>
      </c>
    </row>
    <row r="731" customFormat="false" ht="15" hidden="false" customHeight="true" outlineLevel="0" collapsed="false">
      <c r="A731" s="34"/>
      <c r="B731" s="29" t="str">
        <f aca="false">IF(A731="","",YEAR(A731))</f>
        <v/>
      </c>
      <c r="G731" s="35"/>
      <c r="H731" s="32" t="str">
        <f aca="false">IF(E731="","",IFERROR(INDEX(Catégories!$B$5:$B$60,MATCH(E731,Catégories!$A$5:$A$60,0)),"?"))</f>
        <v/>
      </c>
      <c r="I731" s="32" t="str">
        <f aca="false">IF(E731="","",IFERROR(INDEX(Catégories!$C$5:$C$60,MATCH(E731,Catégories!$A$5:$A$60,0)),"?"))</f>
        <v/>
      </c>
      <c r="J731" s="32" t="str">
        <f aca="false">IF(E731="","",IFERROR(INDEX(Catégories!$D$5:$D$60,MATCH(E731,Catégories!$A$5:$A$60,0)),"?"))</f>
        <v/>
      </c>
      <c r="K731" s="33" t="n">
        <f aca="false">IF(H731="Recette",G731,IF(H731="Dépense",-G731,0))</f>
        <v>0</v>
      </c>
      <c r="L731" s="33" t="n">
        <f aca="false">IF(E731="",0,G731*IFERROR(INDEX(Catégories!$E$5:$E$60,MATCH(E731,Catégories!$A$5:$A$60,0)),0))</f>
        <v>0</v>
      </c>
    </row>
    <row r="732" customFormat="false" ht="15" hidden="false" customHeight="true" outlineLevel="0" collapsed="false">
      <c r="A732" s="34"/>
      <c r="B732" s="29" t="str">
        <f aca="false">IF(A732="","",YEAR(A732))</f>
        <v/>
      </c>
      <c r="G732" s="35"/>
      <c r="H732" s="32" t="str">
        <f aca="false">IF(E732="","",IFERROR(INDEX(Catégories!$B$5:$B$60,MATCH(E732,Catégories!$A$5:$A$60,0)),"?"))</f>
        <v/>
      </c>
      <c r="I732" s="32" t="str">
        <f aca="false">IF(E732="","",IFERROR(INDEX(Catégories!$C$5:$C$60,MATCH(E732,Catégories!$A$5:$A$60,0)),"?"))</f>
        <v/>
      </c>
      <c r="J732" s="32" t="str">
        <f aca="false">IF(E732="","",IFERROR(INDEX(Catégories!$D$5:$D$60,MATCH(E732,Catégories!$A$5:$A$60,0)),"?"))</f>
        <v/>
      </c>
      <c r="K732" s="33" t="n">
        <f aca="false">IF(H732="Recette",G732,IF(H732="Dépense",-G732,0))</f>
        <v>0</v>
      </c>
      <c r="L732" s="33" t="n">
        <f aca="false">IF(E732="",0,G732*IFERROR(INDEX(Catégories!$E$5:$E$60,MATCH(E732,Catégories!$A$5:$A$60,0)),0))</f>
        <v>0</v>
      </c>
    </row>
    <row r="733" customFormat="false" ht="15" hidden="false" customHeight="true" outlineLevel="0" collapsed="false">
      <c r="A733" s="34"/>
      <c r="B733" s="29" t="str">
        <f aca="false">IF(A733="","",YEAR(A733))</f>
        <v/>
      </c>
      <c r="G733" s="35"/>
      <c r="H733" s="32" t="str">
        <f aca="false">IF(E733="","",IFERROR(INDEX(Catégories!$B$5:$B$60,MATCH(E733,Catégories!$A$5:$A$60,0)),"?"))</f>
        <v/>
      </c>
      <c r="I733" s="32" t="str">
        <f aca="false">IF(E733="","",IFERROR(INDEX(Catégories!$C$5:$C$60,MATCH(E733,Catégories!$A$5:$A$60,0)),"?"))</f>
        <v/>
      </c>
      <c r="J733" s="32" t="str">
        <f aca="false">IF(E733="","",IFERROR(INDEX(Catégories!$D$5:$D$60,MATCH(E733,Catégories!$A$5:$A$60,0)),"?"))</f>
        <v/>
      </c>
      <c r="K733" s="33" t="n">
        <f aca="false">IF(H733="Recette",G733,IF(H733="Dépense",-G733,0))</f>
        <v>0</v>
      </c>
      <c r="L733" s="33" t="n">
        <f aca="false">IF(E733="",0,G733*IFERROR(INDEX(Catégories!$E$5:$E$60,MATCH(E733,Catégories!$A$5:$A$60,0)),0))</f>
        <v>0</v>
      </c>
    </row>
    <row r="734" customFormat="false" ht="15" hidden="false" customHeight="true" outlineLevel="0" collapsed="false">
      <c r="A734" s="34"/>
      <c r="B734" s="29" t="str">
        <f aca="false">IF(A734="","",YEAR(A734))</f>
        <v/>
      </c>
      <c r="G734" s="35"/>
      <c r="H734" s="32" t="str">
        <f aca="false">IF(E734="","",IFERROR(INDEX(Catégories!$B$5:$B$60,MATCH(E734,Catégories!$A$5:$A$60,0)),"?"))</f>
        <v/>
      </c>
      <c r="I734" s="32" t="str">
        <f aca="false">IF(E734="","",IFERROR(INDEX(Catégories!$C$5:$C$60,MATCH(E734,Catégories!$A$5:$A$60,0)),"?"))</f>
        <v/>
      </c>
      <c r="J734" s="32" t="str">
        <f aca="false">IF(E734="","",IFERROR(INDEX(Catégories!$D$5:$D$60,MATCH(E734,Catégories!$A$5:$A$60,0)),"?"))</f>
        <v/>
      </c>
      <c r="K734" s="33" t="n">
        <f aca="false">IF(H734="Recette",G734,IF(H734="Dépense",-G734,0))</f>
        <v>0</v>
      </c>
      <c r="L734" s="33" t="n">
        <f aca="false">IF(E734="",0,G734*IFERROR(INDEX(Catégories!$E$5:$E$60,MATCH(E734,Catégories!$A$5:$A$60,0)),0))</f>
        <v>0</v>
      </c>
    </row>
    <row r="735" customFormat="false" ht="15" hidden="false" customHeight="true" outlineLevel="0" collapsed="false">
      <c r="A735" s="34"/>
      <c r="B735" s="29" t="str">
        <f aca="false">IF(A735="","",YEAR(A735))</f>
        <v/>
      </c>
      <c r="G735" s="35"/>
      <c r="H735" s="32" t="str">
        <f aca="false">IF(E735="","",IFERROR(INDEX(Catégories!$B$5:$B$60,MATCH(E735,Catégories!$A$5:$A$60,0)),"?"))</f>
        <v/>
      </c>
      <c r="I735" s="32" t="str">
        <f aca="false">IF(E735="","",IFERROR(INDEX(Catégories!$C$5:$C$60,MATCH(E735,Catégories!$A$5:$A$60,0)),"?"))</f>
        <v/>
      </c>
      <c r="J735" s="32" t="str">
        <f aca="false">IF(E735="","",IFERROR(INDEX(Catégories!$D$5:$D$60,MATCH(E735,Catégories!$A$5:$A$60,0)),"?"))</f>
        <v/>
      </c>
      <c r="K735" s="33" t="n">
        <f aca="false">IF(H735="Recette",G735,IF(H735="Dépense",-G735,0))</f>
        <v>0</v>
      </c>
      <c r="L735" s="33" t="n">
        <f aca="false">IF(E735="",0,G735*IFERROR(INDEX(Catégories!$E$5:$E$60,MATCH(E735,Catégories!$A$5:$A$60,0)),0))</f>
        <v>0</v>
      </c>
    </row>
    <row r="736" customFormat="false" ht="15" hidden="false" customHeight="true" outlineLevel="0" collapsed="false">
      <c r="A736" s="34"/>
      <c r="B736" s="29" t="str">
        <f aca="false">IF(A736="","",YEAR(A736))</f>
        <v/>
      </c>
      <c r="G736" s="35"/>
      <c r="H736" s="32" t="str">
        <f aca="false">IF(E736="","",IFERROR(INDEX(Catégories!$B$5:$B$60,MATCH(E736,Catégories!$A$5:$A$60,0)),"?"))</f>
        <v/>
      </c>
      <c r="I736" s="32" t="str">
        <f aca="false">IF(E736="","",IFERROR(INDEX(Catégories!$C$5:$C$60,MATCH(E736,Catégories!$A$5:$A$60,0)),"?"))</f>
        <v/>
      </c>
      <c r="J736" s="32" t="str">
        <f aca="false">IF(E736="","",IFERROR(INDEX(Catégories!$D$5:$D$60,MATCH(E736,Catégories!$A$5:$A$60,0)),"?"))</f>
        <v/>
      </c>
      <c r="K736" s="33" t="n">
        <f aca="false">IF(H736="Recette",G736,IF(H736="Dépense",-G736,0))</f>
        <v>0</v>
      </c>
      <c r="L736" s="33" t="n">
        <f aca="false">IF(E736="",0,G736*IFERROR(INDEX(Catégories!$E$5:$E$60,MATCH(E736,Catégories!$A$5:$A$60,0)),0))</f>
        <v>0</v>
      </c>
    </row>
    <row r="737" customFormat="false" ht="15" hidden="false" customHeight="true" outlineLevel="0" collapsed="false">
      <c r="A737" s="34"/>
      <c r="B737" s="29" t="str">
        <f aca="false">IF(A737="","",YEAR(A737))</f>
        <v/>
      </c>
      <c r="G737" s="35"/>
      <c r="H737" s="32" t="str">
        <f aca="false">IF(E737="","",IFERROR(INDEX(Catégories!$B$5:$B$60,MATCH(E737,Catégories!$A$5:$A$60,0)),"?"))</f>
        <v/>
      </c>
      <c r="I737" s="32" t="str">
        <f aca="false">IF(E737="","",IFERROR(INDEX(Catégories!$C$5:$C$60,MATCH(E737,Catégories!$A$5:$A$60,0)),"?"))</f>
        <v/>
      </c>
      <c r="J737" s="32" t="str">
        <f aca="false">IF(E737="","",IFERROR(INDEX(Catégories!$D$5:$D$60,MATCH(E737,Catégories!$A$5:$A$60,0)),"?"))</f>
        <v/>
      </c>
      <c r="K737" s="33" t="n">
        <f aca="false">IF(H737="Recette",G737,IF(H737="Dépense",-G737,0))</f>
        <v>0</v>
      </c>
      <c r="L737" s="33" t="n">
        <f aca="false">IF(E737="",0,G737*IFERROR(INDEX(Catégories!$E$5:$E$60,MATCH(E737,Catégories!$A$5:$A$60,0)),0))</f>
        <v>0</v>
      </c>
    </row>
    <row r="738" customFormat="false" ht="15" hidden="false" customHeight="true" outlineLevel="0" collapsed="false">
      <c r="A738" s="34"/>
      <c r="B738" s="29" t="str">
        <f aca="false">IF(A738="","",YEAR(A738))</f>
        <v/>
      </c>
      <c r="G738" s="35"/>
      <c r="H738" s="32" t="str">
        <f aca="false">IF(E738="","",IFERROR(INDEX(Catégories!$B$5:$B$60,MATCH(E738,Catégories!$A$5:$A$60,0)),"?"))</f>
        <v/>
      </c>
      <c r="I738" s="32" t="str">
        <f aca="false">IF(E738="","",IFERROR(INDEX(Catégories!$C$5:$C$60,MATCH(E738,Catégories!$A$5:$A$60,0)),"?"))</f>
        <v/>
      </c>
      <c r="J738" s="32" t="str">
        <f aca="false">IF(E738="","",IFERROR(INDEX(Catégories!$D$5:$D$60,MATCH(E738,Catégories!$A$5:$A$60,0)),"?"))</f>
        <v/>
      </c>
      <c r="K738" s="33" t="n">
        <f aca="false">IF(H738="Recette",G738,IF(H738="Dépense",-G738,0))</f>
        <v>0</v>
      </c>
      <c r="L738" s="33" t="n">
        <f aca="false">IF(E738="",0,G738*IFERROR(INDEX(Catégories!$E$5:$E$60,MATCH(E738,Catégories!$A$5:$A$60,0)),0))</f>
        <v>0</v>
      </c>
    </row>
    <row r="739" customFormat="false" ht="15" hidden="false" customHeight="true" outlineLevel="0" collapsed="false">
      <c r="A739" s="34"/>
      <c r="B739" s="29" t="str">
        <f aca="false">IF(A739="","",YEAR(A739))</f>
        <v/>
      </c>
      <c r="G739" s="35"/>
      <c r="H739" s="32" t="str">
        <f aca="false">IF(E739="","",IFERROR(INDEX(Catégories!$B$5:$B$60,MATCH(E739,Catégories!$A$5:$A$60,0)),"?"))</f>
        <v/>
      </c>
      <c r="I739" s="32" t="str">
        <f aca="false">IF(E739="","",IFERROR(INDEX(Catégories!$C$5:$C$60,MATCH(E739,Catégories!$A$5:$A$60,0)),"?"))</f>
        <v/>
      </c>
      <c r="J739" s="32" t="str">
        <f aca="false">IF(E739="","",IFERROR(INDEX(Catégories!$D$5:$D$60,MATCH(E739,Catégories!$A$5:$A$60,0)),"?"))</f>
        <v/>
      </c>
      <c r="K739" s="33" t="n">
        <f aca="false">IF(H739="Recette",G739,IF(H739="Dépense",-G739,0))</f>
        <v>0</v>
      </c>
      <c r="L739" s="33" t="n">
        <f aca="false">IF(E739="",0,G739*IFERROR(INDEX(Catégories!$E$5:$E$60,MATCH(E739,Catégories!$A$5:$A$60,0)),0))</f>
        <v>0</v>
      </c>
    </row>
    <row r="740" customFormat="false" ht="15" hidden="false" customHeight="true" outlineLevel="0" collapsed="false">
      <c r="A740" s="34"/>
      <c r="B740" s="29" t="str">
        <f aca="false">IF(A740="","",YEAR(A740))</f>
        <v/>
      </c>
      <c r="G740" s="35"/>
      <c r="H740" s="32" t="str">
        <f aca="false">IF(E740="","",IFERROR(INDEX(Catégories!$B$5:$B$60,MATCH(E740,Catégories!$A$5:$A$60,0)),"?"))</f>
        <v/>
      </c>
      <c r="I740" s="32" t="str">
        <f aca="false">IF(E740="","",IFERROR(INDEX(Catégories!$C$5:$C$60,MATCH(E740,Catégories!$A$5:$A$60,0)),"?"))</f>
        <v/>
      </c>
      <c r="J740" s="32" t="str">
        <f aca="false">IF(E740="","",IFERROR(INDEX(Catégories!$D$5:$D$60,MATCH(E740,Catégories!$A$5:$A$60,0)),"?"))</f>
        <v/>
      </c>
      <c r="K740" s="33" t="n">
        <f aca="false">IF(H740="Recette",G740,IF(H740="Dépense",-G740,0))</f>
        <v>0</v>
      </c>
      <c r="L740" s="33" t="n">
        <f aca="false">IF(E740="",0,G740*IFERROR(INDEX(Catégories!$E$5:$E$60,MATCH(E740,Catégories!$A$5:$A$60,0)),0))</f>
        <v>0</v>
      </c>
    </row>
    <row r="741" customFormat="false" ht="15" hidden="false" customHeight="true" outlineLevel="0" collapsed="false">
      <c r="A741" s="34"/>
      <c r="B741" s="29" t="str">
        <f aca="false">IF(A741="","",YEAR(A741))</f>
        <v/>
      </c>
      <c r="G741" s="35"/>
      <c r="H741" s="32" t="str">
        <f aca="false">IF(E741="","",IFERROR(INDEX(Catégories!$B$5:$B$60,MATCH(E741,Catégories!$A$5:$A$60,0)),"?"))</f>
        <v/>
      </c>
      <c r="I741" s="32" t="str">
        <f aca="false">IF(E741="","",IFERROR(INDEX(Catégories!$C$5:$C$60,MATCH(E741,Catégories!$A$5:$A$60,0)),"?"))</f>
        <v/>
      </c>
      <c r="J741" s="32" t="str">
        <f aca="false">IF(E741="","",IFERROR(INDEX(Catégories!$D$5:$D$60,MATCH(E741,Catégories!$A$5:$A$60,0)),"?"))</f>
        <v/>
      </c>
      <c r="K741" s="33" t="n">
        <f aca="false">IF(H741="Recette",G741,IF(H741="Dépense",-G741,0))</f>
        <v>0</v>
      </c>
      <c r="L741" s="33" t="n">
        <f aca="false">IF(E741="",0,G741*IFERROR(INDEX(Catégories!$E$5:$E$60,MATCH(E741,Catégories!$A$5:$A$60,0)),0))</f>
        <v>0</v>
      </c>
    </row>
    <row r="742" customFormat="false" ht="15" hidden="false" customHeight="true" outlineLevel="0" collapsed="false">
      <c r="A742" s="34"/>
      <c r="B742" s="29" t="str">
        <f aca="false">IF(A742="","",YEAR(A742))</f>
        <v/>
      </c>
      <c r="G742" s="35"/>
      <c r="H742" s="32" t="str">
        <f aca="false">IF(E742="","",IFERROR(INDEX(Catégories!$B$5:$B$60,MATCH(E742,Catégories!$A$5:$A$60,0)),"?"))</f>
        <v/>
      </c>
      <c r="I742" s="32" t="str">
        <f aca="false">IF(E742="","",IFERROR(INDEX(Catégories!$C$5:$C$60,MATCH(E742,Catégories!$A$5:$A$60,0)),"?"))</f>
        <v/>
      </c>
      <c r="J742" s="32" t="str">
        <f aca="false">IF(E742="","",IFERROR(INDEX(Catégories!$D$5:$D$60,MATCH(E742,Catégories!$A$5:$A$60,0)),"?"))</f>
        <v/>
      </c>
      <c r="K742" s="33" t="n">
        <f aca="false">IF(H742="Recette",G742,IF(H742="Dépense",-G742,0))</f>
        <v>0</v>
      </c>
      <c r="L742" s="33" t="n">
        <f aca="false">IF(E742="",0,G742*IFERROR(INDEX(Catégories!$E$5:$E$60,MATCH(E742,Catégories!$A$5:$A$60,0)),0))</f>
        <v>0</v>
      </c>
    </row>
    <row r="743" customFormat="false" ht="15" hidden="false" customHeight="true" outlineLevel="0" collapsed="false">
      <c r="A743" s="34"/>
      <c r="B743" s="29" t="str">
        <f aca="false">IF(A743="","",YEAR(A743))</f>
        <v/>
      </c>
      <c r="G743" s="35"/>
      <c r="H743" s="32" t="str">
        <f aca="false">IF(E743="","",IFERROR(INDEX(Catégories!$B$5:$B$60,MATCH(E743,Catégories!$A$5:$A$60,0)),"?"))</f>
        <v/>
      </c>
      <c r="I743" s="32" t="str">
        <f aca="false">IF(E743="","",IFERROR(INDEX(Catégories!$C$5:$C$60,MATCH(E743,Catégories!$A$5:$A$60,0)),"?"))</f>
        <v/>
      </c>
      <c r="J743" s="32" t="str">
        <f aca="false">IF(E743="","",IFERROR(INDEX(Catégories!$D$5:$D$60,MATCH(E743,Catégories!$A$5:$A$60,0)),"?"))</f>
        <v/>
      </c>
      <c r="K743" s="33" t="n">
        <f aca="false">IF(H743="Recette",G743,IF(H743="Dépense",-G743,0))</f>
        <v>0</v>
      </c>
      <c r="L743" s="33" t="n">
        <f aca="false">IF(E743="",0,G743*IFERROR(INDEX(Catégories!$E$5:$E$60,MATCH(E743,Catégories!$A$5:$A$60,0)),0))</f>
        <v>0</v>
      </c>
    </row>
    <row r="744" customFormat="false" ht="15" hidden="false" customHeight="true" outlineLevel="0" collapsed="false">
      <c r="A744" s="34"/>
      <c r="B744" s="29" t="str">
        <f aca="false">IF(A744="","",YEAR(A744))</f>
        <v/>
      </c>
      <c r="G744" s="35"/>
      <c r="H744" s="32" t="str">
        <f aca="false">IF(E744="","",IFERROR(INDEX(Catégories!$B$5:$B$60,MATCH(E744,Catégories!$A$5:$A$60,0)),"?"))</f>
        <v/>
      </c>
      <c r="I744" s="32" t="str">
        <f aca="false">IF(E744="","",IFERROR(INDEX(Catégories!$C$5:$C$60,MATCH(E744,Catégories!$A$5:$A$60,0)),"?"))</f>
        <v/>
      </c>
      <c r="J744" s="32" t="str">
        <f aca="false">IF(E744="","",IFERROR(INDEX(Catégories!$D$5:$D$60,MATCH(E744,Catégories!$A$5:$A$60,0)),"?"))</f>
        <v/>
      </c>
      <c r="K744" s="33" t="n">
        <f aca="false">IF(H744="Recette",G744,IF(H744="Dépense",-G744,0))</f>
        <v>0</v>
      </c>
      <c r="L744" s="33" t="n">
        <f aca="false">IF(E744="",0,G744*IFERROR(INDEX(Catégories!$E$5:$E$60,MATCH(E744,Catégories!$A$5:$A$60,0)),0))</f>
        <v>0</v>
      </c>
    </row>
    <row r="745" customFormat="false" ht="15" hidden="false" customHeight="true" outlineLevel="0" collapsed="false">
      <c r="A745" s="34"/>
      <c r="B745" s="29" t="str">
        <f aca="false">IF(A745="","",YEAR(A745))</f>
        <v/>
      </c>
      <c r="G745" s="35"/>
      <c r="H745" s="32" t="str">
        <f aca="false">IF(E745="","",IFERROR(INDEX(Catégories!$B$5:$B$60,MATCH(E745,Catégories!$A$5:$A$60,0)),"?"))</f>
        <v/>
      </c>
      <c r="I745" s="32" t="str">
        <f aca="false">IF(E745="","",IFERROR(INDEX(Catégories!$C$5:$C$60,MATCH(E745,Catégories!$A$5:$A$60,0)),"?"))</f>
        <v/>
      </c>
      <c r="J745" s="32" t="str">
        <f aca="false">IF(E745="","",IFERROR(INDEX(Catégories!$D$5:$D$60,MATCH(E745,Catégories!$A$5:$A$60,0)),"?"))</f>
        <v/>
      </c>
      <c r="K745" s="33" t="n">
        <f aca="false">IF(H745="Recette",G745,IF(H745="Dépense",-G745,0))</f>
        <v>0</v>
      </c>
      <c r="L745" s="33" t="n">
        <f aca="false">IF(E745="",0,G745*IFERROR(INDEX(Catégories!$E$5:$E$60,MATCH(E745,Catégories!$A$5:$A$60,0)),0))</f>
        <v>0</v>
      </c>
    </row>
    <row r="746" customFormat="false" ht="15" hidden="false" customHeight="true" outlineLevel="0" collapsed="false">
      <c r="A746" s="34"/>
      <c r="B746" s="29" t="str">
        <f aca="false">IF(A746="","",YEAR(A746))</f>
        <v/>
      </c>
      <c r="G746" s="35"/>
      <c r="H746" s="32" t="str">
        <f aca="false">IF(E746="","",IFERROR(INDEX(Catégories!$B$5:$B$60,MATCH(E746,Catégories!$A$5:$A$60,0)),"?"))</f>
        <v/>
      </c>
      <c r="I746" s="32" t="str">
        <f aca="false">IF(E746="","",IFERROR(INDEX(Catégories!$C$5:$C$60,MATCH(E746,Catégories!$A$5:$A$60,0)),"?"))</f>
        <v/>
      </c>
      <c r="J746" s="32" t="str">
        <f aca="false">IF(E746="","",IFERROR(INDEX(Catégories!$D$5:$D$60,MATCH(E746,Catégories!$A$5:$A$60,0)),"?"))</f>
        <v/>
      </c>
      <c r="K746" s="33" t="n">
        <f aca="false">IF(H746="Recette",G746,IF(H746="Dépense",-G746,0))</f>
        <v>0</v>
      </c>
      <c r="L746" s="33" t="n">
        <f aca="false">IF(E746="",0,G746*IFERROR(INDEX(Catégories!$E$5:$E$60,MATCH(E746,Catégories!$A$5:$A$60,0)),0))</f>
        <v>0</v>
      </c>
    </row>
    <row r="747" customFormat="false" ht="15" hidden="false" customHeight="true" outlineLevel="0" collapsed="false">
      <c r="A747" s="34"/>
      <c r="B747" s="29" t="str">
        <f aca="false">IF(A747="","",YEAR(A747))</f>
        <v/>
      </c>
      <c r="G747" s="35"/>
      <c r="H747" s="32" t="str">
        <f aca="false">IF(E747="","",IFERROR(INDEX(Catégories!$B$5:$B$60,MATCH(E747,Catégories!$A$5:$A$60,0)),"?"))</f>
        <v/>
      </c>
      <c r="I747" s="32" t="str">
        <f aca="false">IF(E747="","",IFERROR(INDEX(Catégories!$C$5:$C$60,MATCH(E747,Catégories!$A$5:$A$60,0)),"?"))</f>
        <v/>
      </c>
      <c r="J747" s="32" t="str">
        <f aca="false">IF(E747="","",IFERROR(INDEX(Catégories!$D$5:$D$60,MATCH(E747,Catégories!$A$5:$A$60,0)),"?"))</f>
        <v/>
      </c>
      <c r="K747" s="33" t="n">
        <f aca="false">IF(H747="Recette",G747,IF(H747="Dépense",-G747,0))</f>
        <v>0</v>
      </c>
      <c r="L747" s="33" t="n">
        <f aca="false">IF(E747="",0,G747*IFERROR(INDEX(Catégories!$E$5:$E$60,MATCH(E747,Catégories!$A$5:$A$60,0)),0))</f>
        <v>0</v>
      </c>
    </row>
    <row r="748" customFormat="false" ht="15" hidden="false" customHeight="true" outlineLevel="0" collapsed="false">
      <c r="A748" s="34"/>
      <c r="B748" s="29" t="str">
        <f aca="false">IF(A748="","",YEAR(A748))</f>
        <v/>
      </c>
      <c r="G748" s="35"/>
      <c r="H748" s="32" t="str">
        <f aca="false">IF(E748="","",IFERROR(INDEX(Catégories!$B$5:$B$60,MATCH(E748,Catégories!$A$5:$A$60,0)),"?"))</f>
        <v/>
      </c>
      <c r="I748" s="32" t="str">
        <f aca="false">IF(E748="","",IFERROR(INDEX(Catégories!$C$5:$C$60,MATCH(E748,Catégories!$A$5:$A$60,0)),"?"))</f>
        <v/>
      </c>
      <c r="J748" s="32" t="str">
        <f aca="false">IF(E748="","",IFERROR(INDEX(Catégories!$D$5:$D$60,MATCH(E748,Catégories!$A$5:$A$60,0)),"?"))</f>
        <v/>
      </c>
      <c r="K748" s="33" t="n">
        <f aca="false">IF(H748="Recette",G748,IF(H748="Dépense",-G748,0))</f>
        <v>0</v>
      </c>
      <c r="L748" s="33" t="n">
        <f aca="false">IF(E748="",0,G748*IFERROR(INDEX(Catégories!$E$5:$E$60,MATCH(E748,Catégories!$A$5:$A$60,0)),0))</f>
        <v>0</v>
      </c>
    </row>
    <row r="749" customFormat="false" ht="15" hidden="false" customHeight="true" outlineLevel="0" collapsed="false">
      <c r="A749" s="34"/>
      <c r="B749" s="29" t="str">
        <f aca="false">IF(A749="","",YEAR(A749))</f>
        <v/>
      </c>
      <c r="G749" s="35"/>
      <c r="H749" s="32" t="str">
        <f aca="false">IF(E749="","",IFERROR(INDEX(Catégories!$B$5:$B$60,MATCH(E749,Catégories!$A$5:$A$60,0)),"?"))</f>
        <v/>
      </c>
      <c r="I749" s="32" t="str">
        <f aca="false">IF(E749="","",IFERROR(INDEX(Catégories!$C$5:$C$60,MATCH(E749,Catégories!$A$5:$A$60,0)),"?"))</f>
        <v/>
      </c>
      <c r="J749" s="32" t="str">
        <f aca="false">IF(E749="","",IFERROR(INDEX(Catégories!$D$5:$D$60,MATCH(E749,Catégories!$A$5:$A$60,0)),"?"))</f>
        <v/>
      </c>
      <c r="K749" s="33" t="n">
        <f aca="false">IF(H749="Recette",G749,IF(H749="Dépense",-G749,0))</f>
        <v>0</v>
      </c>
      <c r="L749" s="33" t="n">
        <f aca="false">IF(E749="",0,G749*IFERROR(INDEX(Catégories!$E$5:$E$60,MATCH(E749,Catégories!$A$5:$A$60,0)),0))</f>
        <v>0</v>
      </c>
    </row>
    <row r="750" customFormat="false" ht="15" hidden="false" customHeight="true" outlineLevel="0" collapsed="false">
      <c r="A750" s="34"/>
      <c r="B750" s="29" t="str">
        <f aca="false">IF(A750="","",YEAR(A750))</f>
        <v/>
      </c>
      <c r="G750" s="35"/>
      <c r="H750" s="32" t="str">
        <f aca="false">IF(E750="","",IFERROR(INDEX(Catégories!$B$5:$B$60,MATCH(E750,Catégories!$A$5:$A$60,0)),"?"))</f>
        <v/>
      </c>
      <c r="I750" s="32" t="str">
        <f aca="false">IF(E750="","",IFERROR(INDEX(Catégories!$C$5:$C$60,MATCH(E750,Catégories!$A$5:$A$60,0)),"?"))</f>
        <v/>
      </c>
      <c r="J750" s="32" t="str">
        <f aca="false">IF(E750="","",IFERROR(INDEX(Catégories!$D$5:$D$60,MATCH(E750,Catégories!$A$5:$A$60,0)),"?"))</f>
        <v/>
      </c>
      <c r="K750" s="33" t="n">
        <f aca="false">IF(H750="Recette",G750,IF(H750="Dépense",-G750,0))</f>
        <v>0</v>
      </c>
      <c r="L750" s="33" t="n">
        <f aca="false">IF(E750="",0,G750*IFERROR(INDEX(Catégories!$E$5:$E$60,MATCH(E750,Catégories!$A$5:$A$60,0)),0))</f>
        <v>0</v>
      </c>
    </row>
    <row r="751" customFormat="false" ht="15" hidden="false" customHeight="true" outlineLevel="0" collapsed="false">
      <c r="A751" s="34"/>
      <c r="B751" s="29" t="str">
        <f aca="false">IF(A751="","",YEAR(A751))</f>
        <v/>
      </c>
      <c r="G751" s="35"/>
      <c r="H751" s="32" t="str">
        <f aca="false">IF(E751="","",IFERROR(INDEX(Catégories!$B$5:$B$60,MATCH(E751,Catégories!$A$5:$A$60,0)),"?"))</f>
        <v/>
      </c>
      <c r="I751" s="32" t="str">
        <f aca="false">IF(E751="","",IFERROR(INDEX(Catégories!$C$5:$C$60,MATCH(E751,Catégories!$A$5:$A$60,0)),"?"))</f>
        <v/>
      </c>
      <c r="J751" s="32" t="str">
        <f aca="false">IF(E751="","",IFERROR(INDEX(Catégories!$D$5:$D$60,MATCH(E751,Catégories!$A$5:$A$60,0)),"?"))</f>
        <v/>
      </c>
      <c r="K751" s="33" t="n">
        <f aca="false">IF(H751="Recette",G751,IF(H751="Dépense",-G751,0))</f>
        <v>0</v>
      </c>
      <c r="L751" s="33" t="n">
        <f aca="false">IF(E751="",0,G751*IFERROR(INDEX(Catégories!$E$5:$E$60,MATCH(E751,Catégories!$A$5:$A$60,0)),0))</f>
        <v>0</v>
      </c>
    </row>
    <row r="752" customFormat="false" ht="15" hidden="false" customHeight="true" outlineLevel="0" collapsed="false">
      <c r="A752" s="34"/>
      <c r="B752" s="29" t="str">
        <f aca="false">IF(A752="","",YEAR(A752))</f>
        <v/>
      </c>
      <c r="G752" s="35"/>
      <c r="H752" s="32" t="str">
        <f aca="false">IF(E752="","",IFERROR(INDEX(Catégories!$B$5:$B$60,MATCH(E752,Catégories!$A$5:$A$60,0)),"?"))</f>
        <v/>
      </c>
      <c r="I752" s="32" t="str">
        <f aca="false">IF(E752="","",IFERROR(INDEX(Catégories!$C$5:$C$60,MATCH(E752,Catégories!$A$5:$A$60,0)),"?"))</f>
        <v/>
      </c>
      <c r="J752" s="32" t="str">
        <f aca="false">IF(E752="","",IFERROR(INDEX(Catégories!$D$5:$D$60,MATCH(E752,Catégories!$A$5:$A$60,0)),"?"))</f>
        <v/>
      </c>
      <c r="K752" s="33" t="n">
        <f aca="false">IF(H752="Recette",G752,IF(H752="Dépense",-G752,0))</f>
        <v>0</v>
      </c>
      <c r="L752" s="33" t="n">
        <f aca="false">IF(E752="",0,G752*IFERROR(INDEX(Catégories!$E$5:$E$60,MATCH(E752,Catégories!$A$5:$A$60,0)),0))</f>
        <v>0</v>
      </c>
    </row>
    <row r="753" customFormat="false" ht="15" hidden="false" customHeight="true" outlineLevel="0" collapsed="false">
      <c r="A753" s="34"/>
      <c r="B753" s="29" t="str">
        <f aca="false">IF(A753="","",YEAR(A753))</f>
        <v/>
      </c>
      <c r="G753" s="35"/>
      <c r="H753" s="32" t="str">
        <f aca="false">IF(E753="","",IFERROR(INDEX(Catégories!$B$5:$B$60,MATCH(E753,Catégories!$A$5:$A$60,0)),"?"))</f>
        <v/>
      </c>
      <c r="I753" s="32" t="str">
        <f aca="false">IF(E753="","",IFERROR(INDEX(Catégories!$C$5:$C$60,MATCH(E753,Catégories!$A$5:$A$60,0)),"?"))</f>
        <v/>
      </c>
      <c r="J753" s="32" t="str">
        <f aca="false">IF(E753="","",IFERROR(INDEX(Catégories!$D$5:$D$60,MATCH(E753,Catégories!$A$5:$A$60,0)),"?"))</f>
        <v/>
      </c>
      <c r="K753" s="33" t="n">
        <f aca="false">IF(H753="Recette",G753,IF(H753="Dépense",-G753,0))</f>
        <v>0</v>
      </c>
      <c r="L753" s="33" t="n">
        <f aca="false">IF(E753="",0,G753*IFERROR(INDEX(Catégories!$E$5:$E$60,MATCH(E753,Catégories!$A$5:$A$60,0)),0))</f>
        <v>0</v>
      </c>
    </row>
    <row r="754" customFormat="false" ht="15" hidden="false" customHeight="true" outlineLevel="0" collapsed="false">
      <c r="A754" s="34"/>
      <c r="B754" s="29" t="str">
        <f aca="false">IF(A754="","",YEAR(A754))</f>
        <v/>
      </c>
      <c r="G754" s="35"/>
      <c r="H754" s="32" t="str">
        <f aca="false">IF(E754="","",IFERROR(INDEX(Catégories!$B$5:$B$60,MATCH(E754,Catégories!$A$5:$A$60,0)),"?"))</f>
        <v/>
      </c>
      <c r="I754" s="32" t="str">
        <f aca="false">IF(E754="","",IFERROR(INDEX(Catégories!$C$5:$C$60,MATCH(E754,Catégories!$A$5:$A$60,0)),"?"))</f>
        <v/>
      </c>
      <c r="J754" s="32" t="str">
        <f aca="false">IF(E754="","",IFERROR(INDEX(Catégories!$D$5:$D$60,MATCH(E754,Catégories!$A$5:$A$60,0)),"?"))</f>
        <v/>
      </c>
      <c r="K754" s="33" t="n">
        <f aca="false">IF(H754="Recette",G754,IF(H754="Dépense",-G754,0))</f>
        <v>0</v>
      </c>
      <c r="L754" s="33" t="n">
        <f aca="false">IF(E754="",0,G754*IFERROR(INDEX(Catégories!$E$5:$E$60,MATCH(E754,Catégories!$A$5:$A$60,0)),0))</f>
        <v>0</v>
      </c>
    </row>
    <row r="755" customFormat="false" ht="15" hidden="false" customHeight="true" outlineLevel="0" collapsed="false">
      <c r="A755" s="34"/>
      <c r="B755" s="29" t="str">
        <f aca="false">IF(A755="","",YEAR(A755))</f>
        <v/>
      </c>
      <c r="G755" s="35"/>
      <c r="H755" s="32" t="str">
        <f aca="false">IF(E755="","",IFERROR(INDEX(Catégories!$B$5:$B$60,MATCH(E755,Catégories!$A$5:$A$60,0)),"?"))</f>
        <v/>
      </c>
      <c r="I755" s="32" t="str">
        <f aca="false">IF(E755="","",IFERROR(INDEX(Catégories!$C$5:$C$60,MATCH(E755,Catégories!$A$5:$A$60,0)),"?"))</f>
        <v/>
      </c>
      <c r="J755" s="32" t="str">
        <f aca="false">IF(E755="","",IFERROR(INDEX(Catégories!$D$5:$D$60,MATCH(E755,Catégories!$A$5:$A$60,0)),"?"))</f>
        <v/>
      </c>
      <c r="K755" s="33" t="n">
        <f aca="false">IF(H755="Recette",G755,IF(H755="Dépense",-G755,0))</f>
        <v>0</v>
      </c>
      <c r="L755" s="33" t="n">
        <f aca="false">IF(E755="",0,G755*IFERROR(INDEX(Catégories!$E$5:$E$60,MATCH(E755,Catégories!$A$5:$A$60,0)),0))</f>
        <v>0</v>
      </c>
    </row>
    <row r="756" customFormat="false" ht="15" hidden="false" customHeight="true" outlineLevel="0" collapsed="false">
      <c r="A756" s="34"/>
      <c r="B756" s="29" t="str">
        <f aca="false">IF(A756="","",YEAR(A756))</f>
        <v/>
      </c>
      <c r="G756" s="35"/>
      <c r="H756" s="32" t="str">
        <f aca="false">IF(E756="","",IFERROR(INDEX(Catégories!$B$5:$B$60,MATCH(E756,Catégories!$A$5:$A$60,0)),"?"))</f>
        <v/>
      </c>
      <c r="I756" s="32" t="str">
        <f aca="false">IF(E756="","",IFERROR(INDEX(Catégories!$C$5:$C$60,MATCH(E756,Catégories!$A$5:$A$60,0)),"?"))</f>
        <v/>
      </c>
      <c r="J756" s="32" t="str">
        <f aca="false">IF(E756="","",IFERROR(INDEX(Catégories!$D$5:$D$60,MATCH(E756,Catégories!$A$5:$A$60,0)),"?"))</f>
        <v/>
      </c>
      <c r="K756" s="33" t="n">
        <f aca="false">IF(H756="Recette",G756,IF(H756="Dépense",-G756,0))</f>
        <v>0</v>
      </c>
      <c r="L756" s="33" t="n">
        <f aca="false">IF(E756="",0,G756*IFERROR(INDEX(Catégories!$E$5:$E$60,MATCH(E756,Catégories!$A$5:$A$60,0)),0))</f>
        <v>0</v>
      </c>
    </row>
    <row r="757" customFormat="false" ht="15" hidden="false" customHeight="true" outlineLevel="0" collapsed="false">
      <c r="A757" s="34"/>
      <c r="B757" s="29" t="str">
        <f aca="false">IF(A757="","",YEAR(A757))</f>
        <v/>
      </c>
      <c r="G757" s="35"/>
      <c r="H757" s="32" t="str">
        <f aca="false">IF(E757="","",IFERROR(INDEX(Catégories!$B$5:$B$60,MATCH(E757,Catégories!$A$5:$A$60,0)),"?"))</f>
        <v/>
      </c>
      <c r="I757" s="32" t="str">
        <f aca="false">IF(E757="","",IFERROR(INDEX(Catégories!$C$5:$C$60,MATCH(E757,Catégories!$A$5:$A$60,0)),"?"))</f>
        <v/>
      </c>
      <c r="J757" s="32" t="str">
        <f aca="false">IF(E757="","",IFERROR(INDEX(Catégories!$D$5:$D$60,MATCH(E757,Catégories!$A$5:$A$60,0)),"?"))</f>
        <v/>
      </c>
      <c r="K757" s="33" t="n">
        <f aca="false">IF(H757="Recette",G757,IF(H757="Dépense",-G757,0))</f>
        <v>0</v>
      </c>
      <c r="L757" s="33" t="n">
        <f aca="false">IF(E757="",0,G757*IFERROR(INDEX(Catégories!$E$5:$E$60,MATCH(E757,Catégories!$A$5:$A$60,0)),0))</f>
        <v>0</v>
      </c>
    </row>
    <row r="758" customFormat="false" ht="15" hidden="false" customHeight="true" outlineLevel="0" collapsed="false">
      <c r="A758" s="34"/>
      <c r="B758" s="29" t="str">
        <f aca="false">IF(A758="","",YEAR(A758))</f>
        <v/>
      </c>
      <c r="G758" s="35"/>
      <c r="H758" s="32" t="str">
        <f aca="false">IF(E758="","",IFERROR(INDEX(Catégories!$B$5:$B$60,MATCH(E758,Catégories!$A$5:$A$60,0)),"?"))</f>
        <v/>
      </c>
      <c r="I758" s="32" t="str">
        <f aca="false">IF(E758="","",IFERROR(INDEX(Catégories!$C$5:$C$60,MATCH(E758,Catégories!$A$5:$A$60,0)),"?"))</f>
        <v/>
      </c>
      <c r="J758" s="32" t="str">
        <f aca="false">IF(E758="","",IFERROR(INDEX(Catégories!$D$5:$D$60,MATCH(E758,Catégories!$A$5:$A$60,0)),"?"))</f>
        <v/>
      </c>
      <c r="K758" s="33" t="n">
        <f aca="false">IF(H758="Recette",G758,IF(H758="Dépense",-G758,0))</f>
        <v>0</v>
      </c>
      <c r="L758" s="33" t="n">
        <f aca="false">IF(E758="",0,G758*IFERROR(INDEX(Catégories!$E$5:$E$60,MATCH(E758,Catégories!$A$5:$A$60,0)),0))</f>
        <v>0</v>
      </c>
    </row>
    <row r="759" customFormat="false" ht="15" hidden="false" customHeight="true" outlineLevel="0" collapsed="false">
      <c r="A759" s="34"/>
      <c r="B759" s="29" t="str">
        <f aca="false">IF(A759="","",YEAR(A759))</f>
        <v/>
      </c>
      <c r="G759" s="35"/>
      <c r="H759" s="32" t="str">
        <f aca="false">IF(E759="","",IFERROR(INDEX(Catégories!$B$5:$B$60,MATCH(E759,Catégories!$A$5:$A$60,0)),"?"))</f>
        <v/>
      </c>
      <c r="I759" s="32" t="str">
        <f aca="false">IF(E759="","",IFERROR(INDEX(Catégories!$C$5:$C$60,MATCH(E759,Catégories!$A$5:$A$60,0)),"?"))</f>
        <v/>
      </c>
      <c r="J759" s="32" t="str">
        <f aca="false">IF(E759="","",IFERROR(INDEX(Catégories!$D$5:$D$60,MATCH(E759,Catégories!$A$5:$A$60,0)),"?"))</f>
        <v/>
      </c>
      <c r="K759" s="33" t="n">
        <f aca="false">IF(H759="Recette",G759,IF(H759="Dépense",-G759,0))</f>
        <v>0</v>
      </c>
      <c r="L759" s="33" t="n">
        <f aca="false">IF(E759="",0,G759*IFERROR(INDEX(Catégories!$E$5:$E$60,MATCH(E759,Catégories!$A$5:$A$60,0)),0))</f>
        <v>0</v>
      </c>
    </row>
    <row r="760" customFormat="false" ht="15" hidden="false" customHeight="true" outlineLevel="0" collapsed="false">
      <c r="A760" s="34"/>
      <c r="B760" s="29" t="str">
        <f aca="false">IF(A760="","",YEAR(A760))</f>
        <v/>
      </c>
      <c r="G760" s="35"/>
      <c r="H760" s="32" t="str">
        <f aca="false">IF(E760="","",IFERROR(INDEX(Catégories!$B$5:$B$60,MATCH(E760,Catégories!$A$5:$A$60,0)),"?"))</f>
        <v/>
      </c>
      <c r="I760" s="32" t="str">
        <f aca="false">IF(E760="","",IFERROR(INDEX(Catégories!$C$5:$C$60,MATCH(E760,Catégories!$A$5:$A$60,0)),"?"))</f>
        <v/>
      </c>
      <c r="J760" s="32" t="str">
        <f aca="false">IF(E760="","",IFERROR(INDEX(Catégories!$D$5:$D$60,MATCH(E760,Catégories!$A$5:$A$60,0)),"?"))</f>
        <v/>
      </c>
      <c r="K760" s="33" t="n">
        <f aca="false">IF(H760="Recette",G760,IF(H760="Dépense",-G760,0))</f>
        <v>0</v>
      </c>
      <c r="L760" s="33" t="n">
        <f aca="false">IF(E760="",0,G760*IFERROR(INDEX(Catégories!$E$5:$E$60,MATCH(E760,Catégories!$A$5:$A$60,0)),0))</f>
        <v>0</v>
      </c>
    </row>
    <row r="761" customFormat="false" ht="15" hidden="false" customHeight="true" outlineLevel="0" collapsed="false">
      <c r="A761" s="34"/>
      <c r="B761" s="29" t="str">
        <f aca="false">IF(A761="","",YEAR(A761))</f>
        <v/>
      </c>
      <c r="G761" s="35"/>
      <c r="H761" s="32" t="str">
        <f aca="false">IF(E761="","",IFERROR(INDEX(Catégories!$B$5:$B$60,MATCH(E761,Catégories!$A$5:$A$60,0)),"?"))</f>
        <v/>
      </c>
      <c r="I761" s="32" t="str">
        <f aca="false">IF(E761="","",IFERROR(INDEX(Catégories!$C$5:$C$60,MATCH(E761,Catégories!$A$5:$A$60,0)),"?"))</f>
        <v/>
      </c>
      <c r="J761" s="32" t="str">
        <f aca="false">IF(E761="","",IFERROR(INDEX(Catégories!$D$5:$D$60,MATCH(E761,Catégories!$A$5:$A$60,0)),"?"))</f>
        <v/>
      </c>
      <c r="K761" s="33" t="n">
        <f aca="false">IF(H761="Recette",G761,IF(H761="Dépense",-G761,0))</f>
        <v>0</v>
      </c>
      <c r="L761" s="33" t="n">
        <f aca="false">IF(E761="",0,G761*IFERROR(INDEX(Catégories!$E$5:$E$60,MATCH(E761,Catégories!$A$5:$A$60,0)),0))</f>
        <v>0</v>
      </c>
    </row>
    <row r="762" customFormat="false" ht="15" hidden="false" customHeight="true" outlineLevel="0" collapsed="false">
      <c r="A762" s="34"/>
      <c r="B762" s="29" t="str">
        <f aca="false">IF(A762="","",YEAR(A762))</f>
        <v/>
      </c>
      <c r="G762" s="35"/>
      <c r="H762" s="32" t="str">
        <f aca="false">IF(E762="","",IFERROR(INDEX(Catégories!$B$5:$B$60,MATCH(E762,Catégories!$A$5:$A$60,0)),"?"))</f>
        <v/>
      </c>
      <c r="I762" s="32" t="str">
        <f aca="false">IF(E762="","",IFERROR(INDEX(Catégories!$C$5:$C$60,MATCH(E762,Catégories!$A$5:$A$60,0)),"?"))</f>
        <v/>
      </c>
      <c r="J762" s="32" t="str">
        <f aca="false">IF(E762="","",IFERROR(INDEX(Catégories!$D$5:$D$60,MATCH(E762,Catégories!$A$5:$A$60,0)),"?"))</f>
        <v/>
      </c>
      <c r="K762" s="33" t="n">
        <f aca="false">IF(H762="Recette",G762,IF(H762="Dépense",-G762,0))</f>
        <v>0</v>
      </c>
      <c r="L762" s="33" t="n">
        <f aca="false">IF(E762="",0,G762*IFERROR(INDEX(Catégories!$E$5:$E$60,MATCH(E762,Catégories!$A$5:$A$60,0)),0))</f>
        <v>0</v>
      </c>
    </row>
    <row r="763" customFormat="false" ht="15" hidden="false" customHeight="true" outlineLevel="0" collapsed="false">
      <c r="A763" s="34"/>
      <c r="B763" s="29" t="str">
        <f aca="false">IF(A763="","",YEAR(A763))</f>
        <v/>
      </c>
      <c r="G763" s="35"/>
      <c r="H763" s="32" t="str">
        <f aca="false">IF(E763="","",IFERROR(INDEX(Catégories!$B$5:$B$60,MATCH(E763,Catégories!$A$5:$A$60,0)),"?"))</f>
        <v/>
      </c>
      <c r="I763" s="32" t="str">
        <f aca="false">IF(E763="","",IFERROR(INDEX(Catégories!$C$5:$C$60,MATCH(E763,Catégories!$A$5:$A$60,0)),"?"))</f>
        <v/>
      </c>
      <c r="J763" s="32" t="str">
        <f aca="false">IF(E763="","",IFERROR(INDEX(Catégories!$D$5:$D$60,MATCH(E763,Catégories!$A$5:$A$60,0)),"?"))</f>
        <v/>
      </c>
      <c r="K763" s="33" t="n">
        <f aca="false">IF(H763="Recette",G763,IF(H763="Dépense",-G763,0))</f>
        <v>0</v>
      </c>
      <c r="L763" s="33" t="n">
        <f aca="false">IF(E763="",0,G763*IFERROR(INDEX(Catégories!$E$5:$E$60,MATCH(E763,Catégories!$A$5:$A$60,0)),0))</f>
        <v>0</v>
      </c>
    </row>
    <row r="764" customFormat="false" ht="15" hidden="false" customHeight="true" outlineLevel="0" collapsed="false">
      <c r="A764" s="34"/>
      <c r="B764" s="29" t="str">
        <f aca="false">IF(A764="","",YEAR(A764))</f>
        <v/>
      </c>
      <c r="G764" s="35"/>
      <c r="H764" s="32" t="str">
        <f aca="false">IF(E764="","",IFERROR(INDEX(Catégories!$B$5:$B$60,MATCH(E764,Catégories!$A$5:$A$60,0)),"?"))</f>
        <v/>
      </c>
      <c r="I764" s="32" t="str">
        <f aca="false">IF(E764="","",IFERROR(INDEX(Catégories!$C$5:$C$60,MATCH(E764,Catégories!$A$5:$A$60,0)),"?"))</f>
        <v/>
      </c>
      <c r="J764" s="32" t="str">
        <f aca="false">IF(E764="","",IFERROR(INDEX(Catégories!$D$5:$D$60,MATCH(E764,Catégories!$A$5:$A$60,0)),"?"))</f>
        <v/>
      </c>
      <c r="K764" s="33" t="n">
        <f aca="false">IF(H764="Recette",G764,IF(H764="Dépense",-G764,0))</f>
        <v>0</v>
      </c>
      <c r="L764" s="33" t="n">
        <f aca="false">IF(E764="",0,G764*IFERROR(INDEX(Catégories!$E$5:$E$60,MATCH(E764,Catégories!$A$5:$A$60,0)),0))</f>
        <v>0</v>
      </c>
    </row>
    <row r="765" customFormat="false" ht="15" hidden="false" customHeight="true" outlineLevel="0" collapsed="false">
      <c r="A765" s="34"/>
      <c r="B765" s="29" t="str">
        <f aca="false">IF(A765="","",YEAR(A765))</f>
        <v/>
      </c>
      <c r="G765" s="35"/>
      <c r="H765" s="32" t="str">
        <f aca="false">IF(E765="","",IFERROR(INDEX(Catégories!$B$5:$B$60,MATCH(E765,Catégories!$A$5:$A$60,0)),"?"))</f>
        <v/>
      </c>
      <c r="I765" s="32" t="str">
        <f aca="false">IF(E765="","",IFERROR(INDEX(Catégories!$C$5:$C$60,MATCH(E765,Catégories!$A$5:$A$60,0)),"?"))</f>
        <v/>
      </c>
      <c r="J765" s="32" t="str">
        <f aca="false">IF(E765="","",IFERROR(INDEX(Catégories!$D$5:$D$60,MATCH(E765,Catégories!$A$5:$A$60,0)),"?"))</f>
        <v/>
      </c>
      <c r="K765" s="33" t="n">
        <f aca="false">IF(H765="Recette",G765,IF(H765="Dépense",-G765,0))</f>
        <v>0</v>
      </c>
      <c r="L765" s="33" t="n">
        <f aca="false">IF(E765="",0,G765*IFERROR(INDEX(Catégories!$E$5:$E$60,MATCH(E765,Catégories!$A$5:$A$60,0)),0))</f>
        <v>0</v>
      </c>
    </row>
    <row r="766" customFormat="false" ht="15" hidden="false" customHeight="true" outlineLevel="0" collapsed="false">
      <c r="A766" s="34"/>
      <c r="B766" s="29" t="str">
        <f aca="false">IF(A766="","",YEAR(A766))</f>
        <v/>
      </c>
      <c r="G766" s="35"/>
      <c r="H766" s="32" t="str">
        <f aca="false">IF(E766="","",IFERROR(INDEX(Catégories!$B$5:$B$60,MATCH(E766,Catégories!$A$5:$A$60,0)),"?"))</f>
        <v/>
      </c>
      <c r="I766" s="32" t="str">
        <f aca="false">IF(E766="","",IFERROR(INDEX(Catégories!$C$5:$C$60,MATCH(E766,Catégories!$A$5:$A$60,0)),"?"))</f>
        <v/>
      </c>
      <c r="J766" s="32" t="str">
        <f aca="false">IF(E766="","",IFERROR(INDEX(Catégories!$D$5:$D$60,MATCH(E766,Catégories!$A$5:$A$60,0)),"?"))</f>
        <v/>
      </c>
      <c r="K766" s="33" t="n">
        <f aca="false">IF(H766="Recette",G766,IF(H766="Dépense",-G766,0))</f>
        <v>0</v>
      </c>
      <c r="L766" s="33" t="n">
        <f aca="false">IF(E766="",0,G766*IFERROR(INDEX(Catégories!$E$5:$E$60,MATCH(E766,Catégories!$A$5:$A$60,0)),0))</f>
        <v>0</v>
      </c>
    </row>
    <row r="767" customFormat="false" ht="15" hidden="false" customHeight="true" outlineLevel="0" collapsed="false">
      <c r="A767" s="34"/>
      <c r="B767" s="29" t="str">
        <f aca="false">IF(A767="","",YEAR(A767))</f>
        <v/>
      </c>
      <c r="G767" s="35"/>
      <c r="H767" s="32" t="str">
        <f aca="false">IF(E767="","",IFERROR(INDEX(Catégories!$B$5:$B$60,MATCH(E767,Catégories!$A$5:$A$60,0)),"?"))</f>
        <v/>
      </c>
      <c r="I767" s="32" t="str">
        <f aca="false">IF(E767="","",IFERROR(INDEX(Catégories!$C$5:$C$60,MATCH(E767,Catégories!$A$5:$A$60,0)),"?"))</f>
        <v/>
      </c>
      <c r="J767" s="32" t="str">
        <f aca="false">IF(E767="","",IFERROR(INDEX(Catégories!$D$5:$D$60,MATCH(E767,Catégories!$A$5:$A$60,0)),"?"))</f>
        <v/>
      </c>
      <c r="K767" s="33" t="n">
        <f aca="false">IF(H767="Recette",G767,IF(H767="Dépense",-G767,0))</f>
        <v>0</v>
      </c>
      <c r="L767" s="33" t="n">
        <f aca="false">IF(E767="",0,G767*IFERROR(INDEX(Catégories!$E$5:$E$60,MATCH(E767,Catégories!$A$5:$A$60,0)),0))</f>
        <v>0</v>
      </c>
    </row>
    <row r="768" customFormat="false" ht="15" hidden="false" customHeight="true" outlineLevel="0" collapsed="false">
      <c r="A768" s="34"/>
      <c r="B768" s="29" t="str">
        <f aca="false">IF(A768="","",YEAR(A768))</f>
        <v/>
      </c>
      <c r="G768" s="35"/>
      <c r="H768" s="32" t="str">
        <f aca="false">IF(E768="","",IFERROR(INDEX(Catégories!$B$5:$B$60,MATCH(E768,Catégories!$A$5:$A$60,0)),"?"))</f>
        <v/>
      </c>
      <c r="I768" s="32" t="str">
        <f aca="false">IF(E768="","",IFERROR(INDEX(Catégories!$C$5:$C$60,MATCH(E768,Catégories!$A$5:$A$60,0)),"?"))</f>
        <v/>
      </c>
      <c r="J768" s="32" t="str">
        <f aca="false">IF(E768="","",IFERROR(INDEX(Catégories!$D$5:$D$60,MATCH(E768,Catégories!$A$5:$A$60,0)),"?"))</f>
        <v/>
      </c>
      <c r="K768" s="33" t="n">
        <f aca="false">IF(H768="Recette",G768,IF(H768="Dépense",-G768,0))</f>
        <v>0</v>
      </c>
      <c r="L768" s="33" t="n">
        <f aca="false">IF(E768="",0,G768*IFERROR(INDEX(Catégories!$E$5:$E$60,MATCH(E768,Catégories!$A$5:$A$60,0)),0))</f>
        <v>0</v>
      </c>
    </row>
    <row r="769" customFormat="false" ht="15" hidden="false" customHeight="true" outlineLevel="0" collapsed="false">
      <c r="A769" s="34"/>
      <c r="B769" s="29" t="str">
        <f aca="false">IF(A769="","",YEAR(A769))</f>
        <v/>
      </c>
      <c r="G769" s="35"/>
      <c r="H769" s="32" t="str">
        <f aca="false">IF(E769="","",IFERROR(INDEX(Catégories!$B$5:$B$60,MATCH(E769,Catégories!$A$5:$A$60,0)),"?"))</f>
        <v/>
      </c>
      <c r="I769" s="32" t="str">
        <f aca="false">IF(E769="","",IFERROR(INDEX(Catégories!$C$5:$C$60,MATCH(E769,Catégories!$A$5:$A$60,0)),"?"))</f>
        <v/>
      </c>
      <c r="J769" s="32" t="str">
        <f aca="false">IF(E769="","",IFERROR(INDEX(Catégories!$D$5:$D$60,MATCH(E769,Catégories!$A$5:$A$60,0)),"?"))</f>
        <v/>
      </c>
      <c r="K769" s="33" t="n">
        <f aca="false">IF(H769="Recette",G769,IF(H769="Dépense",-G769,0))</f>
        <v>0</v>
      </c>
      <c r="L769" s="33" t="n">
        <f aca="false">IF(E769="",0,G769*IFERROR(INDEX(Catégories!$E$5:$E$60,MATCH(E769,Catégories!$A$5:$A$60,0)),0))</f>
        <v>0</v>
      </c>
    </row>
    <row r="770" customFormat="false" ht="15" hidden="false" customHeight="true" outlineLevel="0" collapsed="false">
      <c r="A770" s="34"/>
      <c r="B770" s="29" t="str">
        <f aca="false">IF(A770="","",YEAR(A770))</f>
        <v/>
      </c>
      <c r="G770" s="35"/>
      <c r="H770" s="32" t="str">
        <f aca="false">IF(E770="","",IFERROR(INDEX(Catégories!$B$5:$B$60,MATCH(E770,Catégories!$A$5:$A$60,0)),"?"))</f>
        <v/>
      </c>
      <c r="I770" s="32" t="str">
        <f aca="false">IF(E770="","",IFERROR(INDEX(Catégories!$C$5:$C$60,MATCH(E770,Catégories!$A$5:$A$60,0)),"?"))</f>
        <v/>
      </c>
      <c r="J770" s="32" t="str">
        <f aca="false">IF(E770="","",IFERROR(INDEX(Catégories!$D$5:$D$60,MATCH(E770,Catégories!$A$5:$A$60,0)),"?"))</f>
        <v/>
      </c>
      <c r="K770" s="33" t="n">
        <f aca="false">IF(H770="Recette",G770,IF(H770="Dépense",-G770,0))</f>
        <v>0</v>
      </c>
      <c r="L770" s="33" t="n">
        <f aca="false">IF(E770="",0,G770*IFERROR(INDEX(Catégories!$E$5:$E$60,MATCH(E770,Catégories!$A$5:$A$60,0)),0))</f>
        <v>0</v>
      </c>
    </row>
    <row r="771" customFormat="false" ht="15" hidden="false" customHeight="true" outlineLevel="0" collapsed="false">
      <c r="A771" s="34"/>
      <c r="B771" s="29" t="str">
        <f aca="false">IF(A771="","",YEAR(A771))</f>
        <v/>
      </c>
      <c r="G771" s="35"/>
      <c r="H771" s="32" t="str">
        <f aca="false">IF(E771="","",IFERROR(INDEX(Catégories!$B$5:$B$60,MATCH(E771,Catégories!$A$5:$A$60,0)),"?"))</f>
        <v/>
      </c>
      <c r="I771" s="32" t="str">
        <f aca="false">IF(E771="","",IFERROR(INDEX(Catégories!$C$5:$C$60,MATCH(E771,Catégories!$A$5:$A$60,0)),"?"))</f>
        <v/>
      </c>
      <c r="J771" s="32" t="str">
        <f aca="false">IF(E771="","",IFERROR(INDEX(Catégories!$D$5:$D$60,MATCH(E771,Catégories!$A$5:$A$60,0)),"?"))</f>
        <v/>
      </c>
      <c r="K771" s="33" t="n">
        <f aca="false">IF(H771="Recette",G771,IF(H771="Dépense",-G771,0))</f>
        <v>0</v>
      </c>
      <c r="L771" s="33" t="n">
        <f aca="false">IF(E771="",0,G771*IFERROR(INDEX(Catégories!$E$5:$E$60,MATCH(E771,Catégories!$A$5:$A$60,0)),0))</f>
        <v>0</v>
      </c>
    </row>
    <row r="772" customFormat="false" ht="15" hidden="false" customHeight="true" outlineLevel="0" collapsed="false">
      <c r="A772" s="34"/>
      <c r="B772" s="29" t="str">
        <f aca="false">IF(A772="","",YEAR(A772))</f>
        <v/>
      </c>
      <c r="G772" s="35"/>
      <c r="H772" s="32" t="str">
        <f aca="false">IF(E772="","",IFERROR(INDEX(Catégories!$B$5:$B$60,MATCH(E772,Catégories!$A$5:$A$60,0)),"?"))</f>
        <v/>
      </c>
      <c r="I772" s="32" t="str">
        <f aca="false">IF(E772="","",IFERROR(INDEX(Catégories!$C$5:$C$60,MATCH(E772,Catégories!$A$5:$A$60,0)),"?"))</f>
        <v/>
      </c>
      <c r="J772" s="32" t="str">
        <f aca="false">IF(E772="","",IFERROR(INDEX(Catégories!$D$5:$D$60,MATCH(E772,Catégories!$A$5:$A$60,0)),"?"))</f>
        <v/>
      </c>
      <c r="K772" s="33" t="n">
        <f aca="false">IF(H772="Recette",G772,IF(H772="Dépense",-G772,0))</f>
        <v>0</v>
      </c>
      <c r="L772" s="33" t="n">
        <f aca="false">IF(E772="",0,G772*IFERROR(INDEX(Catégories!$E$5:$E$60,MATCH(E772,Catégories!$A$5:$A$60,0)),0))</f>
        <v>0</v>
      </c>
    </row>
    <row r="773" customFormat="false" ht="15" hidden="false" customHeight="true" outlineLevel="0" collapsed="false">
      <c r="A773" s="34"/>
      <c r="B773" s="29" t="str">
        <f aca="false">IF(A773="","",YEAR(A773))</f>
        <v/>
      </c>
      <c r="G773" s="35"/>
      <c r="H773" s="32" t="str">
        <f aca="false">IF(E773="","",IFERROR(INDEX(Catégories!$B$5:$B$60,MATCH(E773,Catégories!$A$5:$A$60,0)),"?"))</f>
        <v/>
      </c>
      <c r="I773" s="32" t="str">
        <f aca="false">IF(E773="","",IFERROR(INDEX(Catégories!$C$5:$C$60,MATCH(E773,Catégories!$A$5:$A$60,0)),"?"))</f>
        <v/>
      </c>
      <c r="J773" s="32" t="str">
        <f aca="false">IF(E773="","",IFERROR(INDEX(Catégories!$D$5:$D$60,MATCH(E773,Catégories!$A$5:$A$60,0)),"?"))</f>
        <v/>
      </c>
      <c r="K773" s="33" t="n">
        <f aca="false">IF(H773="Recette",G773,IF(H773="Dépense",-G773,0))</f>
        <v>0</v>
      </c>
      <c r="L773" s="33" t="n">
        <f aca="false">IF(E773="",0,G773*IFERROR(INDEX(Catégories!$E$5:$E$60,MATCH(E773,Catégories!$A$5:$A$60,0)),0))</f>
        <v>0</v>
      </c>
    </row>
    <row r="774" customFormat="false" ht="15" hidden="false" customHeight="true" outlineLevel="0" collapsed="false">
      <c r="A774" s="34"/>
      <c r="B774" s="29" t="str">
        <f aca="false">IF(A774="","",YEAR(A774))</f>
        <v/>
      </c>
      <c r="G774" s="35"/>
      <c r="H774" s="32" t="str">
        <f aca="false">IF(E774="","",IFERROR(INDEX(Catégories!$B$5:$B$60,MATCH(E774,Catégories!$A$5:$A$60,0)),"?"))</f>
        <v/>
      </c>
      <c r="I774" s="32" t="str">
        <f aca="false">IF(E774="","",IFERROR(INDEX(Catégories!$C$5:$C$60,MATCH(E774,Catégories!$A$5:$A$60,0)),"?"))</f>
        <v/>
      </c>
      <c r="J774" s="32" t="str">
        <f aca="false">IF(E774="","",IFERROR(INDEX(Catégories!$D$5:$D$60,MATCH(E774,Catégories!$A$5:$A$60,0)),"?"))</f>
        <v/>
      </c>
      <c r="K774" s="33" t="n">
        <f aca="false">IF(H774="Recette",G774,IF(H774="Dépense",-G774,0))</f>
        <v>0</v>
      </c>
      <c r="L774" s="33" t="n">
        <f aca="false">IF(E774="",0,G774*IFERROR(INDEX(Catégories!$E$5:$E$60,MATCH(E774,Catégories!$A$5:$A$60,0)),0))</f>
        <v>0</v>
      </c>
    </row>
    <row r="775" customFormat="false" ht="15" hidden="false" customHeight="true" outlineLevel="0" collapsed="false">
      <c r="A775" s="34"/>
      <c r="B775" s="29" t="str">
        <f aca="false">IF(A775="","",YEAR(A775))</f>
        <v/>
      </c>
      <c r="G775" s="35"/>
      <c r="H775" s="32" t="str">
        <f aca="false">IF(E775="","",IFERROR(INDEX(Catégories!$B$5:$B$60,MATCH(E775,Catégories!$A$5:$A$60,0)),"?"))</f>
        <v/>
      </c>
      <c r="I775" s="32" t="str">
        <f aca="false">IF(E775="","",IFERROR(INDEX(Catégories!$C$5:$C$60,MATCH(E775,Catégories!$A$5:$A$60,0)),"?"))</f>
        <v/>
      </c>
      <c r="J775" s="32" t="str">
        <f aca="false">IF(E775="","",IFERROR(INDEX(Catégories!$D$5:$D$60,MATCH(E775,Catégories!$A$5:$A$60,0)),"?"))</f>
        <v/>
      </c>
      <c r="K775" s="33" t="n">
        <f aca="false">IF(H775="Recette",G775,IF(H775="Dépense",-G775,0))</f>
        <v>0</v>
      </c>
      <c r="L775" s="33" t="n">
        <f aca="false">IF(E775="",0,G775*IFERROR(INDEX(Catégories!$E$5:$E$60,MATCH(E775,Catégories!$A$5:$A$60,0)),0))</f>
        <v>0</v>
      </c>
    </row>
    <row r="776" customFormat="false" ht="15" hidden="false" customHeight="true" outlineLevel="0" collapsed="false">
      <c r="A776" s="34"/>
      <c r="B776" s="29" t="str">
        <f aca="false">IF(A776="","",YEAR(A776))</f>
        <v/>
      </c>
      <c r="G776" s="35"/>
      <c r="H776" s="32" t="str">
        <f aca="false">IF(E776="","",IFERROR(INDEX(Catégories!$B$5:$B$60,MATCH(E776,Catégories!$A$5:$A$60,0)),"?"))</f>
        <v/>
      </c>
      <c r="I776" s="32" t="str">
        <f aca="false">IF(E776="","",IFERROR(INDEX(Catégories!$C$5:$C$60,MATCH(E776,Catégories!$A$5:$A$60,0)),"?"))</f>
        <v/>
      </c>
      <c r="J776" s="32" t="str">
        <f aca="false">IF(E776="","",IFERROR(INDEX(Catégories!$D$5:$D$60,MATCH(E776,Catégories!$A$5:$A$60,0)),"?"))</f>
        <v/>
      </c>
      <c r="K776" s="33" t="n">
        <f aca="false">IF(H776="Recette",G776,IF(H776="Dépense",-G776,0))</f>
        <v>0</v>
      </c>
      <c r="L776" s="33" t="n">
        <f aca="false">IF(E776="",0,G776*IFERROR(INDEX(Catégories!$E$5:$E$60,MATCH(E776,Catégories!$A$5:$A$60,0)),0))</f>
        <v>0</v>
      </c>
    </row>
    <row r="777" customFormat="false" ht="15" hidden="false" customHeight="true" outlineLevel="0" collapsed="false">
      <c r="A777" s="34"/>
      <c r="B777" s="29" t="str">
        <f aca="false">IF(A777="","",YEAR(A777))</f>
        <v/>
      </c>
      <c r="G777" s="35"/>
      <c r="H777" s="32" t="str">
        <f aca="false">IF(E777="","",IFERROR(INDEX(Catégories!$B$5:$B$60,MATCH(E777,Catégories!$A$5:$A$60,0)),"?"))</f>
        <v/>
      </c>
      <c r="I777" s="32" t="str">
        <f aca="false">IF(E777="","",IFERROR(INDEX(Catégories!$C$5:$C$60,MATCH(E777,Catégories!$A$5:$A$60,0)),"?"))</f>
        <v/>
      </c>
      <c r="J777" s="32" t="str">
        <f aca="false">IF(E777="","",IFERROR(INDEX(Catégories!$D$5:$D$60,MATCH(E777,Catégories!$A$5:$A$60,0)),"?"))</f>
        <v/>
      </c>
      <c r="K777" s="33" t="n">
        <f aca="false">IF(H777="Recette",G777,IF(H777="Dépense",-G777,0))</f>
        <v>0</v>
      </c>
      <c r="L777" s="33" t="n">
        <f aca="false">IF(E777="",0,G777*IFERROR(INDEX(Catégories!$E$5:$E$60,MATCH(E777,Catégories!$A$5:$A$60,0)),0))</f>
        <v>0</v>
      </c>
    </row>
    <row r="778" customFormat="false" ht="15" hidden="false" customHeight="true" outlineLevel="0" collapsed="false">
      <c r="A778" s="34"/>
      <c r="B778" s="29" t="str">
        <f aca="false">IF(A778="","",YEAR(A778))</f>
        <v/>
      </c>
      <c r="G778" s="35"/>
      <c r="H778" s="32" t="str">
        <f aca="false">IF(E778="","",IFERROR(INDEX(Catégories!$B$5:$B$60,MATCH(E778,Catégories!$A$5:$A$60,0)),"?"))</f>
        <v/>
      </c>
      <c r="I778" s="32" t="str">
        <f aca="false">IF(E778="","",IFERROR(INDEX(Catégories!$C$5:$C$60,MATCH(E778,Catégories!$A$5:$A$60,0)),"?"))</f>
        <v/>
      </c>
      <c r="J778" s="32" t="str">
        <f aca="false">IF(E778="","",IFERROR(INDEX(Catégories!$D$5:$D$60,MATCH(E778,Catégories!$A$5:$A$60,0)),"?"))</f>
        <v/>
      </c>
      <c r="K778" s="33" t="n">
        <f aca="false">IF(H778="Recette",G778,IF(H778="Dépense",-G778,0))</f>
        <v>0</v>
      </c>
      <c r="L778" s="33" t="n">
        <f aca="false">IF(E778="",0,G778*IFERROR(INDEX(Catégories!$E$5:$E$60,MATCH(E778,Catégories!$A$5:$A$60,0)),0))</f>
        <v>0</v>
      </c>
    </row>
    <row r="779" customFormat="false" ht="15" hidden="false" customHeight="true" outlineLevel="0" collapsed="false">
      <c r="A779" s="34"/>
      <c r="B779" s="29" t="str">
        <f aca="false">IF(A779="","",YEAR(A779))</f>
        <v/>
      </c>
      <c r="G779" s="35"/>
      <c r="H779" s="32" t="str">
        <f aca="false">IF(E779="","",IFERROR(INDEX(Catégories!$B$5:$B$60,MATCH(E779,Catégories!$A$5:$A$60,0)),"?"))</f>
        <v/>
      </c>
      <c r="I779" s="32" t="str">
        <f aca="false">IF(E779="","",IFERROR(INDEX(Catégories!$C$5:$C$60,MATCH(E779,Catégories!$A$5:$A$60,0)),"?"))</f>
        <v/>
      </c>
      <c r="J779" s="32" t="str">
        <f aca="false">IF(E779="","",IFERROR(INDEX(Catégories!$D$5:$D$60,MATCH(E779,Catégories!$A$5:$A$60,0)),"?"))</f>
        <v/>
      </c>
      <c r="K779" s="33" t="n">
        <f aca="false">IF(H779="Recette",G779,IF(H779="Dépense",-G779,0))</f>
        <v>0</v>
      </c>
      <c r="L779" s="33" t="n">
        <f aca="false">IF(E779="",0,G779*IFERROR(INDEX(Catégories!$E$5:$E$60,MATCH(E779,Catégories!$A$5:$A$60,0)),0))</f>
        <v>0</v>
      </c>
    </row>
    <row r="780" customFormat="false" ht="15" hidden="false" customHeight="true" outlineLevel="0" collapsed="false">
      <c r="A780" s="34"/>
      <c r="B780" s="29" t="str">
        <f aca="false">IF(A780="","",YEAR(A780))</f>
        <v/>
      </c>
      <c r="G780" s="35"/>
      <c r="H780" s="32" t="str">
        <f aca="false">IF(E780="","",IFERROR(INDEX(Catégories!$B$5:$B$60,MATCH(E780,Catégories!$A$5:$A$60,0)),"?"))</f>
        <v/>
      </c>
      <c r="I780" s="32" t="str">
        <f aca="false">IF(E780="","",IFERROR(INDEX(Catégories!$C$5:$C$60,MATCH(E780,Catégories!$A$5:$A$60,0)),"?"))</f>
        <v/>
      </c>
      <c r="J780" s="32" t="str">
        <f aca="false">IF(E780="","",IFERROR(INDEX(Catégories!$D$5:$D$60,MATCH(E780,Catégories!$A$5:$A$60,0)),"?"))</f>
        <v/>
      </c>
      <c r="K780" s="33" t="n">
        <f aca="false">IF(H780="Recette",G780,IF(H780="Dépense",-G780,0))</f>
        <v>0</v>
      </c>
      <c r="L780" s="33" t="n">
        <f aca="false">IF(E780="",0,G780*IFERROR(INDEX(Catégories!$E$5:$E$60,MATCH(E780,Catégories!$A$5:$A$60,0)),0))</f>
        <v>0</v>
      </c>
    </row>
    <row r="781" customFormat="false" ht="15" hidden="false" customHeight="true" outlineLevel="0" collapsed="false">
      <c r="A781" s="34"/>
      <c r="B781" s="29" t="str">
        <f aca="false">IF(A781="","",YEAR(A781))</f>
        <v/>
      </c>
      <c r="G781" s="35"/>
      <c r="H781" s="32" t="str">
        <f aca="false">IF(E781="","",IFERROR(INDEX(Catégories!$B$5:$B$60,MATCH(E781,Catégories!$A$5:$A$60,0)),"?"))</f>
        <v/>
      </c>
      <c r="I781" s="32" t="str">
        <f aca="false">IF(E781="","",IFERROR(INDEX(Catégories!$C$5:$C$60,MATCH(E781,Catégories!$A$5:$A$60,0)),"?"))</f>
        <v/>
      </c>
      <c r="J781" s="32" t="str">
        <f aca="false">IF(E781="","",IFERROR(INDEX(Catégories!$D$5:$D$60,MATCH(E781,Catégories!$A$5:$A$60,0)),"?"))</f>
        <v/>
      </c>
      <c r="K781" s="33" t="n">
        <f aca="false">IF(H781="Recette",G781,IF(H781="Dépense",-G781,0))</f>
        <v>0</v>
      </c>
      <c r="L781" s="33" t="n">
        <f aca="false">IF(E781="",0,G781*IFERROR(INDEX(Catégories!$E$5:$E$60,MATCH(E781,Catégories!$A$5:$A$60,0)),0))</f>
        <v>0</v>
      </c>
    </row>
    <row r="782" customFormat="false" ht="15" hidden="false" customHeight="true" outlineLevel="0" collapsed="false">
      <c r="A782" s="34"/>
      <c r="B782" s="29" t="str">
        <f aca="false">IF(A782="","",YEAR(A782))</f>
        <v/>
      </c>
      <c r="G782" s="35"/>
      <c r="H782" s="32" t="str">
        <f aca="false">IF(E782="","",IFERROR(INDEX(Catégories!$B$5:$B$60,MATCH(E782,Catégories!$A$5:$A$60,0)),"?"))</f>
        <v/>
      </c>
      <c r="I782" s="32" t="str">
        <f aca="false">IF(E782="","",IFERROR(INDEX(Catégories!$C$5:$C$60,MATCH(E782,Catégories!$A$5:$A$60,0)),"?"))</f>
        <v/>
      </c>
      <c r="J782" s="32" t="str">
        <f aca="false">IF(E782="","",IFERROR(INDEX(Catégories!$D$5:$D$60,MATCH(E782,Catégories!$A$5:$A$60,0)),"?"))</f>
        <v/>
      </c>
      <c r="K782" s="33" t="n">
        <f aca="false">IF(H782="Recette",G782,IF(H782="Dépense",-G782,0))</f>
        <v>0</v>
      </c>
      <c r="L782" s="33" t="n">
        <f aca="false">IF(E782="",0,G782*IFERROR(INDEX(Catégories!$E$5:$E$60,MATCH(E782,Catégories!$A$5:$A$60,0)),0))</f>
        <v>0</v>
      </c>
    </row>
    <row r="783" customFormat="false" ht="15" hidden="false" customHeight="true" outlineLevel="0" collapsed="false">
      <c r="A783" s="34"/>
      <c r="B783" s="29" t="str">
        <f aca="false">IF(A783="","",YEAR(A783))</f>
        <v/>
      </c>
      <c r="G783" s="35"/>
      <c r="H783" s="32" t="str">
        <f aca="false">IF(E783="","",IFERROR(INDEX(Catégories!$B$5:$B$60,MATCH(E783,Catégories!$A$5:$A$60,0)),"?"))</f>
        <v/>
      </c>
      <c r="I783" s="32" t="str">
        <f aca="false">IF(E783="","",IFERROR(INDEX(Catégories!$C$5:$C$60,MATCH(E783,Catégories!$A$5:$A$60,0)),"?"))</f>
        <v/>
      </c>
      <c r="J783" s="32" t="str">
        <f aca="false">IF(E783="","",IFERROR(INDEX(Catégories!$D$5:$D$60,MATCH(E783,Catégories!$A$5:$A$60,0)),"?"))</f>
        <v/>
      </c>
      <c r="K783" s="33" t="n">
        <f aca="false">IF(H783="Recette",G783,IF(H783="Dépense",-G783,0))</f>
        <v>0</v>
      </c>
      <c r="L783" s="33" t="n">
        <f aca="false">IF(E783="",0,G783*IFERROR(INDEX(Catégories!$E$5:$E$60,MATCH(E783,Catégories!$A$5:$A$60,0)),0))</f>
        <v>0</v>
      </c>
    </row>
    <row r="784" customFormat="false" ht="15" hidden="false" customHeight="true" outlineLevel="0" collapsed="false">
      <c r="A784" s="34"/>
      <c r="B784" s="29" t="str">
        <f aca="false">IF(A784="","",YEAR(A784))</f>
        <v/>
      </c>
      <c r="G784" s="35"/>
      <c r="H784" s="32" t="str">
        <f aca="false">IF(E784="","",IFERROR(INDEX(Catégories!$B$5:$B$60,MATCH(E784,Catégories!$A$5:$A$60,0)),"?"))</f>
        <v/>
      </c>
      <c r="I784" s="32" t="str">
        <f aca="false">IF(E784="","",IFERROR(INDEX(Catégories!$C$5:$C$60,MATCH(E784,Catégories!$A$5:$A$60,0)),"?"))</f>
        <v/>
      </c>
      <c r="J784" s="32" t="str">
        <f aca="false">IF(E784="","",IFERROR(INDEX(Catégories!$D$5:$D$60,MATCH(E784,Catégories!$A$5:$A$60,0)),"?"))</f>
        <v/>
      </c>
      <c r="K784" s="33" t="n">
        <f aca="false">IF(H784="Recette",G784,IF(H784="Dépense",-G784,0))</f>
        <v>0</v>
      </c>
      <c r="L784" s="33" t="n">
        <f aca="false">IF(E784="",0,G784*IFERROR(INDEX(Catégories!$E$5:$E$60,MATCH(E784,Catégories!$A$5:$A$60,0)),0))</f>
        <v>0</v>
      </c>
    </row>
    <row r="785" customFormat="false" ht="15" hidden="false" customHeight="true" outlineLevel="0" collapsed="false">
      <c r="A785" s="34"/>
      <c r="B785" s="29" t="str">
        <f aca="false">IF(A785="","",YEAR(A785))</f>
        <v/>
      </c>
      <c r="G785" s="35"/>
      <c r="H785" s="32" t="str">
        <f aca="false">IF(E785="","",IFERROR(INDEX(Catégories!$B$5:$B$60,MATCH(E785,Catégories!$A$5:$A$60,0)),"?"))</f>
        <v/>
      </c>
      <c r="I785" s="32" t="str">
        <f aca="false">IF(E785="","",IFERROR(INDEX(Catégories!$C$5:$C$60,MATCH(E785,Catégories!$A$5:$A$60,0)),"?"))</f>
        <v/>
      </c>
      <c r="J785" s="32" t="str">
        <f aca="false">IF(E785="","",IFERROR(INDEX(Catégories!$D$5:$D$60,MATCH(E785,Catégories!$A$5:$A$60,0)),"?"))</f>
        <v/>
      </c>
      <c r="K785" s="33" t="n">
        <f aca="false">IF(H785="Recette",G785,IF(H785="Dépense",-G785,0))</f>
        <v>0</v>
      </c>
      <c r="L785" s="33" t="n">
        <f aca="false">IF(E785="",0,G785*IFERROR(INDEX(Catégories!$E$5:$E$60,MATCH(E785,Catégories!$A$5:$A$60,0)),0))</f>
        <v>0</v>
      </c>
    </row>
    <row r="786" customFormat="false" ht="15" hidden="false" customHeight="true" outlineLevel="0" collapsed="false">
      <c r="A786" s="34"/>
      <c r="B786" s="29" t="str">
        <f aca="false">IF(A786="","",YEAR(A786))</f>
        <v/>
      </c>
      <c r="G786" s="35"/>
      <c r="H786" s="32" t="str">
        <f aca="false">IF(E786="","",IFERROR(INDEX(Catégories!$B$5:$B$60,MATCH(E786,Catégories!$A$5:$A$60,0)),"?"))</f>
        <v/>
      </c>
      <c r="I786" s="32" t="str">
        <f aca="false">IF(E786="","",IFERROR(INDEX(Catégories!$C$5:$C$60,MATCH(E786,Catégories!$A$5:$A$60,0)),"?"))</f>
        <v/>
      </c>
      <c r="J786" s="32" t="str">
        <f aca="false">IF(E786="","",IFERROR(INDEX(Catégories!$D$5:$D$60,MATCH(E786,Catégories!$A$5:$A$60,0)),"?"))</f>
        <v/>
      </c>
      <c r="K786" s="33" t="n">
        <f aca="false">IF(H786="Recette",G786,IF(H786="Dépense",-G786,0))</f>
        <v>0</v>
      </c>
      <c r="L786" s="33" t="n">
        <f aca="false">IF(E786="",0,G786*IFERROR(INDEX(Catégories!$E$5:$E$60,MATCH(E786,Catégories!$A$5:$A$60,0)),0))</f>
        <v>0</v>
      </c>
    </row>
    <row r="787" customFormat="false" ht="15" hidden="false" customHeight="true" outlineLevel="0" collapsed="false">
      <c r="A787" s="34"/>
      <c r="B787" s="29" t="str">
        <f aca="false">IF(A787="","",YEAR(A787))</f>
        <v/>
      </c>
      <c r="G787" s="35"/>
      <c r="H787" s="32" t="str">
        <f aca="false">IF(E787="","",IFERROR(INDEX(Catégories!$B$5:$B$60,MATCH(E787,Catégories!$A$5:$A$60,0)),"?"))</f>
        <v/>
      </c>
      <c r="I787" s="32" t="str">
        <f aca="false">IF(E787="","",IFERROR(INDEX(Catégories!$C$5:$C$60,MATCH(E787,Catégories!$A$5:$A$60,0)),"?"))</f>
        <v/>
      </c>
      <c r="J787" s="32" t="str">
        <f aca="false">IF(E787="","",IFERROR(INDEX(Catégories!$D$5:$D$60,MATCH(E787,Catégories!$A$5:$A$60,0)),"?"))</f>
        <v/>
      </c>
      <c r="K787" s="33" t="n">
        <f aca="false">IF(H787="Recette",G787,IF(H787="Dépense",-G787,0))</f>
        <v>0</v>
      </c>
      <c r="L787" s="33" t="n">
        <f aca="false">IF(E787="",0,G787*IFERROR(INDEX(Catégories!$E$5:$E$60,MATCH(E787,Catégories!$A$5:$A$60,0)),0))</f>
        <v>0</v>
      </c>
    </row>
    <row r="788" customFormat="false" ht="15" hidden="false" customHeight="true" outlineLevel="0" collapsed="false">
      <c r="A788" s="34"/>
      <c r="B788" s="29" t="str">
        <f aca="false">IF(A788="","",YEAR(A788))</f>
        <v/>
      </c>
      <c r="G788" s="35"/>
      <c r="H788" s="32" t="str">
        <f aca="false">IF(E788="","",IFERROR(INDEX(Catégories!$B$5:$B$60,MATCH(E788,Catégories!$A$5:$A$60,0)),"?"))</f>
        <v/>
      </c>
      <c r="I788" s="32" t="str">
        <f aca="false">IF(E788="","",IFERROR(INDEX(Catégories!$C$5:$C$60,MATCH(E788,Catégories!$A$5:$A$60,0)),"?"))</f>
        <v/>
      </c>
      <c r="J788" s="32" t="str">
        <f aca="false">IF(E788="","",IFERROR(INDEX(Catégories!$D$5:$D$60,MATCH(E788,Catégories!$A$5:$A$60,0)),"?"))</f>
        <v/>
      </c>
      <c r="K788" s="33" t="n">
        <f aca="false">IF(H788="Recette",G788,IF(H788="Dépense",-G788,0))</f>
        <v>0</v>
      </c>
      <c r="L788" s="33" t="n">
        <f aca="false">IF(E788="",0,G788*IFERROR(INDEX(Catégories!$E$5:$E$60,MATCH(E788,Catégories!$A$5:$A$60,0)),0))</f>
        <v>0</v>
      </c>
    </row>
    <row r="789" customFormat="false" ht="15" hidden="false" customHeight="true" outlineLevel="0" collapsed="false">
      <c r="A789" s="34"/>
      <c r="B789" s="29" t="str">
        <f aca="false">IF(A789="","",YEAR(A789))</f>
        <v/>
      </c>
      <c r="G789" s="35"/>
      <c r="H789" s="32" t="str">
        <f aca="false">IF(E789="","",IFERROR(INDEX(Catégories!$B$5:$B$60,MATCH(E789,Catégories!$A$5:$A$60,0)),"?"))</f>
        <v/>
      </c>
      <c r="I789" s="32" t="str">
        <f aca="false">IF(E789="","",IFERROR(INDEX(Catégories!$C$5:$C$60,MATCH(E789,Catégories!$A$5:$A$60,0)),"?"))</f>
        <v/>
      </c>
      <c r="J789" s="32" t="str">
        <f aca="false">IF(E789="","",IFERROR(INDEX(Catégories!$D$5:$D$60,MATCH(E789,Catégories!$A$5:$A$60,0)),"?"))</f>
        <v/>
      </c>
      <c r="K789" s="33" t="n">
        <f aca="false">IF(H789="Recette",G789,IF(H789="Dépense",-G789,0))</f>
        <v>0</v>
      </c>
      <c r="L789" s="33" t="n">
        <f aca="false">IF(E789="",0,G789*IFERROR(INDEX(Catégories!$E$5:$E$60,MATCH(E789,Catégories!$A$5:$A$60,0)),0))</f>
        <v>0</v>
      </c>
    </row>
    <row r="790" customFormat="false" ht="15" hidden="false" customHeight="true" outlineLevel="0" collapsed="false">
      <c r="A790" s="34"/>
      <c r="B790" s="29" t="str">
        <f aca="false">IF(A790="","",YEAR(A790))</f>
        <v/>
      </c>
      <c r="G790" s="35"/>
      <c r="H790" s="32" t="str">
        <f aca="false">IF(E790="","",IFERROR(INDEX(Catégories!$B$5:$B$60,MATCH(E790,Catégories!$A$5:$A$60,0)),"?"))</f>
        <v/>
      </c>
      <c r="I790" s="32" t="str">
        <f aca="false">IF(E790="","",IFERROR(INDEX(Catégories!$C$5:$C$60,MATCH(E790,Catégories!$A$5:$A$60,0)),"?"))</f>
        <v/>
      </c>
      <c r="J790" s="32" t="str">
        <f aca="false">IF(E790="","",IFERROR(INDEX(Catégories!$D$5:$D$60,MATCH(E790,Catégories!$A$5:$A$60,0)),"?"))</f>
        <v/>
      </c>
      <c r="K790" s="33" t="n">
        <f aca="false">IF(H790="Recette",G790,IF(H790="Dépense",-G790,0))</f>
        <v>0</v>
      </c>
      <c r="L790" s="33" t="n">
        <f aca="false">IF(E790="",0,G790*IFERROR(INDEX(Catégories!$E$5:$E$60,MATCH(E790,Catégories!$A$5:$A$60,0)),0))</f>
        <v>0</v>
      </c>
    </row>
    <row r="791" customFormat="false" ht="15" hidden="false" customHeight="true" outlineLevel="0" collapsed="false">
      <c r="A791" s="34"/>
      <c r="B791" s="29" t="str">
        <f aca="false">IF(A791="","",YEAR(A791))</f>
        <v/>
      </c>
      <c r="G791" s="35"/>
      <c r="H791" s="32" t="str">
        <f aca="false">IF(E791="","",IFERROR(INDEX(Catégories!$B$5:$B$60,MATCH(E791,Catégories!$A$5:$A$60,0)),"?"))</f>
        <v/>
      </c>
      <c r="I791" s="32" t="str">
        <f aca="false">IF(E791="","",IFERROR(INDEX(Catégories!$C$5:$C$60,MATCH(E791,Catégories!$A$5:$A$60,0)),"?"))</f>
        <v/>
      </c>
      <c r="J791" s="32" t="str">
        <f aca="false">IF(E791="","",IFERROR(INDEX(Catégories!$D$5:$D$60,MATCH(E791,Catégories!$A$5:$A$60,0)),"?"))</f>
        <v/>
      </c>
      <c r="K791" s="33" t="n">
        <f aca="false">IF(H791="Recette",G791,IF(H791="Dépense",-G791,0))</f>
        <v>0</v>
      </c>
      <c r="L791" s="33" t="n">
        <f aca="false">IF(E791="",0,G791*IFERROR(INDEX(Catégories!$E$5:$E$60,MATCH(E791,Catégories!$A$5:$A$60,0)),0))</f>
        <v>0</v>
      </c>
    </row>
    <row r="792" customFormat="false" ht="15" hidden="false" customHeight="true" outlineLevel="0" collapsed="false">
      <c r="A792" s="34"/>
      <c r="B792" s="29" t="str">
        <f aca="false">IF(A792="","",YEAR(A792))</f>
        <v/>
      </c>
      <c r="G792" s="35"/>
      <c r="H792" s="32" t="str">
        <f aca="false">IF(E792="","",IFERROR(INDEX(Catégories!$B$5:$B$60,MATCH(E792,Catégories!$A$5:$A$60,0)),"?"))</f>
        <v/>
      </c>
      <c r="I792" s="32" t="str">
        <f aca="false">IF(E792="","",IFERROR(INDEX(Catégories!$C$5:$C$60,MATCH(E792,Catégories!$A$5:$A$60,0)),"?"))</f>
        <v/>
      </c>
      <c r="J792" s="32" t="str">
        <f aca="false">IF(E792="","",IFERROR(INDEX(Catégories!$D$5:$D$60,MATCH(E792,Catégories!$A$5:$A$60,0)),"?"))</f>
        <v/>
      </c>
      <c r="K792" s="33" t="n">
        <f aca="false">IF(H792="Recette",G792,IF(H792="Dépense",-G792,0))</f>
        <v>0</v>
      </c>
      <c r="L792" s="33" t="n">
        <f aca="false">IF(E792="",0,G792*IFERROR(INDEX(Catégories!$E$5:$E$60,MATCH(E792,Catégories!$A$5:$A$60,0)),0))</f>
        <v>0</v>
      </c>
    </row>
    <row r="793" customFormat="false" ht="15" hidden="false" customHeight="true" outlineLevel="0" collapsed="false">
      <c r="A793" s="34"/>
      <c r="B793" s="29" t="str">
        <f aca="false">IF(A793="","",YEAR(A793))</f>
        <v/>
      </c>
      <c r="G793" s="35"/>
      <c r="H793" s="32" t="str">
        <f aca="false">IF(E793="","",IFERROR(INDEX(Catégories!$B$5:$B$60,MATCH(E793,Catégories!$A$5:$A$60,0)),"?"))</f>
        <v/>
      </c>
      <c r="I793" s="32" t="str">
        <f aca="false">IF(E793="","",IFERROR(INDEX(Catégories!$C$5:$C$60,MATCH(E793,Catégories!$A$5:$A$60,0)),"?"))</f>
        <v/>
      </c>
      <c r="J793" s="32" t="str">
        <f aca="false">IF(E793="","",IFERROR(INDEX(Catégories!$D$5:$D$60,MATCH(E793,Catégories!$A$5:$A$60,0)),"?"))</f>
        <v/>
      </c>
      <c r="K793" s="33" t="n">
        <f aca="false">IF(H793="Recette",G793,IF(H793="Dépense",-G793,0))</f>
        <v>0</v>
      </c>
      <c r="L793" s="33" t="n">
        <f aca="false">IF(E793="",0,G793*IFERROR(INDEX(Catégories!$E$5:$E$60,MATCH(E793,Catégories!$A$5:$A$60,0)),0))</f>
        <v>0</v>
      </c>
    </row>
    <row r="794" customFormat="false" ht="15" hidden="false" customHeight="true" outlineLevel="0" collapsed="false">
      <c r="A794" s="34"/>
      <c r="B794" s="29" t="str">
        <f aca="false">IF(A794="","",YEAR(A794))</f>
        <v/>
      </c>
      <c r="G794" s="35"/>
      <c r="H794" s="32" t="str">
        <f aca="false">IF(E794="","",IFERROR(INDEX(Catégories!$B$5:$B$60,MATCH(E794,Catégories!$A$5:$A$60,0)),"?"))</f>
        <v/>
      </c>
      <c r="I794" s="32" t="str">
        <f aca="false">IF(E794="","",IFERROR(INDEX(Catégories!$C$5:$C$60,MATCH(E794,Catégories!$A$5:$A$60,0)),"?"))</f>
        <v/>
      </c>
      <c r="J794" s="32" t="str">
        <f aca="false">IF(E794="","",IFERROR(INDEX(Catégories!$D$5:$D$60,MATCH(E794,Catégories!$A$5:$A$60,0)),"?"))</f>
        <v/>
      </c>
      <c r="K794" s="33" t="n">
        <f aca="false">IF(H794="Recette",G794,IF(H794="Dépense",-G794,0))</f>
        <v>0</v>
      </c>
      <c r="L794" s="33" t="n">
        <f aca="false">IF(E794="",0,G794*IFERROR(INDEX(Catégories!$E$5:$E$60,MATCH(E794,Catégories!$A$5:$A$60,0)),0))</f>
        <v>0</v>
      </c>
    </row>
    <row r="795" customFormat="false" ht="15" hidden="false" customHeight="true" outlineLevel="0" collapsed="false">
      <c r="A795" s="34"/>
      <c r="B795" s="29" t="str">
        <f aca="false">IF(A795="","",YEAR(A795))</f>
        <v/>
      </c>
      <c r="G795" s="35"/>
      <c r="H795" s="32" t="str">
        <f aca="false">IF(E795="","",IFERROR(INDEX(Catégories!$B$5:$B$60,MATCH(E795,Catégories!$A$5:$A$60,0)),"?"))</f>
        <v/>
      </c>
      <c r="I795" s="32" t="str">
        <f aca="false">IF(E795="","",IFERROR(INDEX(Catégories!$C$5:$C$60,MATCH(E795,Catégories!$A$5:$A$60,0)),"?"))</f>
        <v/>
      </c>
      <c r="J795" s="32" t="str">
        <f aca="false">IF(E795="","",IFERROR(INDEX(Catégories!$D$5:$D$60,MATCH(E795,Catégories!$A$5:$A$60,0)),"?"))</f>
        <v/>
      </c>
      <c r="K795" s="33" t="n">
        <f aca="false">IF(H795="Recette",G795,IF(H795="Dépense",-G795,0))</f>
        <v>0</v>
      </c>
      <c r="L795" s="33" t="n">
        <f aca="false">IF(E795="",0,G795*IFERROR(INDEX(Catégories!$E$5:$E$60,MATCH(E795,Catégories!$A$5:$A$60,0)),0))</f>
        <v>0</v>
      </c>
    </row>
    <row r="796" customFormat="false" ht="15" hidden="false" customHeight="true" outlineLevel="0" collapsed="false">
      <c r="A796" s="34"/>
      <c r="B796" s="29" t="str">
        <f aca="false">IF(A796="","",YEAR(A796))</f>
        <v/>
      </c>
      <c r="G796" s="35"/>
      <c r="H796" s="32" t="str">
        <f aca="false">IF(E796="","",IFERROR(INDEX(Catégories!$B$5:$B$60,MATCH(E796,Catégories!$A$5:$A$60,0)),"?"))</f>
        <v/>
      </c>
      <c r="I796" s="32" t="str">
        <f aca="false">IF(E796="","",IFERROR(INDEX(Catégories!$C$5:$C$60,MATCH(E796,Catégories!$A$5:$A$60,0)),"?"))</f>
        <v/>
      </c>
      <c r="J796" s="32" t="str">
        <f aca="false">IF(E796="","",IFERROR(INDEX(Catégories!$D$5:$D$60,MATCH(E796,Catégories!$A$5:$A$60,0)),"?"))</f>
        <v/>
      </c>
      <c r="K796" s="33" t="n">
        <f aca="false">IF(H796="Recette",G796,IF(H796="Dépense",-G796,0))</f>
        <v>0</v>
      </c>
      <c r="L796" s="33" t="n">
        <f aca="false">IF(E796="",0,G796*IFERROR(INDEX(Catégories!$E$5:$E$60,MATCH(E796,Catégories!$A$5:$A$60,0)),0))</f>
        <v>0</v>
      </c>
    </row>
    <row r="797" customFormat="false" ht="15" hidden="false" customHeight="true" outlineLevel="0" collapsed="false">
      <c r="A797" s="34"/>
      <c r="B797" s="29" t="str">
        <f aca="false">IF(A797="","",YEAR(A797))</f>
        <v/>
      </c>
      <c r="G797" s="35"/>
      <c r="H797" s="32" t="str">
        <f aca="false">IF(E797="","",IFERROR(INDEX(Catégories!$B$5:$B$60,MATCH(E797,Catégories!$A$5:$A$60,0)),"?"))</f>
        <v/>
      </c>
      <c r="I797" s="32" t="str">
        <f aca="false">IF(E797="","",IFERROR(INDEX(Catégories!$C$5:$C$60,MATCH(E797,Catégories!$A$5:$A$60,0)),"?"))</f>
        <v/>
      </c>
      <c r="J797" s="32" t="str">
        <f aca="false">IF(E797="","",IFERROR(INDEX(Catégories!$D$5:$D$60,MATCH(E797,Catégories!$A$5:$A$60,0)),"?"))</f>
        <v/>
      </c>
      <c r="K797" s="33" t="n">
        <f aca="false">IF(H797="Recette",G797,IF(H797="Dépense",-G797,0))</f>
        <v>0</v>
      </c>
      <c r="L797" s="33" t="n">
        <f aca="false">IF(E797="",0,G797*IFERROR(INDEX(Catégories!$E$5:$E$60,MATCH(E797,Catégories!$A$5:$A$60,0)),0))</f>
        <v>0</v>
      </c>
    </row>
    <row r="798" customFormat="false" ht="15" hidden="false" customHeight="true" outlineLevel="0" collapsed="false">
      <c r="A798" s="34"/>
      <c r="B798" s="29" t="str">
        <f aca="false">IF(A798="","",YEAR(A798))</f>
        <v/>
      </c>
      <c r="G798" s="35"/>
      <c r="H798" s="32" t="str">
        <f aca="false">IF(E798="","",IFERROR(INDEX(Catégories!$B$5:$B$60,MATCH(E798,Catégories!$A$5:$A$60,0)),"?"))</f>
        <v/>
      </c>
      <c r="I798" s="32" t="str">
        <f aca="false">IF(E798="","",IFERROR(INDEX(Catégories!$C$5:$C$60,MATCH(E798,Catégories!$A$5:$A$60,0)),"?"))</f>
        <v/>
      </c>
      <c r="J798" s="32" t="str">
        <f aca="false">IF(E798="","",IFERROR(INDEX(Catégories!$D$5:$D$60,MATCH(E798,Catégories!$A$5:$A$60,0)),"?"))</f>
        <v/>
      </c>
      <c r="K798" s="33" t="n">
        <f aca="false">IF(H798="Recette",G798,IF(H798="Dépense",-G798,0))</f>
        <v>0</v>
      </c>
      <c r="L798" s="33" t="n">
        <f aca="false">IF(E798="",0,G798*IFERROR(INDEX(Catégories!$E$5:$E$60,MATCH(E798,Catégories!$A$5:$A$60,0)),0))</f>
        <v>0</v>
      </c>
    </row>
    <row r="799" customFormat="false" ht="15" hidden="false" customHeight="true" outlineLevel="0" collapsed="false">
      <c r="A799" s="34"/>
      <c r="B799" s="29" t="str">
        <f aca="false">IF(A799="","",YEAR(A799))</f>
        <v/>
      </c>
      <c r="G799" s="35"/>
      <c r="H799" s="32" t="str">
        <f aca="false">IF(E799="","",IFERROR(INDEX(Catégories!$B$5:$B$60,MATCH(E799,Catégories!$A$5:$A$60,0)),"?"))</f>
        <v/>
      </c>
      <c r="I799" s="32" t="str">
        <f aca="false">IF(E799="","",IFERROR(INDEX(Catégories!$C$5:$C$60,MATCH(E799,Catégories!$A$5:$A$60,0)),"?"))</f>
        <v/>
      </c>
      <c r="J799" s="32" t="str">
        <f aca="false">IF(E799="","",IFERROR(INDEX(Catégories!$D$5:$D$60,MATCH(E799,Catégories!$A$5:$A$60,0)),"?"))</f>
        <v/>
      </c>
      <c r="K799" s="33" t="n">
        <f aca="false">IF(H799="Recette",G799,IF(H799="Dépense",-G799,0))</f>
        <v>0</v>
      </c>
      <c r="L799" s="33" t="n">
        <f aca="false">IF(E799="",0,G799*IFERROR(INDEX(Catégories!$E$5:$E$60,MATCH(E799,Catégories!$A$5:$A$60,0)),0))</f>
        <v>0</v>
      </c>
    </row>
    <row r="800" customFormat="false" ht="15" hidden="false" customHeight="true" outlineLevel="0" collapsed="false">
      <c r="A800" s="34"/>
      <c r="B800" s="29" t="str">
        <f aca="false">IF(A800="","",YEAR(A800))</f>
        <v/>
      </c>
      <c r="G800" s="35"/>
      <c r="H800" s="32" t="str">
        <f aca="false">IF(E800="","",IFERROR(INDEX(Catégories!$B$5:$B$60,MATCH(E800,Catégories!$A$5:$A$60,0)),"?"))</f>
        <v/>
      </c>
      <c r="I800" s="32" t="str">
        <f aca="false">IF(E800="","",IFERROR(INDEX(Catégories!$C$5:$C$60,MATCH(E800,Catégories!$A$5:$A$60,0)),"?"))</f>
        <v/>
      </c>
      <c r="J800" s="32" t="str">
        <f aca="false">IF(E800="","",IFERROR(INDEX(Catégories!$D$5:$D$60,MATCH(E800,Catégories!$A$5:$A$60,0)),"?"))</f>
        <v/>
      </c>
      <c r="K800" s="33" t="n">
        <f aca="false">IF(H800="Recette",G800,IF(H800="Dépense",-G800,0))</f>
        <v>0</v>
      </c>
      <c r="L800" s="33" t="n">
        <f aca="false">IF(E800="",0,G800*IFERROR(INDEX(Catégories!$E$5:$E$60,MATCH(E800,Catégories!$A$5:$A$60,0)),0))</f>
        <v>0</v>
      </c>
    </row>
    <row r="801" customFormat="false" ht="15" hidden="false" customHeight="true" outlineLevel="0" collapsed="false">
      <c r="A801" s="34"/>
      <c r="B801" s="29" t="str">
        <f aca="false">IF(A801="","",YEAR(A801))</f>
        <v/>
      </c>
      <c r="G801" s="35"/>
      <c r="H801" s="32" t="str">
        <f aca="false">IF(E801="","",IFERROR(INDEX(Catégories!$B$5:$B$60,MATCH(E801,Catégories!$A$5:$A$60,0)),"?"))</f>
        <v/>
      </c>
      <c r="I801" s="32" t="str">
        <f aca="false">IF(E801="","",IFERROR(INDEX(Catégories!$C$5:$C$60,MATCH(E801,Catégories!$A$5:$A$60,0)),"?"))</f>
        <v/>
      </c>
      <c r="J801" s="32" t="str">
        <f aca="false">IF(E801="","",IFERROR(INDEX(Catégories!$D$5:$D$60,MATCH(E801,Catégories!$A$5:$A$60,0)),"?"))</f>
        <v/>
      </c>
      <c r="K801" s="33" t="n">
        <f aca="false">IF(H801="Recette",G801,IF(H801="Dépense",-G801,0))</f>
        <v>0</v>
      </c>
      <c r="L801" s="33" t="n">
        <f aca="false">IF(E801="",0,G801*IFERROR(INDEX(Catégories!$E$5:$E$60,MATCH(E801,Catégories!$A$5:$A$60,0)),0))</f>
        <v>0</v>
      </c>
    </row>
    <row r="802" customFormat="false" ht="15" hidden="false" customHeight="true" outlineLevel="0" collapsed="false">
      <c r="A802" s="34"/>
      <c r="B802" s="29" t="str">
        <f aca="false">IF(A802="","",YEAR(A802))</f>
        <v/>
      </c>
      <c r="G802" s="35"/>
      <c r="H802" s="32" t="str">
        <f aca="false">IF(E802="","",IFERROR(INDEX(Catégories!$B$5:$B$60,MATCH(E802,Catégories!$A$5:$A$60,0)),"?"))</f>
        <v/>
      </c>
      <c r="I802" s="32" t="str">
        <f aca="false">IF(E802="","",IFERROR(INDEX(Catégories!$C$5:$C$60,MATCH(E802,Catégories!$A$5:$A$60,0)),"?"))</f>
        <v/>
      </c>
      <c r="J802" s="32" t="str">
        <f aca="false">IF(E802="","",IFERROR(INDEX(Catégories!$D$5:$D$60,MATCH(E802,Catégories!$A$5:$A$60,0)),"?"))</f>
        <v/>
      </c>
      <c r="K802" s="33" t="n">
        <f aca="false">IF(H802="Recette",G802,IF(H802="Dépense",-G802,0))</f>
        <v>0</v>
      </c>
      <c r="L802" s="33" t="n">
        <f aca="false">IF(E802="",0,G802*IFERROR(INDEX(Catégories!$E$5:$E$60,MATCH(E802,Catégories!$A$5:$A$60,0)),0))</f>
        <v>0</v>
      </c>
    </row>
    <row r="803" customFormat="false" ht="15" hidden="false" customHeight="true" outlineLevel="0" collapsed="false">
      <c r="A803" s="34"/>
      <c r="B803" s="29" t="str">
        <f aca="false">IF(A803="","",YEAR(A803))</f>
        <v/>
      </c>
      <c r="G803" s="35"/>
      <c r="H803" s="32" t="str">
        <f aca="false">IF(E803="","",IFERROR(INDEX(Catégories!$B$5:$B$60,MATCH(E803,Catégories!$A$5:$A$60,0)),"?"))</f>
        <v/>
      </c>
      <c r="I803" s="32" t="str">
        <f aca="false">IF(E803="","",IFERROR(INDEX(Catégories!$C$5:$C$60,MATCH(E803,Catégories!$A$5:$A$60,0)),"?"))</f>
        <v/>
      </c>
      <c r="J803" s="32" t="str">
        <f aca="false">IF(E803="","",IFERROR(INDEX(Catégories!$D$5:$D$60,MATCH(E803,Catégories!$A$5:$A$60,0)),"?"))</f>
        <v/>
      </c>
      <c r="K803" s="33" t="n">
        <f aca="false">IF(H803="Recette",G803,IF(H803="Dépense",-G803,0))</f>
        <v>0</v>
      </c>
      <c r="L803" s="33" t="n">
        <f aca="false">IF(E803="",0,G803*IFERROR(INDEX(Catégories!$E$5:$E$60,MATCH(E803,Catégories!$A$5:$A$60,0)),0))</f>
        <v>0</v>
      </c>
    </row>
    <row r="804" customFormat="false" ht="15" hidden="false" customHeight="true" outlineLevel="0" collapsed="false">
      <c r="A804" s="34"/>
      <c r="B804" s="29" t="str">
        <f aca="false">IF(A804="","",YEAR(A804))</f>
        <v/>
      </c>
      <c r="G804" s="35"/>
      <c r="H804" s="32" t="str">
        <f aca="false">IF(E804="","",IFERROR(INDEX(Catégories!$B$5:$B$60,MATCH(E804,Catégories!$A$5:$A$60,0)),"?"))</f>
        <v/>
      </c>
      <c r="I804" s="32" t="str">
        <f aca="false">IF(E804="","",IFERROR(INDEX(Catégories!$C$5:$C$60,MATCH(E804,Catégories!$A$5:$A$60,0)),"?"))</f>
        <v/>
      </c>
      <c r="J804" s="32" t="str">
        <f aca="false">IF(E804="","",IFERROR(INDEX(Catégories!$D$5:$D$60,MATCH(E804,Catégories!$A$5:$A$60,0)),"?"))</f>
        <v/>
      </c>
      <c r="K804" s="33" t="n">
        <f aca="false">IF(H804="Recette",G804,IF(H804="Dépense",-G804,0))</f>
        <v>0</v>
      </c>
      <c r="L804" s="33" t="n">
        <f aca="false">IF(E804="",0,G804*IFERROR(INDEX(Catégories!$E$5:$E$60,MATCH(E804,Catégories!$A$5:$A$60,0)),0))</f>
        <v>0</v>
      </c>
    </row>
    <row r="805" customFormat="false" ht="15" hidden="false" customHeight="true" outlineLevel="0" collapsed="false">
      <c r="A805" s="34"/>
      <c r="B805" s="29" t="str">
        <f aca="false">IF(A805="","",YEAR(A805))</f>
        <v/>
      </c>
      <c r="G805" s="35"/>
      <c r="H805" s="32" t="str">
        <f aca="false">IF(E805="","",IFERROR(INDEX(Catégories!$B$5:$B$60,MATCH(E805,Catégories!$A$5:$A$60,0)),"?"))</f>
        <v/>
      </c>
      <c r="I805" s="32" t="str">
        <f aca="false">IF(E805="","",IFERROR(INDEX(Catégories!$C$5:$C$60,MATCH(E805,Catégories!$A$5:$A$60,0)),"?"))</f>
        <v/>
      </c>
      <c r="J805" s="32" t="str">
        <f aca="false">IF(E805="","",IFERROR(INDEX(Catégories!$D$5:$D$60,MATCH(E805,Catégories!$A$5:$A$60,0)),"?"))</f>
        <v/>
      </c>
      <c r="K805" s="33" t="n">
        <f aca="false">IF(H805="Recette",G805,IF(H805="Dépense",-G805,0))</f>
        <v>0</v>
      </c>
      <c r="L805" s="33" t="n">
        <f aca="false">IF(E805="",0,G805*IFERROR(INDEX(Catégories!$E$5:$E$60,MATCH(E805,Catégories!$A$5:$A$60,0)),0))</f>
        <v>0</v>
      </c>
    </row>
    <row r="806" customFormat="false" ht="15" hidden="false" customHeight="true" outlineLevel="0" collapsed="false">
      <c r="A806" s="34"/>
      <c r="B806" s="29" t="str">
        <f aca="false">IF(A806="","",YEAR(A806))</f>
        <v/>
      </c>
      <c r="G806" s="35"/>
      <c r="H806" s="32" t="str">
        <f aca="false">IF(E806="","",IFERROR(INDEX(Catégories!$B$5:$B$60,MATCH(E806,Catégories!$A$5:$A$60,0)),"?"))</f>
        <v/>
      </c>
      <c r="I806" s="32" t="str">
        <f aca="false">IF(E806="","",IFERROR(INDEX(Catégories!$C$5:$C$60,MATCH(E806,Catégories!$A$5:$A$60,0)),"?"))</f>
        <v/>
      </c>
      <c r="J806" s="32" t="str">
        <f aca="false">IF(E806="","",IFERROR(INDEX(Catégories!$D$5:$D$60,MATCH(E806,Catégories!$A$5:$A$60,0)),"?"))</f>
        <v/>
      </c>
      <c r="K806" s="33" t="n">
        <f aca="false">IF(H806="Recette",G806,IF(H806="Dépense",-G806,0))</f>
        <v>0</v>
      </c>
      <c r="L806" s="33" t="n">
        <f aca="false">IF(E806="",0,G806*IFERROR(INDEX(Catégories!$E$5:$E$60,MATCH(E806,Catégories!$A$5:$A$60,0)),0))</f>
        <v>0</v>
      </c>
    </row>
    <row r="807" customFormat="false" ht="15" hidden="false" customHeight="true" outlineLevel="0" collapsed="false">
      <c r="A807" s="34"/>
      <c r="B807" s="29" t="str">
        <f aca="false">IF(A807="","",YEAR(A807))</f>
        <v/>
      </c>
      <c r="G807" s="35"/>
      <c r="H807" s="32" t="str">
        <f aca="false">IF(E807="","",IFERROR(INDEX(Catégories!$B$5:$B$60,MATCH(E807,Catégories!$A$5:$A$60,0)),"?"))</f>
        <v/>
      </c>
      <c r="I807" s="32" t="str">
        <f aca="false">IF(E807="","",IFERROR(INDEX(Catégories!$C$5:$C$60,MATCH(E807,Catégories!$A$5:$A$60,0)),"?"))</f>
        <v/>
      </c>
      <c r="J807" s="32" t="str">
        <f aca="false">IF(E807="","",IFERROR(INDEX(Catégories!$D$5:$D$60,MATCH(E807,Catégories!$A$5:$A$60,0)),"?"))</f>
        <v/>
      </c>
      <c r="K807" s="33" t="n">
        <f aca="false">IF(H807="Recette",G807,IF(H807="Dépense",-G807,0))</f>
        <v>0</v>
      </c>
      <c r="L807" s="33" t="n">
        <f aca="false">IF(E807="",0,G807*IFERROR(INDEX(Catégories!$E$5:$E$60,MATCH(E807,Catégories!$A$5:$A$60,0)),0))</f>
        <v>0</v>
      </c>
    </row>
    <row r="808" customFormat="false" ht="15" hidden="false" customHeight="true" outlineLevel="0" collapsed="false">
      <c r="A808" s="34"/>
      <c r="B808" s="29" t="str">
        <f aca="false">IF(A808="","",YEAR(A808))</f>
        <v/>
      </c>
      <c r="G808" s="35"/>
      <c r="H808" s="32" t="str">
        <f aca="false">IF(E808="","",IFERROR(INDEX(Catégories!$B$5:$B$60,MATCH(E808,Catégories!$A$5:$A$60,0)),"?"))</f>
        <v/>
      </c>
      <c r="I808" s="32" t="str">
        <f aca="false">IF(E808="","",IFERROR(INDEX(Catégories!$C$5:$C$60,MATCH(E808,Catégories!$A$5:$A$60,0)),"?"))</f>
        <v/>
      </c>
      <c r="J808" s="32" t="str">
        <f aca="false">IF(E808="","",IFERROR(INDEX(Catégories!$D$5:$D$60,MATCH(E808,Catégories!$A$5:$A$60,0)),"?"))</f>
        <v/>
      </c>
      <c r="K808" s="33" t="n">
        <f aca="false">IF(H808="Recette",G808,IF(H808="Dépense",-G808,0))</f>
        <v>0</v>
      </c>
      <c r="L808" s="33" t="n">
        <f aca="false">IF(E808="",0,G808*IFERROR(INDEX(Catégories!$E$5:$E$60,MATCH(E808,Catégories!$A$5:$A$60,0)),0))</f>
        <v>0</v>
      </c>
    </row>
    <row r="809" customFormat="false" ht="15" hidden="false" customHeight="true" outlineLevel="0" collapsed="false">
      <c r="A809" s="34"/>
      <c r="B809" s="29" t="str">
        <f aca="false">IF(A809="","",YEAR(A809))</f>
        <v/>
      </c>
      <c r="G809" s="35"/>
      <c r="H809" s="32" t="str">
        <f aca="false">IF(E809="","",IFERROR(INDEX(Catégories!$B$5:$B$60,MATCH(E809,Catégories!$A$5:$A$60,0)),"?"))</f>
        <v/>
      </c>
      <c r="I809" s="32" t="str">
        <f aca="false">IF(E809="","",IFERROR(INDEX(Catégories!$C$5:$C$60,MATCH(E809,Catégories!$A$5:$A$60,0)),"?"))</f>
        <v/>
      </c>
      <c r="J809" s="32" t="str">
        <f aca="false">IF(E809="","",IFERROR(INDEX(Catégories!$D$5:$D$60,MATCH(E809,Catégories!$A$5:$A$60,0)),"?"))</f>
        <v/>
      </c>
      <c r="K809" s="33" t="n">
        <f aca="false">IF(H809="Recette",G809,IF(H809="Dépense",-G809,0))</f>
        <v>0</v>
      </c>
      <c r="L809" s="33" t="n">
        <f aca="false">IF(E809="",0,G809*IFERROR(INDEX(Catégories!$E$5:$E$60,MATCH(E809,Catégories!$A$5:$A$60,0)),0))</f>
        <v>0</v>
      </c>
    </row>
    <row r="810" customFormat="false" ht="15" hidden="false" customHeight="true" outlineLevel="0" collapsed="false">
      <c r="A810" s="34"/>
      <c r="B810" s="29" t="str">
        <f aca="false">IF(A810="","",YEAR(A810))</f>
        <v/>
      </c>
      <c r="G810" s="35"/>
      <c r="H810" s="32" t="str">
        <f aca="false">IF(E810="","",IFERROR(INDEX(Catégories!$B$5:$B$60,MATCH(E810,Catégories!$A$5:$A$60,0)),"?"))</f>
        <v/>
      </c>
      <c r="I810" s="32" t="str">
        <f aca="false">IF(E810="","",IFERROR(INDEX(Catégories!$C$5:$C$60,MATCH(E810,Catégories!$A$5:$A$60,0)),"?"))</f>
        <v/>
      </c>
      <c r="J810" s="32" t="str">
        <f aca="false">IF(E810="","",IFERROR(INDEX(Catégories!$D$5:$D$60,MATCH(E810,Catégories!$A$5:$A$60,0)),"?"))</f>
        <v/>
      </c>
      <c r="K810" s="33" t="n">
        <f aca="false">IF(H810="Recette",G810,IF(H810="Dépense",-G810,0))</f>
        <v>0</v>
      </c>
      <c r="L810" s="33" t="n">
        <f aca="false">IF(E810="",0,G810*IFERROR(INDEX(Catégories!$E$5:$E$60,MATCH(E810,Catégories!$A$5:$A$60,0)),0))</f>
        <v>0</v>
      </c>
    </row>
    <row r="811" customFormat="false" ht="15" hidden="false" customHeight="true" outlineLevel="0" collapsed="false">
      <c r="A811" s="34"/>
      <c r="B811" s="29" t="str">
        <f aca="false">IF(A811="","",YEAR(A811))</f>
        <v/>
      </c>
      <c r="G811" s="35"/>
      <c r="H811" s="32" t="str">
        <f aca="false">IF(E811="","",IFERROR(INDEX(Catégories!$B$5:$B$60,MATCH(E811,Catégories!$A$5:$A$60,0)),"?"))</f>
        <v/>
      </c>
      <c r="I811" s="32" t="str">
        <f aca="false">IF(E811="","",IFERROR(INDEX(Catégories!$C$5:$C$60,MATCH(E811,Catégories!$A$5:$A$60,0)),"?"))</f>
        <v/>
      </c>
      <c r="J811" s="32" t="str">
        <f aca="false">IF(E811="","",IFERROR(INDEX(Catégories!$D$5:$D$60,MATCH(E811,Catégories!$A$5:$A$60,0)),"?"))</f>
        <v/>
      </c>
      <c r="K811" s="33" t="n">
        <f aca="false">IF(H811="Recette",G811,IF(H811="Dépense",-G811,0))</f>
        <v>0</v>
      </c>
      <c r="L811" s="33" t="n">
        <f aca="false">IF(E811="",0,G811*IFERROR(INDEX(Catégories!$E$5:$E$60,MATCH(E811,Catégories!$A$5:$A$60,0)),0))</f>
        <v>0</v>
      </c>
    </row>
    <row r="812" customFormat="false" ht="15" hidden="false" customHeight="true" outlineLevel="0" collapsed="false">
      <c r="A812" s="34"/>
      <c r="B812" s="29" t="str">
        <f aca="false">IF(A812="","",YEAR(A812))</f>
        <v/>
      </c>
      <c r="G812" s="35"/>
      <c r="H812" s="32" t="str">
        <f aca="false">IF(E812="","",IFERROR(INDEX(Catégories!$B$5:$B$60,MATCH(E812,Catégories!$A$5:$A$60,0)),"?"))</f>
        <v/>
      </c>
      <c r="I812" s="32" t="str">
        <f aca="false">IF(E812="","",IFERROR(INDEX(Catégories!$C$5:$C$60,MATCH(E812,Catégories!$A$5:$A$60,0)),"?"))</f>
        <v/>
      </c>
      <c r="J812" s="32" t="str">
        <f aca="false">IF(E812="","",IFERROR(INDEX(Catégories!$D$5:$D$60,MATCH(E812,Catégories!$A$5:$A$60,0)),"?"))</f>
        <v/>
      </c>
      <c r="K812" s="33" t="n">
        <f aca="false">IF(H812="Recette",G812,IF(H812="Dépense",-G812,0))</f>
        <v>0</v>
      </c>
      <c r="L812" s="33" t="n">
        <f aca="false">IF(E812="",0,G812*IFERROR(INDEX(Catégories!$E$5:$E$60,MATCH(E812,Catégories!$A$5:$A$60,0)),0))</f>
        <v>0</v>
      </c>
    </row>
    <row r="813" customFormat="false" ht="15" hidden="false" customHeight="true" outlineLevel="0" collapsed="false">
      <c r="A813" s="34"/>
      <c r="B813" s="29" t="str">
        <f aca="false">IF(A813="","",YEAR(A813))</f>
        <v/>
      </c>
      <c r="G813" s="35"/>
      <c r="H813" s="32" t="str">
        <f aca="false">IF(E813="","",IFERROR(INDEX(Catégories!$B$5:$B$60,MATCH(E813,Catégories!$A$5:$A$60,0)),"?"))</f>
        <v/>
      </c>
      <c r="I813" s="32" t="str">
        <f aca="false">IF(E813="","",IFERROR(INDEX(Catégories!$C$5:$C$60,MATCH(E813,Catégories!$A$5:$A$60,0)),"?"))</f>
        <v/>
      </c>
      <c r="J813" s="32" t="str">
        <f aca="false">IF(E813="","",IFERROR(INDEX(Catégories!$D$5:$D$60,MATCH(E813,Catégories!$A$5:$A$60,0)),"?"))</f>
        <v/>
      </c>
      <c r="K813" s="33" t="n">
        <f aca="false">IF(H813="Recette",G813,IF(H813="Dépense",-G813,0))</f>
        <v>0</v>
      </c>
      <c r="L813" s="33" t="n">
        <f aca="false">IF(E813="",0,G813*IFERROR(INDEX(Catégories!$E$5:$E$60,MATCH(E813,Catégories!$A$5:$A$60,0)),0))</f>
        <v>0</v>
      </c>
    </row>
    <row r="814" customFormat="false" ht="15" hidden="false" customHeight="true" outlineLevel="0" collapsed="false">
      <c r="A814" s="34"/>
      <c r="B814" s="29" t="str">
        <f aca="false">IF(A814="","",YEAR(A814))</f>
        <v/>
      </c>
      <c r="G814" s="35"/>
      <c r="H814" s="32" t="str">
        <f aca="false">IF(E814="","",IFERROR(INDEX(Catégories!$B$5:$B$60,MATCH(E814,Catégories!$A$5:$A$60,0)),"?"))</f>
        <v/>
      </c>
      <c r="I814" s="32" t="str">
        <f aca="false">IF(E814="","",IFERROR(INDEX(Catégories!$C$5:$C$60,MATCH(E814,Catégories!$A$5:$A$60,0)),"?"))</f>
        <v/>
      </c>
      <c r="J814" s="32" t="str">
        <f aca="false">IF(E814="","",IFERROR(INDEX(Catégories!$D$5:$D$60,MATCH(E814,Catégories!$A$5:$A$60,0)),"?"))</f>
        <v/>
      </c>
      <c r="K814" s="33" t="n">
        <f aca="false">IF(H814="Recette",G814,IF(H814="Dépense",-G814,0))</f>
        <v>0</v>
      </c>
      <c r="L814" s="33" t="n">
        <f aca="false">IF(E814="",0,G814*IFERROR(INDEX(Catégories!$E$5:$E$60,MATCH(E814,Catégories!$A$5:$A$60,0)),0))</f>
        <v>0</v>
      </c>
    </row>
    <row r="815" customFormat="false" ht="15" hidden="false" customHeight="true" outlineLevel="0" collapsed="false">
      <c r="A815" s="34"/>
      <c r="B815" s="29" t="str">
        <f aca="false">IF(A815="","",YEAR(A815))</f>
        <v/>
      </c>
      <c r="G815" s="35"/>
      <c r="H815" s="32" t="str">
        <f aca="false">IF(E815="","",IFERROR(INDEX(Catégories!$B$5:$B$60,MATCH(E815,Catégories!$A$5:$A$60,0)),"?"))</f>
        <v/>
      </c>
      <c r="I815" s="32" t="str">
        <f aca="false">IF(E815="","",IFERROR(INDEX(Catégories!$C$5:$C$60,MATCH(E815,Catégories!$A$5:$A$60,0)),"?"))</f>
        <v/>
      </c>
      <c r="J815" s="32" t="str">
        <f aca="false">IF(E815="","",IFERROR(INDEX(Catégories!$D$5:$D$60,MATCH(E815,Catégories!$A$5:$A$60,0)),"?"))</f>
        <v/>
      </c>
      <c r="K815" s="33" t="n">
        <f aca="false">IF(H815="Recette",G815,IF(H815="Dépense",-G815,0))</f>
        <v>0</v>
      </c>
      <c r="L815" s="33" t="n">
        <f aca="false">IF(E815="",0,G815*IFERROR(INDEX(Catégories!$E$5:$E$60,MATCH(E815,Catégories!$A$5:$A$60,0)),0))</f>
        <v>0</v>
      </c>
    </row>
    <row r="816" customFormat="false" ht="15" hidden="false" customHeight="true" outlineLevel="0" collapsed="false">
      <c r="A816" s="34"/>
      <c r="B816" s="29" t="str">
        <f aca="false">IF(A816="","",YEAR(A816))</f>
        <v/>
      </c>
      <c r="G816" s="35"/>
      <c r="H816" s="32" t="str">
        <f aca="false">IF(E816="","",IFERROR(INDEX(Catégories!$B$5:$B$60,MATCH(E816,Catégories!$A$5:$A$60,0)),"?"))</f>
        <v/>
      </c>
      <c r="I816" s="32" t="str">
        <f aca="false">IF(E816="","",IFERROR(INDEX(Catégories!$C$5:$C$60,MATCH(E816,Catégories!$A$5:$A$60,0)),"?"))</f>
        <v/>
      </c>
      <c r="J816" s="32" t="str">
        <f aca="false">IF(E816="","",IFERROR(INDEX(Catégories!$D$5:$D$60,MATCH(E816,Catégories!$A$5:$A$60,0)),"?"))</f>
        <v/>
      </c>
      <c r="K816" s="33" t="n">
        <f aca="false">IF(H816="Recette",G816,IF(H816="Dépense",-G816,0))</f>
        <v>0</v>
      </c>
      <c r="L816" s="33" t="n">
        <f aca="false">IF(E816="",0,G816*IFERROR(INDEX(Catégories!$E$5:$E$60,MATCH(E816,Catégories!$A$5:$A$60,0)),0))</f>
        <v>0</v>
      </c>
    </row>
    <row r="817" customFormat="false" ht="15" hidden="false" customHeight="true" outlineLevel="0" collapsed="false">
      <c r="A817" s="34"/>
      <c r="B817" s="29" t="str">
        <f aca="false">IF(A817="","",YEAR(A817))</f>
        <v/>
      </c>
      <c r="G817" s="35"/>
      <c r="H817" s="32" t="str">
        <f aca="false">IF(E817="","",IFERROR(INDEX(Catégories!$B$5:$B$60,MATCH(E817,Catégories!$A$5:$A$60,0)),"?"))</f>
        <v/>
      </c>
      <c r="I817" s="32" t="str">
        <f aca="false">IF(E817="","",IFERROR(INDEX(Catégories!$C$5:$C$60,MATCH(E817,Catégories!$A$5:$A$60,0)),"?"))</f>
        <v/>
      </c>
      <c r="J817" s="32" t="str">
        <f aca="false">IF(E817="","",IFERROR(INDEX(Catégories!$D$5:$D$60,MATCH(E817,Catégories!$A$5:$A$60,0)),"?"))</f>
        <v/>
      </c>
      <c r="K817" s="33" t="n">
        <f aca="false">IF(H817="Recette",G817,IF(H817="Dépense",-G817,0))</f>
        <v>0</v>
      </c>
      <c r="L817" s="33" t="n">
        <f aca="false">IF(E817="",0,G817*IFERROR(INDEX(Catégories!$E$5:$E$60,MATCH(E817,Catégories!$A$5:$A$60,0)),0))</f>
        <v>0</v>
      </c>
    </row>
    <row r="818" customFormat="false" ht="15" hidden="false" customHeight="true" outlineLevel="0" collapsed="false">
      <c r="A818" s="34"/>
      <c r="B818" s="29" t="str">
        <f aca="false">IF(A818="","",YEAR(A818))</f>
        <v/>
      </c>
      <c r="G818" s="35"/>
      <c r="H818" s="32" t="str">
        <f aca="false">IF(E818="","",IFERROR(INDEX(Catégories!$B$5:$B$60,MATCH(E818,Catégories!$A$5:$A$60,0)),"?"))</f>
        <v/>
      </c>
      <c r="I818" s="32" t="str">
        <f aca="false">IF(E818="","",IFERROR(INDEX(Catégories!$C$5:$C$60,MATCH(E818,Catégories!$A$5:$A$60,0)),"?"))</f>
        <v/>
      </c>
      <c r="J818" s="32" t="str">
        <f aca="false">IF(E818="","",IFERROR(INDEX(Catégories!$D$5:$D$60,MATCH(E818,Catégories!$A$5:$A$60,0)),"?"))</f>
        <v/>
      </c>
      <c r="K818" s="33" t="n">
        <f aca="false">IF(H818="Recette",G818,IF(H818="Dépense",-G818,0))</f>
        <v>0</v>
      </c>
      <c r="L818" s="33" t="n">
        <f aca="false">IF(E818="",0,G818*IFERROR(INDEX(Catégories!$E$5:$E$60,MATCH(E818,Catégories!$A$5:$A$60,0)),0))</f>
        <v>0</v>
      </c>
    </row>
    <row r="819" customFormat="false" ht="15" hidden="false" customHeight="true" outlineLevel="0" collapsed="false">
      <c r="A819" s="34"/>
      <c r="B819" s="29" t="str">
        <f aca="false">IF(A819="","",YEAR(A819))</f>
        <v/>
      </c>
      <c r="G819" s="35"/>
      <c r="H819" s="32" t="str">
        <f aca="false">IF(E819="","",IFERROR(INDEX(Catégories!$B$5:$B$60,MATCH(E819,Catégories!$A$5:$A$60,0)),"?"))</f>
        <v/>
      </c>
      <c r="I819" s="32" t="str">
        <f aca="false">IF(E819="","",IFERROR(INDEX(Catégories!$C$5:$C$60,MATCH(E819,Catégories!$A$5:$A$60,0)),"?"))</f>
        <v/>
      </c>
      <c r="J819" s="32" t="str">
        <f aca="false">IF(E819="","",IFERROR(INDEX(Catégories!$D$5:$D$60,MATCH(E819,Catégories!$A$5:$A$60,0)),"?"))</f>
        <v/>
      </c>
      <c r="K819" s="33" t="n">
        <f aca="false">IF(H819="Recette",G819,IF(H819="Dépense",-G819,0))</f>
        <v>0</v>
      </c>
      <c r="L819" s="33" t="n">
        <f aca="false">IF(E819="",0,G819*IFERROR(INDEX(Catégories!$E$5:$E$60,MATCH(E819,Catégories!$A$5:$A$60,0)),0))</f>
        <v>0</v>
      </c>
    </row>
    <row r="820" customFormat="false" ht="15" hidden="false" customHeight="true" outlineLevel="0" collapsed="false">
      <c r="A820" s="34"/>
      <c r="B820" s="29" t="str">
        <f aca="false">IF(A820="","",YEAR(A820))</f>
        <v/>
      </c>
      <c r="G820" s="35"/>
      <c r="H820" s="32" t="str">
        <f aca="false">IF(E820="","",IFERROR(INDEX(Catégories!$B$5:$B$60,MATCH(E820,Catégories!$A$5:$A$60,0)),"?"))</f>
        <v/>
      </c>
      <c r="I820" s="32" t="str">
        <f aca="false">IF(E820="","",IFERROR(INDEX(Catégories!$C$5:$C$60,MATCH(E820,Catégories!$A$5:$A$60,0)),"?"))</f>
        <v/>
      </c>
      <c r="J820" s="32" t="str">
        <f aca="false">IF(E820="","",IFERROR(INDEX(Catégories!$D$5:$D$60,MATCH(E820,Catégories!$A$5:$A$60,0)),"?"))</f>
        <v/>
      </c>
      <c r="K820" s="33" t="n">
        <f aca="false">IF(H820="Recette",G820,IF(H820="Dépense",-G820,0))</f>
        <v>0</v>
      </c>
      <c r="L820" s="33" t="n">
        <f aca="false">IF(E820="",0,G820*IFERROR(INDEX(Catégories!$E$5:$E$60,MATCH(E820,Catégories!$A$5:$A$60,0)),0))</f>
        <v>0</v>
      </c>
    </row>
    <row r="821" customFormat="false" ht="15" hidden="false" customHeight="true" outlineLevel="0" collapsed="false">
      <c r="A821" s="34"/>
      <c r="B821" s="29" t="str">
        <f aca="false">IF(A821="","",YEAR(A821))</f>
        <v/>
      </c>
      <c r="G821" s="35"/>
      <c r="H821" s="32" t="str">
        <f aca="false">IF(E821="","",IFERROR(INDEX(Catégories!$B$5:$B$60,MATCH(E821,Catégories!$A$5:$A$60,0)),"?"))</f>
        <v/>
      </c>
      <c r="I821" s="32" t="str">
        <f aca="false">IF(E821="","",IFERROR(INDEX(Catégories!$C$5:$C$60,MATCH(E821,Catégories!$A$5:$A$60,0)),"?"))</f>
        <v/>
      </c>
      <c r="J821" s="32" t="str">
        <f aca="false">IF(E821="","",IFERROR(INDEX(Catégories!$D$5:$D$60,MATCH(E821,Catégories!$A$5:$A$60,0)),"?"))</f>
        <v/>
      </c>
      <c r="K821" s="33" t="n">
        <f aca="false">IF(H821="Recette",G821,IF(H821="Dépense",-G821,0))</f>
        <v>0</v>
      </c>
      <c r="L821" s="33" t="n">
        <f aca="false">IF(E821="",0,G821*IFERROR(INDEX(Catégories!$E$5:$E$60,MATCH(E821,Catégories!$A$5:$A$60,0)),0))</f>
        <v>0</v>
      </c>
    </row>
    <row r="822" customFormat="false" ht="15" hidden="false" customHeight="true" outlineLevel="0" collapsed="false">
      <c r="A822" s="34"/>
      <c r="B822" s="29" t="str">
        <f aca="false">IF(A822="","",YEAR(A822))</f>
        <v/>
      </c>
      <c r="G822" s="35"/>
      <c r="H822" s="32" t="str">
        <f aca="false">IF(E822="","",IFERROR(INDEX(Catégories!$B$5:$B$60,MATCH(E822,Catégories!$A$5:$A$60,0)),"?"))</f>
        <v/>
      </c>
      <c r="I822" s="32" t="str">
        <f aca="false">IF(E822="","",IFERROR(INDEX(Catégories!$C$5:$C$60,MATCH(E822,Catégories!$A$5:$A$60,0)),"?"))</f>
        <v/>
      </c>
      <c r="J822" s="32" t="str">
        <f aca="false">IF(E822="","",IFERROR(INDEX(Catégories!$D$5:$D$60,MATCH(E822,Catégories!$A$5:$A$60,0)),"?"))</f>
        <v/>
      </c>
      <c r="K822" s="33" t="n">
        <f aca="false">IF(H822="Recette",G822,IF(H822="Dépense",-G822,0))</f>
        <v>0</v>
      </c>
      <c r="L822" s="33" t="n">
        <f aca="false">IF(E822="",0,G822*IFERROR(INDEX(Catégories!$E$5:$E$60,MATCH(E822,Catégories!$A$5:$A$60,0)),0))</f>
        <v>0</v>
      </c>
    </row>
    <row r="823" customFormat="false" ht="15" hidden="false" customHeight="true" outlineLevel="0" collapsed="false">
      <c r="A823" s="34"/>
      <c r="B823" s="29" t="str">
        <f aca="false">IF(A823="","",YEAR(A823))</f>
        <v/>
      </c>
      <c r="G823" s="35"/>
      <c r="H823" s="32" t="str">
        <f aca="false">IF(E823="","",IFERROR(INDEX(Catégories!$B$5:$B$60,MATCH(E823,Catégories!$A$5:$A$60,0)),"?"))</f>
        <v/>
      </c>
      <c r="I823" s="32" t="str">
        <f aca="false">IF(E823="","",IFERROR(INDEX(Catégories!$C$5:$C$60,MATCH(E823,Catégories!$A$5:$A$60,0)),"?"))</f>
        <v/>
      </c>
      <c r="J823" s="32" t="str">
        <f aca="false">IF(E823="","",IFERROR(INDEX(Catégories!$D$5:$D$60,MATCH(E823,Catégories!$A$5:$A$60,0)),"?"))</f>
        <v/>
      </c>
      <c r="K823" s="33" t="n">
        <f aca="false">IF(H823="Recette",G823,IF(H823="Dépense",-G823,0))</f>
        <v>0</v>
      </c>
      <c r="L823" s="33" t="n">
        <f aca="false">IF(E823="",0,G823*IFERROR(INDEX(Catégories!$E$5:$E$60,MATCH(E823,Catégories!$A$5:$A$60,0)),0))</f>
        <v>0</v>
      </c>
    </row>
    <row r="824" customFormat="false" ht="15" hidden="false" customHeight="true" outlineLevel="0" collapsed="false">
      <c r="A824" s="34"/>
      <c r="B824" s="29" t="str">
        <f aca="false">IF(A824="","",YEAR(A824))</f>
        <v/>
      </c>
      <c r="G824" s="35"/>
      <c r="H824" s="32" t="str">
        <f aca="false">IF(E824="","",IFERROR(INDEX(Catégories!$B$5:$B$60,MATCH(E824,Catégories!$A$5:$A$60,0)),"?"))</f>
        <v/>
      </c>
      <c r="I824" s="32" t="str">
        <f aca="false">IF(E824="","",IFERROR(INDEX(Catégories!$C$5:$C$60,MATCH(E824,Catégories!$A$5:$A$60,0)),"?"))</f>
        <v/>
      </c>
      <c r="J824" s="32" t="str">
        <f aca="false">IF(E824="","",IFERROR(INDEX(Catégories!$D$5:$D$60,MATCH(E824,Catégories!$A$5:$A$60,0)),"?"))</f>
        <v/>
      </c>
      <c r="K824" s="33" t="n">
        <f aca="false">IF(H824="Recette",G824,IF(H824="Dépense",-G824,0))</f>
        <v>0</v>
      </c>
      <c r="L824" s="33" t="n">
        <f aca="false">IF(E824="",0,G824*IFERROR(INDEX(Catégories!$E$5:$E$60,MATCH(E824,Catégories!$A$5:$A$60,0)),0))</f>
        <v>0</v>
      </c>
    </row>
    <row r="825" customFormat="false" ht="15" hidden="false" customHeight="true" outlineLevel="0" collapsed="false">
      <c r="A825" s="34"/>
      <c r="B825" s="29" t="str">
        <f aca="false">IF(A825="","",YEAR(A825))</f>
        <v/>
      </c>
      <c r="G825" s="35"/>
      <c r="H825" s="32" t="str">
        <f aca="false">IF(E825="","",IFERROR(INDEX(Catégories!$B$5:$B$60,MATCH(E825,Catégories!$A$5:$A$60,0)),"?"))</f>
        <v/>
      </c>
      <c r="I825" s="32" t="str">
        <f aca="false">IF(E825="","",IFERROR(INDEX(Catégories!$C$5:$C$60,MATCH(E825,Catégories!$A$5:$A$60,0)),"?"))</f>
        <v/>
      </c>
      <c r="J825" s="32" t="str">
        <f aca="false">IF(E825="","",IFERROR(INDEX(Catégories!$D$5:$D$60,MATCH(E825,Catégories!$A$5:$A$60,0)),"?"))</f>
        <v/>
      </c>
      <c r="K825" s="33" t="n">
        <f aca="false">IF(H825="Recette",G825,IF(H825="Dépense",-G825,0))</f>
        <v>0</v>
      </c>
      <c r="L825" s="33" t="n">
        <f aca="false">IF(E825="",0,G825*IFERROR(INDEX(Catégories!$E$5:$E$60,MATCH(E825,Catégories!$A$5:$A$60,0)),0))</f>
        <v>0</v>
      </c>
    </row>
    <row r="826" customFormat="false" ht="15" hidden="false" customHeight="true" outlineLevel="0" collapsed="false">
      <c r="A826" s="34"/>
      <c r="B826" s="29" t="str">
        <f aca="false">IF(A826="","",YEAR(A826))</f>
        <v/>
      </c>
      <c r="G826" s="35"/>
      <c r="H826" s="32" t="str">
        <f aca="false">IF(E826="","",IFERROR(INDEX(Catégories!$B$5:$B$60,MATCH(E826,Catégories!$A$5:$A$60,0)),"?"))</f>
        <v/>
      </c>
      <c r="I826" s="32" t="str">
        <f aca="false">IF(E826="","",IFERROR(INDEX(Catégories!$C$5:$C$60,MATCH(E826,Catégories!$A$5:$A$60,0)),"?"))</f>
        <v/>
      </c>
      <c r="J826" s="32" t="str">
        <f aca="false">IF(E826="","",IFERROR(INDEX(Catégories!$D$5:$D$60,MATCH(E826,Catégories!$A$5:$A$60,0)),"?"))</f>
        <v/>
      </c>
      <c r="K826" s="33" t="n">
        <f aca="false">IF(H826="Recette",G826,IF(H826="Dépense",-G826,0))</f>
        <v>0</v>
      </c>
      <c r="L826" s="33" t="n">
        <f aca="false">IF(E826="",0,G826*IFERROR(INDEX(Catégories!$E$5:$E$60,MATCH(E826,Catégories!$A$5:$A$60,0)),0))</f>
        <v>0</v>
      </c>
    </row>
    <row r="827" customFormat="false" ht="15" hidden="false" customHeight="true" outlineLevel="0" collapsed="false">
      <c r="A827" s="34"/>
      <c r="B827" s="29" t="str">
        <f aca="false">IF(A827="","",YEAR(A827))</f>
        <v/>
      </c>
      <c r="G827" s="35"/>
      <c r="H827" s="32" t="str">
        <f aca="false">IF(E827="","",IFERROR(INDEX(Catégories!$B$5:$B$60,MATCH(E827,Catégories!$A$5:$A$60,0)),"?"))</f>
        <v/>
      </c>
      <c r="I827" s="32" t="str">
        <f aca="false">IF(E827="","",IFERROR(INDEX(Catégories!$C$5:$C$60,MATCH(E827,Catégories!$A$5:$A$60,0)),"?"))</f>
        <v/>
      </c>
      <c r="J827" s="32" t="str">
        <f aca="false">IF(E827="","",IFERROR(INDEX(Catégories!$D$5:$D$60,MATCH(E827,Catégories!$A$5:$A$60,0)),"?"))</f>
        <v/>
      </c>
      <c r="K827" s="33" t="n">
        <f aca="false">IF(H827="Recette",G827,IF(H827="Dépense",-G827,0))</f>
        <v>0</v>
      </c>
      <c r="L827" s="33" t="n">
        <f aca="false">IF(E827="",0,G827*IFERROR(INDEX(Catégories!$E$5:$E$60,MATCH(E827,Catégories!$A$5:$A$60,0)),0))</f>
        <v>0</v>
      </c>
    </row>
    <row r="828" customFormat="false" ht="15" hidden="false" customHeight="true" outlineLevel="0" collapsed="false">
      <c r="A828" s="34"/>
      <c r="B828" s="29" t="str">
        <f aca="false">IF(A828="","",YEAR(A828))</f>
        <v/>
      </c>
      <c r="G828" s="35"/>
      <c r="H828" s="32" t="str">
        <f aca="false">IF(E828="","",IFERROR(INDEX(Catégories!$B$5:$B$60,MATCH(E828,Catégories!$A$5:$A$60,0)),"?"))</f>
        <v/>
      </c>
      <c r="I828" s="32" t="str">
        <f aca="false">IF(E828="","",IFERROR(INDEX(Catégories!$C$5:$C$60,MATCH(E828,Catégories!$A$5:$A$60,0)),"?"))</f>
        <v/>
      </c>
      <c r="J828" s="32" t="str">
        <f aca="false">IF(E828="","",IFERROR(INDEX(Catégories!$D$5:$D$60,MATCH(E828,Catégories!$A$5:$A$60,0)),"?"))</f>
        <v/>
      </c>
      <c r="K828" s="33" t="n">
        <f aca="false">IF(H828="Recette",G828,IF(H828="Dépense",-G828,0))</f>
        <v>0</v>
      </c>
      <c r="L828" s="33" t="n">
        <f aca="false">IF(E828="",0,G828*IFERROR(INDEX(Catégories!$E$5:$E$60,MATCH(E828,Catégories!$A$5:$A$60,0)),0))</f>
        <v>0</v>
      </c>
    </row>
    <row r="829" customFormat="false" ht="15" hidden="false" customHeight="true" outlineLevel="0" collapsed="false">
      <c r="A829" s="34"/>
      <c r="B829" s="29" t="str">
        <f aca="false">IF(A829="","",YEAR(A829))</f>
        <v/>
      </c>
      <c r="G829" s="35"/>
      <c r="H829" s="32" t="str">
        <f aca="false">IF(E829="","",IFERROR(INDEX(Catégories!$B$5:$B$60,MATCH(E829,Catégories!$A$5:$A$60,0)),"?"))</f>
        <v/>
      </c>
      <c r="I829" s="32" t="str">
        <f aca="false">IF(E829="","",IFERROR(INDEX(Catégories!$C$5:$C$60,MATCH(E829,Catégories!$A$5:$A$60,0)),"?"))</f>
        <v/>
      </c>
      <c r="J829" s="32" t="str">
        <f aca="false">IF(E829="","",IFERROR(INDEX(Catégories!$D$5:$D$60,MATCH(E829,Catégories!$A$5:$A$60,0)),"?"))</f>
        <v/>
      </c>
      <c r="K829" s="33" t="n">
        <f aca="false">IF(H829="Recette",G829,IF(H829="Dépense",-G829,0))</f>
        <v>0</v>
      </c>
      <c r="L829" s="33" t="n">
        <f aca="false">IF(E829="",0,G829*IFERROR(INDEX(Catégories!$E$5:$E$60,MATCH(E829,Catégories!$A$5:$A$60,0)),0))</f>
        <v>0</v>
      </c>
    </row>
    <row r="830" customFormat="false" ht="15" hidden="false" customHeight="true" outlineLevel="0" collapsed="false">
      <c r="A830" s="34"/>
      <c r="B830" s="29" t="str">
        <f aca="false">IF(A830="","",YEAR(A830))</f>
        <v/>
      </c>
      <c r="G830" s="35"/>
      <c r="H830" s="32" t="str">
        <f aca="false">IF(E830="","",IFERROR(INDEX(Catégories!$B$5:$B$60,MATCH(E830,Catégories!$A$5:$A$60,0)),"?"))</f>
        <v/>
      </c>
      <c r="I830" s="32" t="str">
        <f aca="false">IF(E830="","",IFERROR(INDEX(Catégories!$C$5:$C$60,MATCH(E830,Catégories!$A$5:$A$60,0)),"?"))</f>
        <v/>
      </c>
      <c r="J830" s="32" t="str">
        <f aca="false">IF(E830="","",IFERROR(INDEX(Catégories!$D$5:$D$60,MATCH(E830,Catégories!$A$5:$A$60,0)),"?"))</f>
        <v/>
      </c>
      <c r="K830" s="33" t="n">
        <f aca="false">IF(H830="Recette",G830,IF(H830="Dépense",-G830,0))</f>
        <v>0</v>
      </c>
      <c r="L830" s="33" t="n">
        <f aca="false">IF(E830="",0,G830*IFERROR(INDEX(Catégories!$E$5:$E$60,MATCH(E830,Catégories!$A$5:$A$60,0)),0))</f>
        <v>0</v>
      </c>
    </row>
    <row r="831" customFormat="false" ht="15" hidden="false" customHeight="true" outlineLevel="0" collapsed="false">
      <c r="A831" s="34"/>
      <c r="B831" s="29" t="str">
        <f aca="false">IF(A831="","",YEAR(A831))</f>
        <v/>
      </c>
      <c r="G831" s="35"/>
      <c r="H831" s="32" t="str">
        <f aca="false">IF(E831="","",IFERROR(INDEX(Catégories!$B$5:$B$60,MATCH(E831,Catégories!$A$5:$A$60,0)),"?"))</f>
        <v/>
      </c>
      <c r="I831" s="32" t="str">
        <f aca="false">IF(E831="","",IFERROR(INDEX(Catégories!$C$5:$C$60,MATCH(E831,Catégories!$A$5:$A$60,0)),"?"))</f>
        <v/>
      </c>
      <c r="J831" s="32" t="str">
        <f aca="false">IF(E831="","",IFERROR(INDEX(Catégories!$D$5:$D$60,MATCH(E831,Catégories!$A$5:$A$60,0)),"?"))</f>
        <v/>
      </c>
      <c r="K831" s="33" t="n">
        <f aca="false">IF(H831="Recette",G831,IF(H831="Dépense",-G831,0))</f>
        <v>0</v>
      </c>
      <c r="L831" s="33" t="n">
        <f aca="false">IF(E831="",0,G831*IFERROR(INDEX(Catégories!$E$5:$E$60,MATCH(E831,Catégories!$A$5:$A$60,0)),0))</f>
        <v>0</v>
      </c>
    </row>
    <row r="832" customFormat="false" ht="15" hidden="false" customHeight="true" outlineLevel="0" collapsed="false">
      <c r="A832" s="34"/>
      <c r="B832" s="29" t="str">
        <f aca="false">IF(A832="","",YEAR(A832))</f>
        <v/>
      </c>
      <c r="G832" s="35"/>
      <c r="H832" s="32" t="str">
        <f aca="false">IF(E832="","",IFERROR(INDEX(Catégories!$B$5:$B$60,MATCH(E832,Catégories!$A$5:$A$60,0)),"?"))</f>
        <v/>
      </c>
      <c r="I832" s="32" t="str">
        <f aca="false">IF(E832="","",IFERROR(INDEX(Catégories!$C$5:$C$60,MATCH(E832,Catégories!$A$5:$A$60,0)),"?"))</f>
        <v/>
      </c>
      <c r="J832" s="32" t="str">
        <f aca="false">IF(E832="","",IFERROR(INDEX(Catégories!$D$5:$D$60,MATCH(E832,Catégories!$A$5:$A$60,0)),"?"))</f>
        <v/>
      </c>
      <c r="K832" s="33" t="n">
        <f aca="false">IF(H832="Recette",G832,IF(H832="Dépense",-G832,0))</f>
        <v>0</v>
      </c>
      <c r="L832" s="33" t="n">
        <f aca="false">IF(E832="",0,G832*IFERROR(INDEX(Catégories!$E$5:$E$60,MATCH(E832,Catégories!$A$5:$A$60,0)),0))</f>
        <v>0</v>
      </c>
    </row>
    <row r="833" customFormat="false" ht="15" hidden="false" customHeight="true" outlineLevel="0" collapsed="false">
      <c r="A833" s="34"/>
      <c r="B833" s="29" t="str">
        <f aca="false">IF(A833="","",YEAR(A833))</f>
        <v/>
      </c>
      <c r="G833" s="35"/>
      <c r="H833" s="32" t="str">
        <f aca="false">IF(E833="","",IFERROR(INDEX(Catégories!$B$5:$B$60,MATCH(E833,Catégories!$A$5:$A$60,0)),"?"))</f>
        <v/>
      </c>
      <c r="I833" s="32" t="str">
        <f aca="false">IF(E833="","",IFERROR(INDEX(Catégories!$C$5:$C$60,MATCH(E833,Catégories!$A$5:$A$60,0)),"?"))</f>
        <v/>
      </c>
      <c r="J833" s="32" t="str">
        <f aca="false">IF(E833="","",IFERROR(INDEX(Catégories!$D$5:$D$60,MATCH(E833,Catégories!$A$5:$A$60,0)),"?"))</f>
        <v/>
      </c>
      <c r="K833" s="33" t="n">
        <f aca="false">IF(H833="Recette",G833,IF(H833="Dépense",-G833,0))</f>
        <v>0</v>
      </c>
      <c r="L833" s="33" t="n">
        <f aca="false">IF(E833="",0,G833*IFERROR(INDEX(Catégories!$E$5:$E$60,MATCH(E833,Catégories!$A$5:$A$60,0)),0))</f>
        <v>0</v>
      </c>
    </row>
    <row r="834" customFormat="false" ht="15" hidden="false" customHeight="true" outlineLevel="0" collapsed="false">
      <c r="A834" s="34"/>
      <c r="B834" s="29" t="str">
        <f aca="false">IF(A834="","",YEAR(A834))</f>
        <v/>
      </c>
      <c r="G834" s="35"/>
      <c r="H834" s="32" t="str">
        <f aca="false">IF(E834="","",IFERROR(INDEX(Catégories!$B$5:$B$60,MATCH(E834,Catégories!$A$5:$A$60,0)),"?"))</f>
        <v/>
      </c>
      <c r="I834" s="32" t="str">
        <f aca="false">IF(E834="","",IFERROR(INDEX(Catégories!$C$5:$C$60,MATCH(E834,Catégories!$A$5:$A$60,0)),"?"))</f>
        <v/>
      </c>
      <c r="J834" s="32" t="str">
        <f aca="false">IF(E834="","",IFERROR(INDEX(Catégories!$D$5:$D$60,MATCH(E834,Catégories!$A$5:$A$60,0)),"?"))</f>
        <v/>
      </c>
      <c r="K834" s="33" t="n">
        <f aca="false">IF(H834="Recette",G834,IF(H834="Dépense",-G834,0))</f>
        <v>0</v>
      </c>
      <c r="L834" s="33" t="n">
        <f aca="false">IF(E834="",0,G834*IFERROR(INDEX(Catégories!$E$5:$E$60,MATCH(E834,Catégories!$A$5:$A$60,0)),0))</f>
        <v>0</v>
      </c>
    </row>
    <row r="835" customFormat="false" ht="15" hidden="false" customHeight="true" outlineLevel="0" collapsed="false">
      <c r="A835" s="34"/>
      <c r="B835" s="29" t="str">
        <f aca="false">IF(A835="","",YEAR(A835))</f>
        <v/>
      </c>
      <c r="G835" s="35"/>
      <c r="H835" s="32" t="str">
        <f aca="false">IF(E835="","",IFERROR(INDEX(Catégories!$B$5:$B$60,MATCH(E835,Catégories!$A$5:$A$60,0)),"?"))</f>
        <v/>
      </c>
      <c r="I835" s="32" t="str">
        <f aca="false">IF(E835="","",IFERROR(INDEX(Catégories!$C$5:$C$60,MATCH(E835,Catégories!$A$5:$A$60,0)),"?"))</f>
        <v/>
      </c>
      <c r="J835" s="32" t="str">
        <f aca="false">IF(E835="","",IFERROR(INDEX(Catégories!$D$5:$D$60,MATCH(E835,Catégories!$A$5:$A$60,0)),"?"))</f>
        <v/>
      </c>
      <c r="K835" s="33" t="n">
        <f aca="false">IF(H835="Recette",G835,IF(H835="Dépense",-G835,0))</f>
        <v>0</v>
      </c>
      <c r="L835" s="33" t="n">
        <f aca="false">IF(E835="",0,G835*IFERROR(INDEX(Catégories!$E$5:$E$60,MATCH(E835,Catégories!$A$5:$A$60,0)),0))</f>
        <v>0</v>
      </c>
    </row>
    <row r="836" customFormat="false" ht="15" hidden="false" customHeight="true" outlineLevel="0" collapsed="false">
      <c r="A836" s="34"/>
      <c r="B836" s="29" t="str">
        <f aca="false">IF(A836="","",YEAR(A836))</f>
        <v/>
      </c>
      <c r="G836" s="35"/>
      <c r="H836" s="32" t="str">
        <f aca="false">IF(E836="","",IFERROR(INDEX(Catégories!$B$5:$B$60,MATCH(E836,Catégories!$A$5:$A$60,0)),"?"))</f>
        <v/>
      </c>
      <c r="I836" s="32" t="str">
        <f aca="false">IF(E836="","",IFERROR(INDEX(Catégories!$C$5:$C$60,MATCH(E836,Catégories!$A$5:$A$60,0)),"?"))</f>
        <v/>
      </c>
      <c r="J836" s="32" t="str">
        <f aca="false">IF(E836="","",IFERROR(INDEX(Catégories!$D$5:$D$60,MATCH(E836,Catégories!$A$5:$A$60,0)),"?"))</f>
        <v/>
      </c>
      <c r="K836" s="33" t="n">
        <f aca="false">IF(H836="Recette",G836,IF(H836="Dépense",-G836,0))</f>
        <v>0</v>
      </c>
      <c r="L836" s="33" t="n">
        <f aca="false">IF(E836="",0,G836*IFERROR(INDEX(Catégories!$E$5:$E$60,MATCH(E836,Catégories!$A$5:$A$60,0)),0))</f>
        <v>0</v>
      </c>
    </row>
    <row r="837" customFormat="false" ht="15" hidden="false" customHeight="true" outlineLevel="0" collapsed="false">
      <c r="A837" s="34"/>
      <c r="B837" s="29" t="str">
        <f aca="false">IF(A837="","",YEAR(A837))</f>
        <v/>
      </c>
      <c r="G837" s="35"/>
      <c r="H837" s="32" t="str">
        <f aca="false">IF(E837="","",IFERROR(INDEX(Catégories!$B$5:$B$60,MATCH(E837,Catégories!$A$5:$A$60,0)),"?"))</f>
        <v/>
      </c>
      <c r="I837" s="32" t="str">
        <f aca="false">IF(E837="","",IFERROR(INDEX(Catégories!$C$5:$C$60,MATCH(E837,Catégories!$A$5:$A$60,0)),"?"))</f>
        <v/>
      </c>
      <c r="J837" s="32" t="str">
        <f aca="false">IF(E837="","",IFERROR(INDEX(Catégories!$D$5:$D$60,MATCH(E837,Catégories!$A$5:$A$60,0)),"?"))</f>
        <v/>
      </c>
      <c r="K837" s="33" t="n">
        <f aca="false">IF(H837="Recette",G837,IF(H837="Dépense",-G837,0))</f>
        <v>0</v>
      </c>
      <c r="L837" s="33" t="n">
        <f aca="false">IF(E837="",0,G837*IFERROR(INDEX(Catégories!$E$5:$E$60,MATCH(E837,Catégories!$A$5:$A$60,0)),0))</f>
        <v>0</v>
      </c>
    </row>
    <row r="838" customFormat="false" ht="15" hidden="false" customHeight="true" outlineLevel="0" collapsed="false">
      <c r="A838" s="34"/>
      <c r="B838" s="29" t="str">
        <f aca="false">IF(A838="","",YEAR(A838))</f>
        <v/>
      </c>
      <c r="G838" s="35"/>
      <c r="H838" s="32" t="str">
        <f aca="false">IF(E838="","",IFERROR(INDEX(Catégories!$B$5:$B$60,MATCH(E838,Catégories!$A$5:$A$60,0)),"?"))</f>
        <v/>
      </c>
      <c r="I838" s="32" t="str">
        <f aca="false">IF(E838="","",IFERROR(INDEX(Catégories!$C$5:$C$60,MATCH(E838,Catégories!$A$5:$A$60,0)),"?"))</f>
        <v/>
      </c>
      <c r="J838" s="32" t="str">
        <f aca="false">IF(E838="","",IFERROR(INDEX(Catégories!$D$5:$D$60,MATCH(E838,Catégories!$A$5:$A$60,0)),"?"))</f>
        <v/>
      </c>
      <c r="K838" s="33" t="n">
        <f aca="false">IF(H838="Recette",G838,IF(H838="Dépense",-G838,0))</f>
        <v>0</v>
      </c>
      <c r="L838" s="33" t="n">
        <f aca="false">IF(E838="",0,G838*IFERROR(INDEX(Catégories!$E$5:$E$60,MATCH(E838,Catégories!$A$5:$A$60,0)),0))</f>
        <v>0</v>
      </c>
    </row>
    <row r="839" customFormat="false" ht="15" hidden="false" customHeight="true" outlineLevel="0" collapsed="false">
      <c r="A839" s="34"/>
      <c r="B839" s="29" t="str">
        <f aca="false">IF(A839="","",YEAR(A839))</f>
        <v/>
      </c>
      <c r="G839" s="35"/>
      <c r="H839" s="32" t="str">
        <f aca="false">IF(E839="","",IFERROR(INDEX(Catégories!$B$5:$B$60,MATCH(E839,Catégories!$A$5:$A$60,0)),"?"))</f>
        <v/>
      </c>
      <c r="I839" s="32" t="str">
        <f aca="false">IF(E839="","",IFERROR(INDEX(Catégories!$C$5:$C$60,MATCH(E839,Catégories!$A$5:$A$60,0)),"?"))</f>
        <v/>
      </c>
      <c r="J839" s="32" t="str">
        <f aca="false">IF(E839="","",IFERROR(INDEX(Catégories!$D$5:$D$60,MATCH(E839,Catégories!$A$5:$A$60,0)),"?"))</f>
        <v/>
      </c>
      <c r="K839" s="33" t="n">
        <f aca="false">IF(H839="Recette",G839,IF(H839="Dépense",-G839,0))</f>
        <v>0</v>
      </c>
      <c r="L839" s="33" t="n">
        <f aca="false">IF(E839="",0,G839*IFERROR(INDEX(Catégories!$E$5:$E$60,MATCH(E839,Catégories!$A$5:$A$60,0)),0))</f>
        <v>0</v>
      </c>
    </row>
    <row r="840" customFormat="false" ht="15" hidden="false" customHeight="true" outlineLevel="0" collapsed="false">
      <c r="A840" s="34"/>
      <c r="B840" s="29" t="str">
        <f aca="false">IF(A840="","",YEAR(A840))</f>
        <v/>
      </c>
      <c r="G840" s="35"/>
      <c r="H840" s="32" t="str">
        <f aca="false">IF(E840="","",IFERROR(INDEX(Catégories!$B$5:$B$60,MATCH(E840,Catégories!$A$5:$A$60,0)),"?"))</f>
        <v/>
      </c>
      <c r="I840" s="32" t="str">
        <f aca="false">IF(E840="","",IFERROR(INDEX(Catégories!$C$5:$C$60,MATCH(E840,Catégories!$A$5:$A$60,0)),"?"))</f>
        <v/>
      </c>
      <c r="J840" s="32" t="str">
        <f aca="false">IF(E840="","",IFERROR(INDEX(Catégories!$D$5:$D$60,MATCH(E840,Catégories!$A$5:$A$60,0)),"?"))</f>
        <v/>
      </c>
      <c r="K840" s="33" t="n">
        <f aca="false">IF(H840="Recette",G840,IF(H840="Dépense",-G840,0))</f>
        <v>0</v>
      </c>
      <c r="L840" s="33" t="n">
        <f aca="false">IF(E840="",0,G840*IFERROR(INDEX(Catégories!$E$5:$E$60,MATCH(E840,Catégories!$A$5:$A$60,0)),0))</f>
        <v>0</v>
      </c>
    </row>
    <row r="841" customFormat="false" ht="15" hidden="false" customHeight="true" outlineLevel="0" collapsed="false">
      <c r="A841" s="34"/>
      <c r="B841" s="29" t="str">
        <f aca="false">IF(A841="","",YEAR(A841))</f>
        <v/>
      </c>
      <c r="G841" s="35"/>
      <c r="H841" s="32" t="str">
        <f aca="false">IF(E841="","",IFERROR(INDEX(Catégories!$B$5:$B$60,MATCH(E841,Catégories!$A$5:$A$60,0)),"?"))</f>
        <v/>
      </c>
      <c r="I841" s="32" t="str">
        <f aca="false">IF(E841="","",IFERROR(INDEX(Catégories!$C$5:$C$60,MATCH(E841,Catégories!$A$5:$A$60,0)),"?"))</f>
        <v/>
      </c>
      <c r="J841" s="32" t="str">
        <f aca="false">IF(E841="","",IFERROR(INDEX(Catégories!$D$5:$D$60,MATCH(E841,Catégories!$A$5:$A$60,0)),"?"))</f>
        <v/>
      </c>
      <c r="K841" s="33" t="n">
        <f aca="false">IF(H841="Recette",G841,IF(H841="Dépense",-G841,0))</f>
        <v>0</v>
      </c>
      <c r="L841" s="33" t="n">
        <f aca="false">IF(E841="",0,G841*IFERROR(INDEX(Catégories!$E$5:$E$60,MATCH(E841,Catégories!$A$5:$A$60,0)),0))</f>
        <v>0</v>
      </c>
    </row>
    <row r="842" customFormat="false" ht="15" hidden="false" customHeight="true" outlineLevel="0" collapsed="false">
      <c r="A842" s="34"/>
      <c r="B842" s="29" t="str">
        <f aca="false">IF(A842="","",YEAR(A842))</f>
        <v/>
      </c>
      <c r="G842" s="35"/>
      <c r="H842" s="32" t="str">
        <f aca="false">IF(E842="","",IFERROR(INDEX(Catégories!$B$5:$B$60,MATCH(E842,Catégories!$A$5:$A$60,0)),"?"))</f>
        <v/>
      </c>
      <c r="I842" s="32" t="str">
        <f aca="false">IF(E842="","",IFERROR(INDEX(Catégories!$C$5:$C$60,MATCH(E842,Catégories!$A$5:$A$60,0)),"?"))</f>
        <v/>
      </c>
      <c r="J842" s="32" t="str">
        <f aca="false">IF(E842="","",IFERROR(INDEX(Catégories!$D$5:$D$60,MATCH(E842,Catégories!$A$5:$A$60,0)),"?"))</f>
        <v/>
      </c>
      <c r="K842" s="33" t="n">
        <f aca="false">IF(H842="Recette",G842,IF(H842="Dépense",-G842,0))</f>
        <v>0</v>
      </c>
      <c r="L842" s="33" t="n">
        <f aca="false">IF(E842="",0,G842*IFERROR(INDEX(Catégories!$E$5:$E$60,MATCH(E842,Catégories!$A$5:$A$60,0)),0))</f>
        <v>0</v>
      </c>
    </row>
    <row r="843" customFormat="false" ht="15" hidden="false" customHeight="true" outlineLevel="0" collapsed="false">
      <c r="A843" s="34"/>
      <c r="B843" s="29" t="str">
        <f aca="false">IF(A843="","",YEAR(A843))</f>
        <v/>
      </c>
      <c r="G843" s="35"/>
      <c r="H843" s="32" t="str">
        <f aca="false">IF(E843="","",IFERROR(INDEX(Catégories!$B$5:$B$60,MATCH(E843,Catégories!$A$5:$A$60,0)),"?"))</f>
        <v/>
      </c>
      <c r="I843" s="32" t="str">
        <f aca="false">IF(E843="","",IFERROR(INDEX(Catégories!$C$5:$C$60,MATCH(E843,Catégories!$A$5:$A$60,0)),"?"))</f>
        <v/>
      </c>
      <c r="J843" s="32" t="str">
        <f aca="false">IF(E843="","",IFERROR(INDEX(Catégories!$D$5:$D$60,MATCH(E843,Catégories!$A$5:$A$60,0)),"?"))</f>
        <v/>
      </c>
      <c r="K843" s="33" t="n">
        <f aca="false">IF(H843="Recette",G843,IF(H843="Dépense",-G843,0))</f>
        <v>0</v>
      </c>
      <c r="L843" s="33" t="n">
        <f aca="false">IF(E843="",0,G843*IFERROR(INDEX(Catégories!$E$5:$E$60,MATCH(E843,Catégories!$A$5:$A$60,0)),0))</f>
        <v>0</v>
      </c>
    </row>
    <row r="844" customFormat="false" ht="15" hidden="false" customHeight="true" outlineLevel="0" collapsed="false">
      <c r="A844" s="34"/>
      <c r="B844" s="29" t="str">
        <f aca="false">IF(A844="","",YEAR(A844))</f>
        <v/>
      </c>
      <c r="G844" s="35"/>
      <c r="H844" s="32" t="str">
        <f aca="false">IF(E844="","",IFERROR(INDEX(Catégories!$B$5:$B$60,MATCH(E844,Catégories!$A$5:$A$60,0)),"?"))</f>
        <v/>
      </c>
      <c r="I844" s="32" t="str">
        <f aca="false">IF(E844="","",IFERROR(INDEX(Catégories!$C$5:$C$60,MATCH(E844,Catégories!$A$5:$A$60,0)),"?"))</f>
        <v/>
      </c>
      <c r="J844" s="32" t="str">
        <f aca="false">IF(E844="","",IFERROR(INDEX(Catégories!$D$5:$D$60,MATCH(E844,Catégories!$A$5:$A$60,0)),"?"))</f>
        <v/>
      </c>
      <c r="K844" s="33" t="n">
        <f aca="false">IF(H844="Recette",G844,IF(H844="Dépense",-G844,0))</f>
        <v>0</v>
      </c>
      <c r="L844" s="33" t="n">
        <f aca="false">IF(E844="",0,G844*IFERROR(INDEX(Catégories!$E$5:$E$60,MATCH(E844,Catégories!$A$5:$A$60,0)),0))</f>
        <v>0</v>
      </c>
    </row>
    <row r="845" customFormat="false" ht="15" hidden="false" customHeight="true" outlineLevel="0" collapsed="false">
      <c r="A845" s="34"/>
      <c r="B845" s="29" t="str">
        <f aca="false">IF(A845="","",YEAR(A845))</f>
        <v/>
      </c>
      <c r="G845" s="35"/>
      <c r="H845" s="32" t="str">
        <f aca="false">IF(E845="","",IFERROR(INDEX(Catégories!$B$5:$B$60,MATCH(E845,Catégories!$A$5:$A$60,0)),"?"))</f>
        <v/>
      </c>
      <c r="I845" s="32" t="str">
        <f aca="false">IF(E845="","",IFERROR(INDEX(Catégories!$C$5:$C$60,MATCH(E845,Catégories!$A$5:$A$60,0)),"?"))</f>
        <v/>
      </c>
      <c r="J845" s="32" t="str">
        <f aca="false">IF(E845="","",IFERROR(INDEX(Catégories!$D$5:$D$60,MATCH(E845,Catégories!$A$5:$A$60,0)),"?"))</f>
        <v/>
      </c>
      <c r="K845" s="33" t="n">
        <f aca="false">IF(H845="Recette",G845,IF(H845="Dépense",-G845,0))</f>
        <v>0</v>
      </c>
      <c r="L845" s="33" t="n">
        <f aca="false">IF(E845="",0,G845*IFERROR(INDEX(Catégories!$E$5:$E$60,MATCH(E845,Catégories!$A$5:$A$60,0)),0))</f>
        <v>0</v>
      </c>
    </row>
    <row r="846" customFormat="false" ht="15" hidden="false" customHeight="true" outlineLevel="0" collapsed="false">
      <c r="A846" s="34"/>
      <c r="B846" s="29" t="str">
        <f aca="false">IF(A846="","",YEAR(A846))</f>
        <v/>
      </c>
      <c r="G846" s="35"/>
      <c r="H846" s="32" t="str">
        <f aca="false">IF(E846="","",IFERROR(INDEX(Catégories!$B$5:$B$60,MATCH(E846,Catégories!$A$5:$A$60,0)),"?"))</f>
        <v/>
      </c>
      <c r="I846" s="32" t="str">
        <f aca="false">IF(E846="","",IFERROR(INDEX(Catégories!$C$5:$C$60,MATCH(E846,Catégories!$A$5:$A$60,0)),"?"))</f>
        <v/>
      </c>
      <c r="J846" s="32" t="str">
        <f aca="false">IF(E846="","",IFERROR(INDEX(Catégories!$D$5:$D$60,MATCH(E846,Catégories!$A$5:$A$60,0)),"?"))</f>
        <v/>
      </c>
      <c r="K846" s="33" t="n">
        <f aca="false">IF(H846="Recette",G846,IF(H846="Dépense",-G846,0))</f>
        <v>0</v>
      </c>
      <c r="L846" s="33" t="n">
        <f aca="false">IF(E846="",0,G846*IFERROR(INDEX(Catégories!$E$5:$E$60,MATCH(E846,Catégories!$A$5:$A$60,0)),0))</f>
        <v>0</v>
      </c>
    </row>
    <row r="847" customFormat="false" ht="15" hidden="false" customHeight="true" outlineLevel="0" collapsed="false">
      <c r="A847" s="34"/>
      <c r="B847" s="29" t="str">
        <f aca="false">IF(A847="","",YEAR(A847))</f>
        <v/>
      </c>
      <c r="G847" s="35"/>
      <c r="H847" s="32" t="str">
        <f aca="false">IF(E847="","",IFERROR(INDEX(Catégories!$B$5:$B$60,MATCH(E847,Catégories!$A$5:$A$60,0)),"?"))</f>
        <v/>
      </c>
      <c r="I847" s="32" t="str">
        <f aca="false">IF(E847="","",IFERROR(INDEX(Catégories!$C$5:$C$60,MATCH(E847,Catégories!$A$5:$A$60,0)),"?"))</f>
        <v/>
      </c>
      <c r="J847" s="32" t="str">
        <f aca="false">IF(E847="","",IFERROR(INDEX(Catégories!$D$5:$D$60,MATCH(E847,Catégories!$A$5:$A$60,0)),"?"))</f>
        <v/>
      </c>
      <c r="K847" s="33" t="n">
        <f aca="false">IF(H847="Recette",G847,IF(H847="Dépense",-G847,0))</f>
        <v>0</v>
      </c>
      <c r="L847" s="33" t="n">
        <f aca="false">IF(E847="",0,G847*IFERROR(INDEX(Catégories!$E$5:$E$60,MATCH(E847,Catégories!$A$5:$A$60,0)),0))</f>
        <v>0</v>
      </c>
    </row>
    <row r="848" customFormat="false" ht="15" hidden="false" customHeight="true" outlineLevel="0" collapsed="false">
      <c r="A848" s="34"/>
      <c r="B848" s="29" t="str">
        <f aca="false">IF(A848="","",YEAR(A848))</f>
        <v/>
      </c>
      <c r="G848" s="35"/>
      <c r="H848" s="32" t="str">
        <f aca="false">IF(E848="","",IFERROR(INDEX(Catégories!$B$5:$B$60,MATCH(E848,Catégories!$A$5:$A$60,0)),"?"))</f>
        <v/>
      </c>
      <c r="I848" s="32" t="str">
        <f aca="false">IF(E848="","",IFERROR(INDEX(Catégories!$C$5:$C$60,MATCH(E848,Catégories!$A$5:$A$60,0)),"?"))</f>
        <v/>
      </c>
      <c r="J848" s="32" t="str">
        <f aca="false">IF(E848="","",IFERROR(INDEX(Catégories!$D$5:$D$60,MATCH(E848,Catégories!$A$5:$A$60,0)),"?"))</f>
        <v/>
      </c>
      <c r="K848" s="33" t="n">
        <f aca="false">IF(H848="Recette",G848,IF(H848="Dépense",-G848,0))</f>
        <v>0</v>
      </c>
      <c r="L848" s="33" t="n">
        <f aca="false">IF(E848="",0,G848*IFERROR(INDEX(Catégories!$E$5:$E$60,MATCH(E848,Catégories!$A$5:$A$60,0)),0))</f>
        <v>0</v>
      </c>
    </row>
    <row r="849" customFormat="false" ht="15" hidden="false" customHeight="true" outlineLevel="0" collapsed="false">
      <c r="A849" s="34"/>
      <c r="B849" s="29" t="str">
        <f aca="false">IF(A849="","",YEAR(A849))</f>
        <v/>
      </c>
      <c r="G849" s="35"/>
      <c r="H849" s="32" t="str">
        <f aca="false">IF(E849="","",IFERROR(INDEX(Catégories!$B$5:$B$60,MATCH(E849,Catégories!$A$5:$A$60,0)),"?"))</f>
        <v/>
      </c>
      <c r="I849" s="32" t="str">
        <f aca="false">IF(E849="","",IFERROR(INDEX(Catégories!$C$5:$C$60,MATCH(E849,Catégories!$A$5:$A$60,0)),"?"))</f>
        <v/>
      </c>
      <c r="J849" s="32" t="str">
        <f aca="false">IF(E849="","",IFERROR(INDEX(Catégories!$D$5:$D$60,MATCH(E849,Catégories!$A$5:$A$60,0)),"?"))</f>
        <v/>
      </c>
      <c r="K849" s="33" t="n">
        <f aca="false">IF(H849="Recette",G849,IF(H849="Dépense",-G849,0))</f>
        <v>0</v>
      </c>
      <c r="L849" s="33" t="n">
        <f aca="false">IF(E849="",0,G849*IFERROR(INDEX(Catégories!$E$5:$E$60,MATCH(E849,Catégories!$A$5:$A$60,0)),0))</f>
        <v>0</v>
      </c>
    </row>
    <row r="850" customFormat="false" ht="15" hidden="false" customHeight="true" outlineLevel="0" collapsed="false">
      <c r="A850" s="34"/>
      <c r="B850" s="29" t="str">
        <f aca="false">IF(A850="","",YEAR(A850))</f>
        <v/>
      </c>
      <c r="G850" s="35"/>
      <c r="H850" s="32" t="str">
        <f aca="false">IF(E850="","",IFERROR(INDEX(Catégories!$B$5:$B$60,MATCH(E850,Catégories!$A$5:$A$60,0)),"?"))</f>
        <v/>
      </c>
      <c r="I850" s="32" t="str">
        <f aca="false">IF(E850="","",IFERROR(INDEX(Catégories!$C$5:$C$60,MATCH(E850,Catégories!$A$5:$A$60,0)),"?"))</f>
        <v/>
      </c>
      <c r="J850" s="32" t="str">
        <f aca="false">IF(E850="","",IFERROR(INDEX(Catégories!$D$5:$D$60,MATCH(E850,Catégories!$A$5:$A$60,0)),"?"))</f>
        <v/>
      </c>
      <c r="K850" s="33" t="n">
        <f aca="false">IF(H850="Recette",G850,IF(H850="Dépense",-G850,0))</f>
        <v>0</v>
      </c>
      <c r="L850" s="33" t="n">
        <f aca="false">IF(E850="",0,G850*IFERROR(INDEX(Catégories!$E$5:$E$60,MATCH(E850,Catégories!$A$5:$A$60,0)),0))</f>
        <v>0</v>
      </c>
    </row>
    <row r="851" customFormat="false" ht="15" hidden="false" customHeight="true" outlineLevel="0" collapsed="false">
      <c r="A851" s="34"/>
      <c r="B851" s="29" t="str">
        <f aca="false">IF(A851="","",YEAR(A851))</f>
        <v/>
      </c>
      <c r="G851" s="35"/>
      <c r="H851" s="32" t="str">
        <f aca="false">IF(E851="","",IFERROR(INDEX(Catégories!$B$5:$B$60,MATCH(E851,Catégories!$A$5:$A$60,0)),"?"))</f>
        <v/>
      </c>
      <c r="I851" s="32" t="str">
        <f aca="false">IF(E851="","",IFERROR(INDEX(Catégories!$C$5:$C$60,MATCH(E851,Catégories!$A$5:$A$60,0)),"?"))</f>
        <v/>
      </c>
      <c r="J851" s="32" t="str">
        <f aca="false">IF(E851="","",IFERROR(INDEX(Catégories!$D$5:$D$60,MATCH(E851,Catégories!$A$5:$A$60,0)),"?"))</f>
        <v/>
      </c>
      <c r="K851" s="33" t="n">
        <f aca="false">IF(H851="Recette",G851,IF(H851="Dépense",-G851,0))</f>
        <v>0</v>
      </c>
      <c r="L851" s="33" t="n">
        <f aca="false">IF(E851="",0,G851*IFERROR(INDEX(Catégories!$E$5:$E$60,MATCH(E851,Catégories!$A$5:$A$60,0)),0))</f>
        <v>0</v>
      </c>
    </row>
    <row r="852" customFormat="false" ht="15" hidden="false" customHeight="true" outlineLevel="0" collapsed="false">
      <c r="A852" s="34"/>
      <c r="B852" s="29" t="str">
        <f aca="false">IF(A852="","",YEAR(A852))</f>
        <v/>
      </c>
      <c r="G852" s="35"/>
      <c r="H852" s="32" t="str">
        <f aca="false">IF(E852="","",IFERROR(INDEX(Catégories!$B$5:$B$60,MATCH(E852,Catégories!$A$5:$A$60,0)),"?"))</f>
        <v/>
      </c>
      <c r="I852" s="32" t="str">
        <f aca="false">IF(E852="","",IFERROR(INDEX(Catégories!$C$5:$C$60,MATCH(E852,Catégories!$A$5:$A$60,0)),"?"))</f>
        <v/>
      </c>
      <c r="J852" s="32" t="str">
        <f aca="false">IF(E852="","",IFERROR(INDEX(Catégories!$D$5:$D$60,MATCH(E852,Catégories!$A$5:$A$60,0)),"?"))</f>
        <v/>
      </c>
      <c r="K852" s="33" t="n">
        <f aca="false">IF(H852="Recette",G852,IF(H852="Dépense",-G852,0))</f>
        <v>0</v>
      </c>
      <c r="L852" s="33" t="n">
        <f aca="false">IF(E852="",0,G852*IFERROR(INDEX(Catégories!$E$5:$E$60,MATCH(E852,Catégories!$A$5:$A$60,0)),0))</f>
        <v>0</v>
      </c>
    </row>
    <row r="853" customFormat="false" ht="15" hidden="false" customHeight="true" outlineLevel="0" collapsed="false">
      <c r="A853" s="34"/>
      <c r="B853" s="29" t="str">
        <f aca="false">IF(A853="","",YEAR(A853))</f>
        <v/>
      </c>
      <c r="G853" s="35"/>
      <c r="H853" s="32" t="str">
        <f aca="false">IF(E853="","",IFERROR(INDEX(Catégories!$B$5:$B$60,MATCH(E853,Catégories!$A$5:$A$60,0)),"?"))</f>
        <v/>
      </c>
      <c r="I853" s="32" t="str">
        <f aca="false">IF(E853="","",IFERROR(INDEX(Catégories!$C$5:$C$60,MATCH(E853,Catégories!$A$5:$A$60,0)),"?"))</f>
        <v/>
      </c>
      <c r="J853" s="32" t="str">
        <f aca="false">IF(E853="","",IFERROR(INDEX(Catégories!$D$5:$D$60,MATCH(E853,Catégories!$A$5:$A$60,0)),"?"))</f>
        <v/>
      </c>
      <c r="K853" s="33" t="n">
        <f aca="false">IF(H853="Recette",G853,IF(H853="Dépense",-G853,0))</f>
        <v>0</v>
      </c>
      <c r="L853" s="33" t="n">
        <f aca="false">IF(E853="",0,G853*IFERROR(INDEX(Catégories!$E$5:$E$60,MATCH(E853,Catégories!$A$5:$A$60,0)),0))</f>
        <v>0</v>
      </c>
    </row>
    <row r="854" customFormat="false" ht="15" hidden="false" customHeight="true" outlineLevel="0" collapsed="false">
      <c r="A854" s="34"/>
      <c r="B854" s="29" t="str">
        <f aca="false">IF(A854="","",YEAR(A854))</f>
        <v/>
      </c>
      <c r="G854" s="35"/>
      <c r="H854" s="32" t="str">
        <f aca="false">IF(E854="","",IFERROR(INDEX(Catégories!$B$5:$B$60,MATCH(E854,Catégories!$A$5:$A$60,0)),"?"))</f>
        <v/>
      </c>
      <c r="I854" s="32" t="str">
        <f aca="false">IF(E854="","",IFERROR(INDEX(Catégories!$C$5:$C$60,MATCH(E854,Catégories!$A$5:$A$60,0)),"?"))</f>
        <v/>
      </c>
      <c r="J854" s="32" t="str">
        <f aca="false">IF(E854="","",IFERROR(INDEX(Catégories!$D$5:$D$60,MATCH(E854,Catégories!$A$5:$A$60,0)),"?"))</f>
        <v/>
      </c>
      <c r="K854" s="33" t="n">
        <f aca="false">IF(H854="Recette",G854,IF(H854="Dépense",-G854,0))</f>
        <v>0</v>
      </c>
      <c r="L854" s="33" t="n">
        <f aca="false">IF(E854="",0,G854*IFERROR(INDEX(Catégories!$E$5:$E$60,MATCH(E854,Catégories!$A$5:$A$60,0)),0))</f>
        <v>0</v>
      </c>
    </row>
    <row r="855" customFormat="false" ht="15" hidden="false" customHeight="true" outlineLevel="0" collapsed="false">
      <c r="A855" s="34"/>
      <c r="B855" s="29" t="str">
        <f aca="false">IF(A855="","",YEAR(A855))</f>
        <v/>
      </c>
      <c r="G855" s="35"/>
      <c r="H855" s="32" t="str">
        <f aca="false">IF(E855="","",IFERROR(INDEX(Catégories!$B$5:$B$60,MATCH(E855,Catégories!$A$5:$A$60,0)),"?"))</f>
        <v/>
      </c>
      <c r="I855" s="32" t="str">
        <f aca="false">IF(E855="","",IFERROR(INDEX(Catégories!$C$5:$C$60,MATCH(E855,Catégories!$A$5:$A$60,0)),"?"))</f>
        <v/>
      </c>
      <c r="J855" s="32" t="str">
        <f aca="false">IF(E855="","",IFERROR(INDEX(Catégories!$D$5:$D$60,MATCH(E855,Catégories!$A$5:$A$60,0)),"?"))</f>
        <v/>
      </c>
      <c r="K855" s="33" t="n">
        <f aca="false">IF(H855="Recette",G855,IF(H855="Dépense",-G855,0))</f>
        <v>0</v>
      </c>
      <c r="L855" s="33" t="n">
        <f aca="false">IF(E855="",0,G855*IFERROR(INDEX(Catégories!$E$5:$E$60,MATCH(E855,Catégories!$A$5:$A$60,0)),0))</f>
        <v>0</v>
      </c>
    </row>
    <row r="856" customFormat="false" ht="15" hidden="false" customHeight="true" outlineLevel="0" collapsed="false">
      <c r="A856" s="34"/>
      <c r="B856" s="29" t="str">
        <f aca="false">IF(A856="","",YEAR(A856))</f>
        <v/>
      </c>
      <c r="G856" s="35"/>
      <c r="H856" s="32" t="str">
        <f aca="false">IF(E856="","",IFERROR(INDEX(Catégories!$B$5:$B$60,MATCH(E856,Catégories!$A$5:$A$60,0)),"?"))</f>
        <v/>
      </c>
      <c r="I856" s="32" t="str">
        <f aca="false">IF(E856="","",IFERROR(INDEX(Catégories!$C$5:$C$60,MATCH(E856,Catégories!$A$5:$A$60,0)),"?"))</f>
        <v/>
      </c>
      <c r="J856" s="32" t="str">
        <f aca="false">IF(E856="","",IFERROR(INDEX(Catégories!$D$5:$D$60,MATCH(E856,Catégories!$A$5:$A$60,0)),"?"))</f>
        <v/>
      </c>
      <c r="K856" s="33" t="n">
        <f aca="false">IF(H856="Recette",G856,IF(H856="Dépense",-G856,0))</f>
        <v>0</v>
      </c>
      <c r="L856" s="33" t="n">
        <f aca="false">IF(E856="",0,G856*IFERROR(INDEX(Catégories!$E$5:$E$60,MATCH(E856,Catégories!$A$5:$A$60,0)),0))</f>
        <v>0</v>
      </c>
    </row>
    <row r="857" customFormat="false" ht="15" hidden="false" customHeight="true" outlineLevel="0" collapsed="false">
      <c r="A857" s="34"/>
      <c r="B857" s="29" t="str">
        <f aca="false">IF(A857="","",YEAR(A857))</f>
        <v/>
      </c>
      <c r="G857" s="35"/>
      <c r="H857" s="32" t="str">
        <f aca="false">IF(E857="","",IFERROR(INDEX(Catégories!$B$5:$B$60,MATCH(E857,Catégories!$A$5:$A$60,0)),"?"))</f>
        <v/>
      </c>
      <c r="I857" s="32" t="str">
        <f aca="false">IF(E857="","",IFERROR(INDEX(Catégories!$C$5:$C$60,MATCH(E857,Catégories!$A$5:$A$60,0)),"?"))</f>
        <v/>
      </c>
      <c r="J857" s="32" t="str">
        <f aca="false">IF(E857="","",IFERROR(INDEX(Catégories!$D$5:$D$60,MATCH(E857,Catégories!$A$5:$A$60,0)),"?"))</f>
        <v/>
      </c>
      <c r="K857" s="33" t="n">
        <f aca="false">IF(H857="Recette",G857,IF(H857="Dépense",-G857,0))</f>
        <v>0</v>
      </c>
      <c r="L857" s="33" t="n">
        <f aca="false">IF(E857="",0,G857*IFERROR(INDEX(Catégories!$E$5:$E$60,MATCH(E857,Catégories!$A$5:$A$60,0)),0))</f>
        <v>0</v>
      </c>
    </row>
    <row r="858" customFormat="false" ht="15" hidden="false" customHeight="true" outlineLevel="0" collapsed="false">
      <c r="A858" s="34"/>
      <c r="B858" s="29" t="str">
        <f aca="false">IF(A858="","",YEAR(A858))</f>
        <v/>
      </c>
      <c r="G858" s="35"/>
      <c r="H858" s="32" t="str">
        <f aca="false">IF(E858="","",IFERROR(INDEX(Catégories!$B$5:$B$60,MATCH(E858,Catégories!$A$5:$A$60,0)),"?"))</f>
        <v/>
      </c>
      <c r="I858" s="32" t="str">
        <f aca="false">IF(E858="","",IFERROR(INDEX(Catégories!$C$5:$C$60,MATCH(E858,Catégories!$A$5:$A$60,0)),"?"))</f>
        <v/>
      </c>
      <c r="J858" s="32" t="str">
        <f aca="false">IF(E858="","",IFERROR(INDEX(Catégories!$D$5:$D$60,MATCH(E858,Catégories!$A$5:$A$60,0)),"?"))</f>
        <v/>
      </c>
      <c r="K858" s="33" t="n">
        <f aca="false">IF(H858="Recette",G858,IF(H858="Dépense",-G858,0))</f>
        <v>0</v>
      </c>
      <c r="L858" s="33" t="n">
        <f aca="false">IF(E858="",0,G858*IFERROR(INDEX(Catégories!$E$5:$E$60,MATCH(E858,Catégories!$A$5:$A$60,0)),0))</f>
        <v>0</v>
      </c>
    </row>
    <row r="859" customFormat="false" ht="15" hidden="false" customHeight="true" outlineLevel="0" collapsed="false">
      <c r="A859" s="34"/>
      <c r="B859" s="29" t="str">
        <f aca="false">IF(A859="","",YEAR(A859))</f>
        <v/>
      </c>
      <c r="G859" s="35"/>
      <c r="H859" s="32" t="str">
        <f aca="false">IF(E859="","",IFERROR(INDEX(Catégories!$B$5:$B$60,MATCH(E859,Catégories!$A$5:$A$60,0)),"?"))</f>
        <v/>
      </c>
      <c r="I859" s="32" t="str">
        <f aca="false">IF(E859="","",IFERROR(INDEX(Catégories!$C$5:$C$60,MATCH(E859,Catégories!$A$5:$A$60,0)),"?"))</f>
        <v/>
      </c>
      <c r="J859" s="32" t="str">
        <f aca="false">IF(E859="","",IFERROR(INDEX(Catégories!$D$5:$D$60,MATCH(E859,Catégories!$A$5:$A$60,0)),"?"))</f>
        <v/>
      </c>
      <c r="K859" s="33" t="n">
        <f aca="false">IF(H859="Recette",G859,IF(H859="Dépense",-G859,0))</f>
        <v>0</v>
      </c>
      <c r="L859" s="33" t="n">
        <f aca="false">IF(E859="",0,G859*IFERROR(INDEX(Catégories!$E$5:$E$60,MATCH(E859,Catégories!$A$5:$A$60,0)),0))</f>
        <v>0</v>
      </c>
    </row>
    <row r="860" customFormat="false" ht="15" hidden="false" customHeight="true" outlineLevel="0" collapsed="false">
      <c r="A860" s="34"/>
      <c r="B860" s="29" t="str">
        <f aca="false">IF(A860="","",YEAR(A860))</f>
        <v/>
      </c>
      <c r="G860" s="35"/>
      <c r="H860" s="32" t="str">
        <f aca="false">IF(E860="","",IFERROR(INDEX(Catégories!$B$5:$B$60,MATCH(E860,Catégories!$A$5:$A$60,0)),"?"))</f>
        <v/>
      </c>
      <c r="I860" s="32" t="str">
        <f aca="false">IF(E860="","",IFERROR(INDEX(Catégories!$C$5:$C$60,MATCH(E860,Catégories!$A$5:$A$60,0)),"?"))</f>
        <v/>
      </c>
      <c r="J860" s="32" t="str">
        <f aca="false">IF(E860="","",IFERROR(INDEX(Catégories!$D$5:$D$60,MATCH(E860,Catégories!$A$5:$A$60,0)),"?"))</f>
        <v/>
      </c>
      <c r="K860" s="33" t="n">
        <f aca="false">IF(H860="Recette",G860,IF(H860="Dépense",-G860,0))</f>
        <v>0</v>
      </c>
      <c r="L860" s="33" t="n">
        <f aca="false">IF(E860="",0,G860*IFERROR(INDEX(Catégories!$E$5:$E$60,MATCH(E860,Catégories!$A$5:$A$60,0)),0))</f>
        <v>0</v>
      </c>
    </row>
    <row r="861" customFormat="false" ht="15" hidden="false" customHeight="true" outlineLevel="0" collapsed="false">
      <c r="A861" s="34"/>
      <c r="B861" s="29" t="str">
        <f aca="false">IF(A861="","",YEAR(A861))</f>
        <v/>
      </c>
      <c r="G861" s="35"/>
      <c r="H861" s="32" t="str">
        <f aca="false">IF(E861="","",IFERROR(INDEX(Catégories!$B$5:$B$60,MATCH(E861,Catégories!$A$5:$A$60,0)),"?"))</f>
        <v/>
      </c>
      <c r="I861" s="32" t="str">
        <f aca="false">IF(E861="","",IFERROR(INDEX(Catégories!$C$5:$C$60,MATCH(E861,Catégories!$A$5:$A$60,0)),"?"))</f>
        <v/>
      </c>
      <c r="J861" s="32" t="str">
        <f aca="false">IF(E861="","",IFERROR(INDEX(Catégories!$D$5:$D$60,MATCH(E861,Catégories!$A$5:$A$60,0)),"?"))</f>
        <v/>
      </c>
      <c r="K861" s="33" t="n">
        <f aca="false">IF(H861="Recette",G861,IF(H861="Dépense",-G861,0))</f>
        <v>0</v>
      </c>
      <c r="L861" s="33" t="n">
        <f aca="false">IF(E861="",0,G861*IFERROR(INDEX(Catégories!$E$5:$E$60,MATCH(E861,Catégories!$A$5:$A$60,0)),0))</f>
        <v>0</v>
      </c>
    </row>
    <row r="862" customFormat="false" ht="15" hidden="false" customHeight="true" outlineLevel="0" collapsed="false">
      <c r="A862" s="34"/>
      <c r="B862" s="29" t="str">
        <f aca="false">IF(A862="","",YEAR(A862))</f>
        <v/>
      </c>
      <c r="G862" s="35"/>
      <c r="H862" s="32" t="str">
        <f aca="false">IF(E862="","",IFERROR(INDEX(Catégories!$B$5:$B$60,MATCH(E862,Catégories!$A$5:$A$60,0)),"?"))</f>
        <v/>
      </c>
      <c r="I862" s="32" t="str">
        <f aca="false">IF(E862="","",IFERROR(INDEX(Catégories!$C$5:$C$60,MATCH(E862,Catégories!$A$5:$A$60,0)),"?"))</f>
        <v/>
      </c>
      <c r="J862" s="32" t="str">
        <f aca="false">IF(E862="","",IFERROR(INDEX(Catégories!$D$5:$D$60,MATCH(E862,Catégories!$A$5:$A$60,0)),"?"))</f>
        <v/>
      </c>
      <c r="K862" s="33" t="n">
        <f aca="false">IF(H862="Recette",G862,IF(H862="Dépense",-G862,0))</f>
        <v>0</v>
      </c>
      <c r="L862" s="33" t="n">
        <f aca="false">IF(E862="",0,G862*IFERROR(INDEX(Catégories!$E$5:$E$60,MATCH(E862,Catégories!$A$5:$A$60,0)),0))</f>
        <v>0</v>
      </c>
    </row>
    <row r="863" customFormat="false" ht="15" hidden="false" customHeight="true" outlineLevel="0" collapsed="false">
      <c r="A863" s="34"/>
      <c r="B863" s="29" t="str">
        <f aca="false">IF(A863="","",YEAR(A863))</f>
        <v/>
      </c>
      <c r="G863" s="35"/>
      <c r="H863" s="32" t="str">
        <f aca="false">IF(E863="","",IFERROR(INDEX(Catégories!$B$5:$B$60,MATCH(E863,Catégories!$A$5:$A$60,0)),"?"))</f>
        <v/>
      </c>
      <c r="I863" s="32" t="str">
        <f aca="false">IF(E863="","",IFERROR(INDEX(Catégories!$C$5:$C$60,MATCH(E863,Catégories!$A$5:$A$60,0)),"?"))</f>
        <v/>
      </c>
      <c r="J863" s="32" t="str">
        <f aca="false">IF(E863="","",IFERROR(INDEX(Catégories!$D$5:$D$60,MATCH(E863,Catégories!$A$5:$A$60,0)),"?"))</f>
        <v/>
      </c>
      <c r="K863" s="33" t="n">
        <f aca="false">IF(H863="Recette",G863,IF(H863="Dépense",-G863,0))</f>
        <v>0</v>
      </c>
      <c r="L863" s="33" t="n">
        <f aca="false">IF(E863="",0,G863*IFERROR(INDEX(Catégories!$E$5:$E$60,MATCH(E863,Catégories!$A$5:$A$60,0)),0))</f>
        <v>0</v>
      </c>
    </row>
    <row r="864" customFormat="false" ht="15" hidden="false" customHeight="true" outlineLevel="0" collapsed="false">
      <c r="A864" s="34"/>
      <c r="B864" s="29" t="str">
        <f aca="false">IF(A864="","",YEAR(A864))</f>
        <v/>
      </c>
      <c r="G864" s="35"/>
      <c r="H864" s="32" t="str">
        <f aca="false">IF(E864="","",IFERROR(INDEX(Catégories!$B$5:$B$60,MATCH(E864,Catégories!$A$5:$A$60,0)),"?"))</f>
        <v/>
      </c>
      <c r="I864" s="32" t="str">
        <f aca="false">IF(E864="","",IFERROR(INDEX(Catégories!$C$5:$C$60,MATCH(E864,Catégories!$A$5:$A$60,0)),"?"))</f>
        <v/>
      </c>
      <c r="J864" s="32" t="str">
        <f aca="false">IF(E864="","",IFERROR(INDEX(Catégories!$D$5:$D$60,MATCH(E864,Catégories!$A$5:$A$60,0)),"?"))</f>
        <v/>
      </c>
      <c r="K864" s="33" t="n">
        <f aca="false">IF(H864="Recette",G864,IF(H864="Dépense",-G864,0))</f>
        <v>0</v>
      </c>
      <c r="L864" s="33" t="n">
        <f aca="false">IF(E864="",0,G864*IFERROR(INDEX(Catégories!$E$5:$E$60,MATCH(E864,Catégories!$A$5:$A$60,0)),0))</f>
        <v>0</v>
      </c>
    </row>
    <row r="865" customFormat="false" ht="15" hidden="false" customHeight="true" outlineLevel="0" collapsed="false">
      <c r="A865" s="34"/>
      <c r="B865" s="29" t="str">
        <f aca="false">IF(A865="","",YEAR(A865))</f>
        <v/>
      </c>
      <c r="G865" s="35"/>
      <c r="H865" s="32" t="str">
        <f aca="false">IF(E865="","",IFERROR(INDEX(Catégories!$B$5:$B$60,MATCH(E865,Catégories!$A$5:$A$60,0)),"?"))</f>
        <v/>
      </c>
      <c r="I865" s="32" t="str">
        <f aca="false">IF(E865="","",IFERROR(INDEX(Catégories!$C$5:$C$60,MATCH(E865,Catégories!$A$5:$A$60,0)),"?"))</f>
        <v/>
      </c>
      <c r="J865" s="32" t="str">
        <f aca="false">IF(E865="","",IFERROR(INDEX(Catégories!$D$5:$D$60,MATCH(E865,Catégories!$A$5:$A$60,0)),"?"))</f>
        <v/>
      </c>
      <c r="K865" s="33" t="n">
        <f aca="false">IF(H865="Recette",G865,IF(H865="Dépense",-G865,0))</f>
        <v>0</v>
      </c>
      <c r="L865" s="33" t="n">
        <f aca="false">IF(E865="",0,G865*IFERROR(INDEX(Catégories!$E$5:$E$60,MATCH(E865,Catégories!$A$5:$A$60,0)),0))</f>
        <v>0</v>
      </c>
    </row>
    <row r="866" customFormat="false" ht="15" hidden="false" customHeight="true" outlineLevel="0" collapsed="false">
      <c r="A866" s="34"/>
      <c r="B866" s="29" t="str">
        <f aca="false">IF(A866="","",YEAR(A866))</f>
        <v/>
      </c>
      <c r="G866" s="35"/>
      <c r="H866" s="32" t="str">
        <f aca="false">IF(E866="","",IFERROR(INDEX(Catégories!$B$5:$B$60,MATCH(E866,Catégories!$A$5:$A$60,0)),"?"))</f>
        <v/>
      </c>
      <c r="I866" s="32" t="str">
        <f aca="false">IF(E866="","",IFERROR(INDEX(Catégories!$C$5:$C$60,MATCH(E866,Catégories!$A$5:$A$60,0)),"?"))</f>
        <v/>
      </c>
      <c r="J866" s="32" t="str">
        <f aca="false">IF(E866="","",IFERROR(INDEX(Catégories!$D$5:$D$60,MATCH(E866,Catégories!$A$5:$A$60,0)),"?"))</f>
        <v/>
      </c>
      <c r="K866" s="33" t="n">
        <f aca="false">IF(H866="Recette",G866,IF(H866="Dépense",-G866,0))</f>
        <v>0</v>
      </c>
      <c r="L866" s="33" t="n">
        <f aca="false">IF(E866="",0,G866*IFERROR(INDEX(Catégories!$E$5:$E$60,MATCH(E866,Catégories!$A$5:$A$60,0)),0))</f>
        <v>0</v>
      </c>
    </row>
    <row r="867" customFormat="false" ht="15" hidden="false" customHeight="true" outlineLevel="0" collapsed="false">
      <c r="A867" s="34"/>
      <c r="B867" s="29" t="str">
        <f aca="false">IF(A867="","",YEAR(A867))</f>
        <v/>
      </c>
      <c r="G867" s="35"/>
      <c r="H867" s="32" t="str">
        <f aca="false">IF(E867="","",IFERROR(INDEX(Catégories!$B$5:$B$60,MATCH(E867,Catégories!$A$5:$A$60,0)),"?"))</f>
        <v/>
      </c>
      <c r="I867" s="32" t="str">
        <f aca="false">IF(E867="","",IFERROR(INDEX(Catégories!$C$5:$C$60,MATCH(E867,Catégories!$A$5:$A$60,0)),"?"))</f>
        <v/>
      </c>
      <c r="J867" s="32" t="str">
        <f aca="false">IF(E867="","",IFERROR(INDEX(Catégories!$D$5:$D$60,MATCH(E867,Catégories!$A$5:$A$60,0)),"?"))</f>
        <v/>
      </c>
      <c r="K867" s="33" t="n">
        <f aca="false">IF(H867="Recette",G867,IF(H867="Dépense",-G867,0))</f>
        <v>0</v>
      </c>
      <c r="L867" s="33" t="n">
        <f aca="false">IF(E867="",0,G867*IFERROR(INDEX(Catégories!$E$5:$E$60,MATCH(E867,Catégories!$A$5:$A$60,0)),0))</f>
        <v>0</v>
      </c>
    </row>
    <row r="868" customFormat="false" ht="15" hidden="false" customHeight="true" outlineLevel="0" collapsed="false">
      <c r="A868" s="34"/>
      <c r="B868" s="29" t="str">
        <f aca="false">IF(A868="","",YEAR(A868))</f>
        <v/>
      </c>
      <c r="G868" s="35"/>
      <c r="H868" s="32" t="str">
        <f aca="false">IF(E868="","",IFERROR(INDEX(Catégories!$B$5:$B$60,MATCH(E868,Catégories!$A$5:$A$60,0)),"?"))</f>
        <v/>
      </c>
      <c r="I868" s="32" t="str">
        <f aca="false">IF(E868="","",IFERROR(INDEX(Catégories!$C$5:$C$60,MATCH(E868,Catégories!$A$5:$A$60,0)),"?"))</f>
        <v/>
      </c>
      <c r="J868" s="32" t="str">
        <f aca="false">IF(E868="","",IFERROR(INDEX(Catégories!$D$5:$D$60,MATCH(E868,Catégories!$A$5:$A$60,0)),"?"))</f>
        <v/>
      </c>
      <c r="K868" s="33" t="n">
        <f aca="false">IF(H868="Recette",G868,IF(H868="Dépense",-G868,0))</f>
        <v>0</v>
      </c>
      <c r="L868" s="33" t="n">
        <f aca="false">IF(E868="",0,G868*IFERROR(INDEX(Catégories!$E$5:$E$60,MATCH(E868,Catégories!$A$5:$A$60,0)),0))</f>
        <v>0</v>
      </c>
    </row>
    <row r="869" customFormat="false" ht="15" hidden="false" customHeight="true" outlineLevel="0" collapsed="false">
      <c r="A869" s="34"/>
      <c r="B869" s="29" t="str">
        <f aca="false">IF(A869="","",YEAR(A869))</f>
        <v/>
      </c>
      <c r="G869" s="35"/>
      <c r="H869" s="32" t="str">
        <f aca="false">IF(E869="","",IFERROR(INDEX(Catégories!$B$5:$B$60,MATCH(E869,Catégories!$A$5:$A$60,0)),"?"))</f>
        <v/>
      </c>
      <c r="I869" s="32" t="str">
        <f aca="false">IF(E869="","",IFERROR(INDEX(Catégories!$C$5:$C$60,MATCH(E869,Catégories!$A$5:$A$60,0)),"?"))</f>
        <v/>
      </c>
      <c r="J869" s="32" t="str">
        <f aca="false">IF(E869="","",IFERROR(INDEX(Catégories!$D$5:$D$60,MATCH(E869,Catégories!$A$5:$A$60,0)),"?"))</f>
        <v/>
      </c>
      <c r="K869" s="33" t="n">
        <f aca="false">IF(H869="Recette",G869,IF(H869="Dépense",-G869,0))</f>
        <v>0</v>
      </c>
      <c r="L869" s="33" t="n">
        <f aca="false">IF(E869="",0,G869*IFERROR(INDEX(Catégories!$E$5:$E$60,MATCH(E869,Catégories!$A$5:$A$60,0)),0))</f>
        <v>0</v>
      </c>
    </row>
    <row r="870" customFormat="false" ht="15" hidden="false" customHeight="true" outlineLevel="0" collapsed="false">
      <c r="A870" s="34"/>
      <c r="B870" s="29" t="str">
        <f aca="false">IF(A870="","",YEAR(A870))</f>
        <v/>
      </c>
      <c r="G870" s="35"/>
      <c r="H870" s="32" t="str">
        <f aca="false">IF(E870="","",IFERROR(INDEX(Catégories!$B$5:$B$60,MATCH(E870,Catégories!$A$5:$A$60,0)),"?"))</f>
        <v/>
      </c>
      <c r="I870" s="32" t="str">
        <f aca="false">IF(E870="","",IFERROR(INDEX(Catégories!$C$5:$C$60,MATCH(E870,Catégories!$A$5:$A$60,0)),"?"))</f>
        <v/>
      </c>
      <c r="J870" s="32" t="str">
        <f aca="false">IF(E870="","",IFERROR(INDEX(Catégories!$D$5:$D$60,MATCH(E870,Catégories!$A$5:$A$60,0)),"?"))</f>
        <v/>
      </c>
      <c r="K870" s="33" t="n">
        <f aca="false">IF(H870="Recette",G870,IF(H870="Dépense",-G870,0))</f>
        <v>0</v>
      </c>
      <c r="L870" s="33" t="n">
        <f aca="false">IF(E870="",0,G870*IFERROR(INDEX(Catégories!$E$5:$E$60,MATCH(E870,Catégories!$A$5:$A$60,0)),0))</f>
        <v>0</v>
      </c>
    </row>
    <row r="871" customFormat="false" ht="15" hidden="false" customHeight="true" outlineLevel="0" collapsed="false">
      <c r="A871" s="34"/>
      <c r="B871" s="29" t="str">
        <f aca="false">IF(A871="","",YEAR(A871))</f>
        <v/>
      </c>
      <c r="G871" s="35"/>
      <c r="H871" s="32" t="str">
        <f aca="false">IF(E871="","",IFERROR(INDEX(Catégories!$B$5:$B$60,MATCH(E871,Catégories!$A$5:$A$60,0)),"?"))</f>
        <v/>
      </c>
      <c r="I871" s="32" t="str">
        <f aca="false">IF(E871="","",IFERROR(INDEX(Catégories!$C$5:$C$60,MATCH(E871,Catégories!$A$5:$A$60,0)),"?"))</f>
        <v/>
      </c>
      <c r="J871" s="32" t="str">
        <f aca="false">IF(E871="","",IFERROR(INDEX(Catégories!$D$5:$D$60,MATCH(E871,Catégories!$A$5:$A$60,0)),"?"))</f>
        <v/>
      </c>
      <c r="K871" s="33" t="n">
        <f aca="false">IF(H871="Recette",G871,IF(H871="Dépense",-G871,0))</f>
        <v>0</v>
      </c>
      <c r="L871" s="33" t="n">
        <f aca="false">IF(E871="",0,G871*IFERROR(INDEX(Catégories!$E$5:$E$60,MATCH(E871,Catégories!$A$5:$A$60,0)),0))</f>
        <v>0</v>
      </c>
    </row>
    <row r="872" customFormat="false" ht="15" hidden="false" customHeight="true" outlineLevel="0" collapsed="false">
      <c r="A872" s="34"/>
      <c r="B872" s="29" t="str">
        <f aca="false">IF(A872="","",YEAR(A872))</f>
        <v/>
      </c>
      <c r="G872" s="35"/>
      <c r="H872" s="32" t="str">
        <f aca="false">IF(E872="","",IFERROR(INDEX(Catégories!$B$5:$B$60,MATCH(E872,Catégories!$A$5:$A$60,0)),"?"))</f>
        <v/>
      </c>
      <c r="I872" s="32" t="str">
        <f aca="false">IF(E872="","",IFERROR(INDEX(Catégories!$C$5:$C$60,MATCH(E872,Catégories!$A$5:$A$60,0)),"?"))</f>
        <v/>
      </c>
      <c r="J872" s="32" t="str">
        <f aca="false">IF(E872="","",IFERROR(INDEX(Catégories!$D$5:$D$60,MATCH(E872,Catégories!$A$5:$A$60,0)),"?"))</f>
        <v/>
      </c>
      <c r="K872" s="33" t="n">
        <f aca="false">IF(H872="Recette",G872,IF(H872="Dépense",-G872,0))</f>
        <v>0</v>
      </c>
      <c r="L872" s="33" t="n">
        <f aca="false">IF(E872="",0,G872*IFERROR(INDEX(Catégories!$E$5:$E$60,MATCH(E872,Catégories!$A$5:$A$60,0)),0))</f>
        <v>0</v>
      </c>
    </row>
    <row r="873" customFormat="false" ht="15" hidden="false" customHeight="true" outlineLevel="0" collapsed="false">
      <c r="A873" s="34"/>
      <c r="B873" s="29" t="str">
        <f aca="false">IF(A873="","",YEAR(A873))</f>
        <v/>
      </c>
      <c r="G873" s="35"/>
      <c r="H873" s="32" t="str">
        <f aca="false">IF(E873="","",IFERROR(INDEX(Catégories!$B$5:$B$60,MATCH(E873,Catégories!$A$5:$A$60,0)),"?"))</f>
        <v/>
      </c>
      <c r="I873" s="32" t="str">
        <f aca="false">IF(E873="","",IFERROR(INDEX(Catégories!$C$5:$C$60,MATCH(E873,Catégories!$A$5:$A$60,0)),"?"))</f>
        <v/>
      </c>
      <c r="J873" s="32" t="str">
        <f aca="false">IF(E873="","",IFERROR(INDEX(Catégories!$D$5:$D$60,MATCH(E873,Catégories!$A$5:$A$60,0)),"?"))</f>
        <v/>
      </c>
      <c r="K873" s="33" t="n">
        <f aca="false">IF(H873="Recette",G873,IF(H873="Dépense",-G873,0))</f>
        <v>0</v>
      </c>
      <c r="L873" s="33" t="n">
        <f aca="false">IF(E873="",0,G873*IFERROR(INDEX(Catégories!$E$5:$E$60,MATCH(E873,Catégories!$A$5:$A$60,0)),0))</f>
        <v>0</v>
      </c>
    </row>
    <row r="874" customFormat="false" ht="15" hidden="false" customHeight="true" outlineLevel="0" collapsed="false">
      <c r="A874" s="34"/>
      <c r="B874" s="29" t="str">
        <f aca="false">IF(A874="","",YEAR(A874))</f>
        <v/>
      </c>
      <c r="G874" s="35"/>
      <c r="H874" s="32" t="str">
        <f aca="false">IF(E874="","",IFERROR(INDEX(Catégories!$B$5:$B$60,MATCH(E874,Catégories!$A$5:$A$60,0)),"?"))</f>
        <v/>
      </c>
      <c r="I874" s="32" t="str">
        <f aca="false">IF(E874="","",IFERROR(INDEX(Catégories!$C$5:$C$60,MATCH(E874,Catégories!$A$5:$A$60,0)),"?"))</f>
        <v/>
      </c>
      <c r="J874" s="32" t="str">
        <f aca="false">IF(E874="","",IFERROR(INDEX(Catégories!$D$5:$D$60,MATCH(E874,Catégories!$A$5:$A$60,0)),"?"))</f>
        <v/>
      </c>
      <c r="K874" s="33" t="n">
        <f aca="false">IF(H874="Recette",G874,IF(H874="Dépense",-G874,0))</f>
        <v>0</v>
      </c>
      <c r="L874" s="33" t="n">
        <f aca="false">IF(E874="",0,G874*IFERROR(INDEX(Catégories!$E$5:$E$60,MATCH(E874,Catégories!$A$5:$A$60,0)),0))</f>
        <v>0</v>
      </c>
    </row>
    <row r="875" customFormat="false" ht="15" hidden="false" customHeight="true" outlineLevel="0" collapsed="false">
      <c r="A875" s="34"/>
      <c r="B875" s="29" t="str">
        <f aca="false">IF(A875="","",YEAR(A875))</f>
        <v/>
      </c>
      <c r="G875" s="35"/>
      <c r="H875" s="32" t="str">
        <f aca="false">IF(E875="","",IFERROR(INDEX(Catégories!$B$5:$B$60,MATCH(E875,Catégories!$A$5:$A$60,0)),"?"))</f>
        <v/>
      </c>
      <c r="I875" s="32" t="str">
        <f aca="false">IF(E875="","",IFERROR(INDEX(Catégories!$C$5:$C$60,MATCH(E875,Catégories!$A$5:$A$60,0)),"?"))</f>
        <v/>
      </c>
      <c r="J875" s="32" t="str">
        <f aca="false">IF(E875="","",IFERROR(INDEX(Catégories!$D$5:$D$60,MATCH(E875,Catégories!$A$5:$A$60,0)),"?"))</f>
        <v/>
      </c>
      <c r="K875" s="33" t="n">
        <f aca="false">IF(H875="Recette",G875,IF(H875="Dépense",-G875,0))</f>
        <v>0</v>
      </c>
      <c r="L875" s="33" t="n">
        <f aca="false">IF(E875="",0,G875*IFERROR(INDEX(Catégories!$E$5:$E$60,MATCH(E875,Catégories!$A$5:$A$60,0)),0))</f>
        <v>0</v>
      </c>
    </row>
    <row r="876" customFormat="false" ht="15" hidden="false" customHeight="true" outlineLevel="0" collapsed="false">
      <c r="A876" s="34"/>
      <c r="B876" s="29" t="str">
        <f aca="false">IF(A876="","",YEAR(A876))</f>
        <v/>
      </c>
      <c r="G876" s="35"/>
      <c r="H876" s="32" t="str">
        <f aca="false">IF(E876="","",IFERROR(INDEX(Catégories!$B$5:$B$60,MATCH(E876,Catégories!$A$5:$A$60,0)),"?"))</f>
        <v/>
      </c>
      <c r="I876" s="32" t="str">
        <f aca="false">IF(E876="","",IFERROR(INDEX(Catégories!$C$5:$C$60,MATCH(E876,Catégories!$A$5:$A$60,0)),"?"))</f>
        <v/>
      </c>
      <c r="J876" s="32" t="str">
        <f aca="false">IF(E876="","",IFERROR(INDEX(Catégories!$D$5:$D$60,MATCH(E876,Catégories!$A$5:$A$60,0)),"?"))</f>
        <v/>
      </c>
      <c r="K876" s="33" t="n">
        <f aca="false">IF(H876="Recette",G876,IF(H876="Dépense",-G876,0))</f>
        <v>0</v>
      </c>
      <c r="L876" s="33" t="n">
        <f aca="false">IF(E876="",0,G876*IFERROR(INDEX(Catégories!$E$5:$E$60,MATCH(E876,Catégories!$A$5:$A$60,0)),0))</f>
        <v>0</v>
      </c>
    </row>
    <row r="877" customFormat="false" ht="15" hidden="false" customHeight="true" outlineLevel="0" collapsed="false">
      <c r="A877" s="34"/>
      <c r="B877" s="29" t="str">
        <f aca="false">IF(A877="","",YEAR(A877))</f>
        <v/>
      </c>
      <c r="G877" s="35"/>
      <c r="H877" s="32" t="str">
        <f aca="false">IF(E877="","",IFERROR(INDEX(Catégories!$B$5:$B$60,MATCH(E877,Catégories!$A$5:$A$60,0)),"?"))</f>
        <v/>
      </c>
      <c r="I877" s="32" t="str">
        <f aca="false">IF(E877="","",IFERROR(INDEX(Catégories!$C$5:$C$60,MATCH(E877,Catégories!$A$5:$A$60,0)),"?"))</f>
        <v/>
      </c>
      <c r="J877" s="32" t="str">
        <f aca="false">IF(E877="","",IFERROR(INDEX(Catégories!$D$5:$D$60,MATCH(E877,Catégories!$A$5:$A$60,0)),"?"))</f>
        <v/>
      </c>
      <c r="K877" s="33" t="n">
        <f aca="false">IF(H877="Recette",G877,IF(H877="Dépense",-G877,0))</f>
        <v>0</v>
      </c>
      <c r="L877" s="33" t="n">
        <f aca="false">IF(E877="",0,G877*IFERROR(INDEX(Catégories!$E$5:$E$60,MATCH(E877,Catégories!$A$5:$A$60,0)),0))</f>
        <v>0</v>
      </c>
    </row>
    <row r="878" customFormat="false" ht="15" hidden="false" customHeight="true" outlineLevel="0" collapsed="false">
      <c r="A878" s="34"/>
      <c r="B878" s="29" t="str">
        <f aca="false">IF(A878="","",YEAR(A878))</f>
        <v/>
      </c>
      <c r="G878" s="35"/>
      <c r="H878" s="32" t="str">
        <f aca="false">IF(E878="","",IFERROR(INDEX(Catégories!$B$5:$B$60,MATCH(E878,Catégories!$A$5:$A$60,0)),"?"))</f>
        <v/>
      </c>
      <c r="I878" s="32" t="str">
        <f aca="false">IF(E878="","",IFERROR(INDEX(Catégories!$C$5:$C$60,MATCH(E878,Catégories!$A$5:$A$60,0)),"?"))</f>
        <v/>
      </c>
      <c r="J878" s="32" t="str">
        <f aca="false">IF(E878="","",IFERROR(INDEX(Catégories!$D$5:$D$60,MATCH(E878,Catégories!$A$5:$A$60,0)),"?"))</f>
        <v/>
      </c>
      <c r="K878" s="33" t="n">
        <f aca="false">IF(H878="Recette",G878,IF(H878="Dépense",-G878,0))</f>
        <v>0</v>
      </c>
      <c r="L878" s="33" t="n">
        <f aca="false">IF(E878="",0,G878*IFERROR(INDEX(Catégories!$E$5:$E$60,MATCH(E878,Catégories!$A$5:$A$60,0)),0))</f>
        <v>0</v>
      </c>
    </row>
    <row r="879" customFormat="false" ht="15" hidden="false" customHeight="true" outlineLevel="0" collapsed="false">
      <c r="A879" s="34"/>
      <c r="B879" s="29" t="str">
        <f aca="false">IF(A879="","",YEAR(A879))</f>
        <v/>
      </c>
      <c r="G879" s="35"/>
      <c r="H879" s="32" t="str">
        <f aca="false">IF(E879="","",IFERROR(INDEX(Catégories!$B$5:$B$60,MATCH(E879,Catégories!$A$5:$A$60,0)),"?"))</f>
        <v/>
      </c>
      <c r="I879" s="32" t="str">
        <f aca="false">IF(E879="","",IFERROR(INDEX(Catégories!$C$5:$C$60,MATCH(E879,Catégories!$A$5:$A$60,0)),"?"))</f>
        <v/>
      </c>
      <c r="J879" s="32" t="str">
        <f aca="false">IF(E879="","",IFERROR(INDEX(Catégories!$D$5:$D$60,MATCH(E879,Catégories!$A$5:$A$60,0)),"?"))</f>
        <v/>
      </c>
      <c r="K879" s="33" t="n">
        <f aca="false">IF(H879="Recette",G879,IF(H879="Dépense",-G879,0))</f>
        <v>0</v>
      </c>
      <c r="L879" s="33" t="n">
        <f aca="false">IF(E879="",0,G879*IFERROR(INDEX(Catégories!$E$5:$E$60,MATCH(E879,Catégories!$A$5:$A$60,0)),0))</f>
        <v>0</v>
      </c>
    </row>
    <row r="880" customFormat="false" ht="15" hidden="false" customHeight="true" outlineLevel="0" collapsed="false">
      <c r="A880" s="34"/>
      <c r="B880" s="29" t="str">
        <f aca="false">IF(A880="","",YEAR(A880))</f>
        <v/>
      </c>
      <c r="G880" s="35"/>
      <c r="H880" s="32" t="str">
        <f aca="false">IF(E880="","",IFERROR(INDEX(Catégories!$B$5:$B$60,MATCH(E880,Catégories!$A$5:$A$60,0)),"?"))</f>
        <v/>
      </c>
      <c r="I880" s="32" t="str">
        <f aca="false">IF(E880="","",IFERROR(INDEX(Catégories!$C$5:$C$60,MATCH(E880,Catégories!$A$5:$A$60,0)),"?"))</f>
        <v/>
      </c>
      <c r="J880" s="32" t="str">
        <f aca="false">IF(E880="","",IFERROR(INDEX(Catégories!$D$5:$D$60,MATCH(E880,Catégories!$A$5:$A$60,0)),"?"))</f>
        <v/>
      </c>
      <c r="K880" s="33" t="n">
        <f aca="false">IF(H880="Recette",G880,IF(H880="Dépense",-G880,0))</f>
        <v>0</v>
      </c>
      <c r="L880" s="33" t="n">
        <f aca="false">IF(E880="",0,G880*IFERROR(INDEX(Catégories!$E$5:$E$60,MATCH(E880,Catégories!$A$5:$A$60,0)),0))</f>
        <v>0</v>
      </c>
    </row>
    <row r="881" customFormat="false" ht="15" hidden="false" customHeight="true" outlineLevel="0" collapsed="false">
      <c r="A881" s="34"/>
      <c r="B881" s="29" t="str">
        <f aca="false">IF(A881="","",YEAR(A881))</f>
        <v/>
      </c>
      <c r="G881" s="35"/>
      <c r="H881" s="32" t="str">
        <f aca="false">IF(E881="","",IFERROR(INDEX(Catégories!$B$5:$B$60,MATCH(E881,Catégories!$A$5:$A$60,0)),"?"))</f>
        <v/>
      </c>
      <c r="I881" s="32" t="str">
        <f aca="false">IF(E881="","",IFERROR(INDEX(Catégories!$C$5:$C$60,MATCH(E881,Catégories!$A$5:$A$60,0)),"?"))</f>
        <v/>
      </c>
      <c r="J881" s="32" t="str">
        <f aca="false">IF(E881="","",IFERROR(INDEX(Catégories!$D$5:$D$60,MATCH(E881,Catégories!$A$5:$A$60,0)),"?"))</f>
        <v/>
      </c>
      <c r="K881" s="33" t="n">
        <f aca="false">IF(H881="Recette",G881,IF(H881="Dépense",-G881,0))</f>
        <v>0</v>
      </c>
      <c r="L881" s="33" t="n">
        <f aca="false">IF(E881="",0,G881*IFERROR(INDEX(Catégories!$E$5:$E$60,MATCH(E881,Catégories!$A$5:$A$60,0)),0))</f>
        <v>0</v>
      </c>
    </row>
    <row r="882" customFormat="false" ht="15" hidden="false" customHeight="true" outlineLevel="0" collapsed="false">
      <c r="A882" s="34"/>
      <c r="B882" s="29" t="str">
        <f aca="false">IF(A882="","",YEAR(A882))</f>
        <v/>
      </c>
      <c r="G882" s="35"/>
      <c r="H882" s="32" t="str">
        <f aca="false">IF(E882="","",IFERROR(INDEX(Catégories!$B$5:$B$60,MATCH(E882,Catégories!$A$5:$A$60,0)),"?"))</f>
        <v/>
      </c>
      <c r="I882" s="32" t="str">
        <f aca="false">IF(E882="","",IFERROR(INDEX(Catégories!$C$5:$C$60,MATCH(E882,Catégories!$A$5:$A$60,0)),"?"))</f>
        <v/>
      </c>
      <c r="J882" s="32" t="str">
        <f aca="false">IF(E882="","",IFERROR(INDEX(Catégories!$D$5:$D$60,MATCH(E882,Catégories!$A$5:$A$60,0)),"?"))</f>
        <v/>
      </c>
      <c r="K882" s="33" t="n">
        <f aca="false">IF(H882="Recette",G882,IF(H882="Dépense",-G882,0))</f>
        <v>0</v>
      </c>
      <c r="L882" s="33" t="n">
        <f aca="false">IF(E882="",0,G882*IFERROR(INDEX(Catégories!$E$5:$E$60,MATCH(E882,Catégories!$A$5:$A$60,0)),0))</f>
        <v>0</v>
      </c>
    </row>
    <row r="883" customFormat="false" ht="15" hidden="false" customHeight="true" outlineLevel="0" collapsed="false">
      <c r="A883" s="34"/>
      <c r="B883" s="29" t="str">
        <f aca="false">IF(A883="","",YEAR(A883))</f>
        <v/>
      </c>
      <c r="G883" s="35"/>
      <c r="H883" s="32" t="str">
        <f aca="false">IF(E883="","",IFERROR(INDEX(Catégories!$B$5:$B$60,MATCH(E883,Catégories!$A$5:$A$60,0)),"?"))</f>
        <v/>
      </c>
      <c r="I883" s="32" t="str">
        <f aca="false">IF(E883="","",IFERROR(INDEX(Catégories!$C$5:$C$60,MATCH(E883,Catégories!$A$5:$A$60,0)),"?"))</f>
        <v/>
      </c>
      <c r="J883" s="32" t="str">
        <f aca="false">IF(E883="","",IFERROR(INDEX(Catégories!$D$5:$D$60,MATCH(E883,Catégories!$A$5:$A$60,0)),"?"))</f>
        <v/>
      </c>
      <c r="K883" s="33" t="n">
        <f aca="false">IF(H883="Recette",G883,IF(H883="Dépense",-G883,0))</f>
        <v>0</v>
      </c>
      <c r="L883" s="33" t="n">
        <f aca="false">IF(E883="",0,G883*IFERROR(INDEX(Catégories!$E$5:$E$60,MATCH(E883,Catégories!$A$5:$A$60,0)),0))</f>
        <v>0</v>
      </c>
    </row>
    <row r="884" customFormat="false" ht="15" hidden="false" customHeight="true" outlineLevel="0" collapsed="false">
      <c r="A884" s="34"/>
      <c r="B884" s="29" t="str">
        <f aca="false">IF(A884="","",YEAR(A884))</f>
        <v/>
      </c>
      <c r="G884" s="35"/>
      <c r="H884" s="32" t="str">
        <f aca="false">IF(E884="","",IFERROR(INDEX(Catégories!$B$5:$B$60,MATCH(E884,Catégories!$A$5:$A$60,0)),"?"))</f>
        <v/>
      </c>
      <c r="I884" s="32" t="str">
        <f aca="false">IF(E884="","",IFERROR(INDEX(Catégories!$C$5:$C$60,MATCH(E884,Catégories!$A$5:$A$60,0)),"?"))</f>
        <v/>
      </c>
      <c r="J884" s="32" t="str">
        <f aca="false">IF(E884="","",IFERROR(INDEX(Catégories!$D$5:$D$60,MATCH(E884,Catégories!$A$5:$A$60,0)),"?"))</f>
        <v/>
      </c>
      <c r="K884" s="33" t="n">
        <f aca="false">IF(H884="Recette",G884,IF(H884="Dépense",-G884,0))</f>
        <v>0</v>
      </c>
      <c r="L884" s="33" t="n">
        <f aca="false">IF(E884="",0,G884*IFERROR(INDEX(Catégories!$E$5:$E$60,MATCH(E884,Catégories!$A$5:$A$60,0)),0))</f>
        <v>0</v>
      </c>
    </row>
    <row r="885" customFormat="false" ht="15" hidden="false" customHeight="true" outlineLevel="0" collapsed="false">
      <c r="A885" s="34"/>
      <c r="B885" s="29" t="str">
        <f aca="false">IF(A885="","",YEAR(A885))</f>
        <v/>
      </c>
      <c r="G885" s="35"/>
      <c r="H885" s="32" t="str">
        <f aca="false">IF(E885="","",IFERROR(INDEX(Catégories!$B$5:$B$60,MATCH(E885,Catégories!$A$5:$A$60,0)),"?"))</f>
        <v/>
      </c>
      <c r="I885" s="32" t="str">
        <f aca="false">IF(E885="","",IFERROR(INDEX(Catégories!$C$5:$C$60,MATCH(E885,Catégories!$A$5:$A$60,0)),"?"))</f>
        <v/>
      </c>
      <c r="J885" s="32" t="str">
        <f aca="false">IF(E885="","",IFERROR(INDEX(Catégories!$D$5:$D$60,MATCH(E885,Catégories!$A$5:$A$60,0)),"?"))</f>
        <v/>
      </c>
      <c r="K885" s="33" t="n">
        <f aca="false">IF(H885="Recette",G885,IF(H885="Dépense",-G885,0))</f>
        <v>0</v>
      </c>
      <c r="L885" s="33" t="n">
        <f aca="false">IF(E885="",0,G885*IFERROR(INDEX(Catégories!$E$5:$E$60,MATCH(E885,Catégories!$A$5:$A$60,0)),0))</f>
        <v>0</v>
      </c>
    </row>
    <row r="886" customFormat="false" ht="15" hidden="false" customHeight="true" outlineLevel="0" collapsed="false">
      <c r="A886" s="34"/>
      <c r="B886" s="29" t="str">
        <f aca="false">IF(A886="","",YEAR(A886))</f>
        <v/>
      </c>
      <c r="G886" s="35"/>
      <c r="H886" s="32" t="str">
        <f aca="false">IF(E886="","",IFERROR(INDEX(Catégories!$B$5:$B$60,MATCH(E886,Catégories!$A$5:$A$60,0)),"?"))</f>
        <v/>
      </c>
      <c r="I886" s="32" t="str">
        <f aca="false">IF(E886="","",IFERROR(INDEX(Catégories!$C$5:$C$60,MATCH(E886,Catégories!$A$5:$A$60,0)),"?"))</f>
        <v/>
      </c>
      <c r="J886" s="32" t="str">
        <f aca="false">IF(E886="","",IFERROR(INDEX(Catégories!$D$5:$D$60,MATCH(E886,Catégories!$A$5:$A$60,0)),"?"))</f>
        <v/>
      </c>
      <c r="K886" s="33" t="n">
        <f aca="false">IF(H886="Recette",G886,IF(H886="Dépense",-G886,0))</f>
        <v>0</v>
      </c>
      <c r="L886" s="33" t="n">
        <f aca="false">IF(E886="",0,G886*IFERROR(INDEX(Catégories!$E$5:$E$60,MATCH(E886,Catégories!$A$5:$A$60,0)),0))</f>
        <v>0</v>
      </c>
    </row>
    <row r="887" customFormat="false" ht="15" hidden="false" customHeight="true" outlineLevel="0" collapsed="false">
      <c r="A887" s="34"/>
      <c r="B887" s="29" t="str">
        <f aca="false">IF(A887="","",YEAR(A887))</f>
        <v/>
      </c>
      <c r="G887" s="35"/>
      <c r="H887" s="32" t="str">
        <f aca="false">IF(E887="","",IFERROR(INDEX(Catégories!$B$5:$B$60,MATCH(E887,Catégories!$A$5:$A$60,0)),"?"))</f>
        <v/>
      </c>
      <c r="I887" s="32" t="str">
        <f aca="false">IF(E887="","",IFERROR(INDEX(Catégories!$C$5:$C$60,MATCH(E887,Catégories!$A$5:$A$60,0)),"?"))</f>
        <v/>
      </c>
      <c r="J887" s="32" t="str">
        <f aca="false">IF(E887="","",IFERROR(INDEX(Catégories!$D$5:$D$60,MATCH(E887,Catégories!$A$5:$A$60,0)),"?"))</f>
        <v/>
      </c>
      <c r="K887" s="33" t="n">
        <f aca="false">IF(H887="Recette",G887,IF(H887="Dépense",-G887,0))</f>
        <v>0</v>
      </c>
      <c r="L887" s="33" t="n">
        <f aca="false">IF(E887="",0,G887*IFERROR(INDEX(Catégories!$E$5:$E$60,MATCH(E887,Catégories!$A$5:$A$60,0)),0))</f>
        <v>0</v>
      </c>
    </row>
    <row r="888" customFormat="false" ht="15" hidden="false" customHeight="true" outlineLevel="0" collapsed="false">
      <c r="A888" s="34"/>
      <c r="B888" s="29" t="str">
        <f aca="false">IF(A888="","",YEAR(A888))</f>
        <v/>
      </c>
      <c r="G888" s="35"/>
      <c r="H888" s="32" t="str">
        <f aca="false">IF(E888="","",IFERROR(INDEX(Catégories!$B$5:$B$60,MATCH(E888,Catégories!$A$5:$A$60,0)),"?"))</f>
        <v/>
      </c>
      <c r="I888" s="32" t="str">
        <f aca="false">IF(E888="","",IFERROR(INDEX(Catégories!$C$5:$C$60,MATCH(E888,Catégories!$A$5:$A$60,0)),"?"))</f>
        <v/>
      </c>
      <c r="J888" s="32" t="str">
        <f aca="false">IF(E888="","",IFERROR(INDEX(Catégories!$D$5:$D$60,MATCH(E888,Catégories!$A$5:$A$60,0)),"?"))</f>
        <v/>
      </c>
      <c r="K888" s="33" t="n">
        <f aca="false">IF(H888="Recette",G888,IF(H888="Dépense",-G888,0))</f>
        <v>0</v>
      </c>
      <c r="L888" s="33" t="n">
        <f aca="false">IF(E888="",0,G888*IFERROR(INDEX(Catégories!$E$5:$E$60,MATCH(E888,Catégories!$A$5:$A$60,0)),0))</f>
        <v>0</v>
      </c>
    </row>
    <row r="889" customFormat="false" ht="15" hidden="false" customHeight="true" outlineLevel="0" collapsed="false">
      <c r="A889" s="34"/>
      <c r="B889" s="29" t="str">
        <f aca="false">IF(A889="","",YEAR(A889))</f>
        <v/>
      </c>
      <c r="G889" s="35"/>
      <c r="H889" s="32" t="str">
        <f aca="false">IF(E889="","",IFERROR(INDEX(Catégories!$B$5:$B$60,MATCH(E889,Catégories!$A$5:$A$60,0)),"?"))</f>
        <v/>
      </c>
      <c r="I889" s="32" t="str">
        <f aca="false">IF(E889="","",IFERROR(INDEX(Catégories!$C$5:$C$60,MATCH(E889,Catégories!$A$5:$A$60,0)),"?"))</f>
        <v/>
      </c>
      <c r="J889" s="32" t="str">
        <f aca="false">IF(E889="","",IFERROR(INDEX(Catégories!$D$5:$D$60,MATCH(E889,Catégories!$A$5:$A$60,0)),"?"))</f>
        <v/>
      </c>
      <c r="K889" s="33" t="n">
        <f aca="false">IF(H889="Recette",G889,IF(H889="Dépense",-G889,0))</f>
        <v>0</v>
      </c>
      <c r="L889" s="33" t="n">
        <f aca="false">IF(E889="",0,G889*IFERROR(INDEX(Catégories!$E$5:$E$60,MATCH(E889,Catégories!$A$5:$A$60,0)),0))</f>
        <v>0</v>
      </c>
    </row>
    <row r="890" customFormat="false" ht="15" hidden="false" customHeight="true" outlineLevel="0" collapsed="false">
      <c r="A890" s="34"/>
      <c r="B890" s="29" t="str">
        <f aca="false">IF(A890="","",YEAR(A890))</f>
        <v/>
      </c>
      <c r="G890" s="35"/>
      <c r="H890" s="32" t="str">
        <f aca="false">IF(E890="","",IFERROR(INDEX(Catégories!$B$5:$B$60,MATCH(E890,Catégories!$A$5:$A$60,0)),"?"))</f>
        <v/>
      </c>
      <c r="I890" s="32" t="str">
        <f aca="false">IF(E890="","",IFERROR(INDEX(Catégories!$C$5:$C$60,MATCH(E890,Catégories!$A$5:$A$60,0)),"?"))</f>
        <v/>
      </c>
      <c r="J890" s="32" t="str">
        <f aca="false">IF(E890="","",IFERROR(INDEX(Catégories!$D$5:$D$60,MATCH(E890,Catégories!$A$5:$A$60,0)),"?"))</f>
        <v/>
      </c>
      <c r="K890" s="33" t="n">
        <f aca="false">IF(H890="Recette",G890,IF(H890="Dépense",-G890,0))</f>
        <v>0</v>
      </c>
      <c r="L890" s="33" t="n">
        <f aca="false">IF(E890="",0,G890*IFERROR(INDEX(Catégories!$E$5:$E$60,MATCH(E890,Catégories!$A$5:$A$60,0)),0))</f>
        <v>0</v>
      </c>
    </row>
    <row r="891" customFormat="false" ht="15" hidden="false" customHeight="true" outlineLevel="0" collapsed="false">
      <c r="A891" s="34"/>
      <c r="B891" s="29" t="str">
        <f aca="false">IF(A891="","",YEAR(A891))</f>
        <v/>
      </c>
      <c r="G891" s="35"/>
      <c r="H891" s="32" t="str">
        <f aca="false">IF(E891="","",IFERROR(INDEX(Catégories!$B$5:$B$60,MATCH(E891,Catégories!$A$5:$A$60,0)),"?"))</f>
        <v/>
      </c>
      <c r="I891" s="32" t="str">
        <f aca="false">IF(E891="","",IFERROR(INDEX(Catégories!$C$5:$C$60,MATCH(E891,Catégories!$A$5:$A$60,0)),"?"))</f>
        <v/>
      </c>
      <c r="J891" s="32" t="str">
        <f aca="false">IF(E891="","",IFERROR(INDEX(Catégories!$D$5:$D$60,MATCH(E891,Catégories!$A$5:$A$60,0)),"?"))</f>
        <v/>
      </c>
      <c r="K891" s="33" t="n">
        <f aca="false">IF(H891="Recette",G891,IF(H891="Dépense",-G891,0))</f>
        <v>0</v>
      </c>
      <c r="L891" s="33" t="n">
        <f aca="false">IF(E891="",0,G891*IFERROR(INDEX(Catégories!$E$5:$E$60,MATCH(E891,Catégories!$A$5:$A$60,0)),0))</f>
        <v>0</v>
      </c>
    </row>
    <row r="892" customFormat="false" ht="15" hidden="false" customHeight="true" outlineLevel="0" collapsed="false">
      <c r="A892" s="34"/>
      <c r="B892" s="29" t="str">
        <f aca="false">IF(A892="","",YEAR(A892))</f>
        <v/>
      </c>
      <c r="G892" s="35"/>
      <c r="H892" s="32" t="str">
        <f aca="false">IF(E892="","",IFERROR(INDEX(Catégories!$B$5:$B$60,MATCH(E892,Catégories!$A$5:$A$60,0)),"?"))</f>
        <v/>
      </c>
      <c r="I892" s="32" t="str">
        <f aca="false">IF(E892="","",IFERROR(INDEX(Catégories!$C$5:$C$60,MATCH(E892,Catégories!$A$5:$A$60,0)),"?"))</f>
        <v/>
      </c>
      <c r="J892" s="32" t="str">
        <f aca="false">IF(E892="","",IFERROR(INDEX(Catégories!$D$5:$D$60,MATCH(E892,Catégories!$A$5:$A$60,0)),"?"))</f>
        <v/>
      </c>
      <c r="K892" s="33" t="n">
        <f aca="false">IF(H892="Recette",G892,IF(H892="Dépense",-G892,0))</f>
        <v>0</v>
      </c>
      <c r="L892" s="33" t="n">
        <f aca="false">IF(E892="",0,G892*IFERROR(INDEX(Catégories!$E$5:$E$60,MATCH(E892,Catégories!$A$5:$A$60,0)),0))</f>
        <v>0</v>
      </c>
    </row>
    <row r="893" customFormat="false" ht="15" hidden="false" customHeight="true" outlineLevel="0" collapsed="false">
      <c r="A893" s="34"/>
      <c r="B893" s="29" t="str">
        <f aca="false">IF(A893="","",YEAR(A893))</f>
        <v/>
      </c>
      <c r="G893" s="35"/>
      <c r="H893" s="32" t="str">
        <f aca="false">IF(E893="","",IFERROR(INDEX(Catégories!$B$5:$B$60,MATCH(E893,Catégories!$A$5:$A$60,0)),"?"))</f>
        <v/>
      </c>
      <c r="I893" s="32" t="str">
        <f aca="false">IF(E893="","",IFERROR(INDEX(Catégories!$C$5:$C$60,MATCH(E893,Catégories!$A$5:$A$60,0)),"?"))</f>
        <v/>
      </c>
      <c r="J893" s="32" t="str">
        <f aca="false">IF(E893="","",IFERROR(INDEX(Catégories!$D$5:$D$60,MATCH(E893,Catégories!$A$5:$A$60,0)),"?"))</f>
        <v/>
      </c>
      <c r="K893" s="33" t="n">
        <f aca="false">IF(H893="Recette",G893,IF(H893="Dépense",-G893,0))</f>
        <v>0</v>
      </c>
      <c r="L893" s="33" t="n">
        <f aca="false">IF(E893="",0,G893*IFERROR(INDEX(Catégories!$E$5:$E$60,MATCH(E893,Catégories!$A$5:$A$60,0)),0))</f>
        <v>0</v>
      </c>
    </row>
    <row r="894" customFormat="false" ht="15" hidden="false" customHeight="true" outlineLevel="0" collapsed="false">
      <c r="A894" s="34"/>
      <c r="B894" s="29" t="str">
        <f aca="false">IF(A894="","",YEAR(A894))</f>
        <v/>
      </c>
      <c r="G894" s="35"/>
      <c r="H894" s="32" t="str">
        <f aca="false">IF(E894="","",IFERROR(INDEX(Catégories!$B$5:$B$60,MATCH(E894,Catégories!$A$5:$A$60,0)),"?"))</f>
        <v/>
      </c>
      <c r="I894" s="32" t="str">
        <f aca="false">IF(E894="","",IFERROR(INDEX(Catégories!$C$5:$C$60,MATCH(E894,Catégories!$A$5:$A$60,0)),"?"))</f>
        <v/>
      </c>
      <c r="J894" s="32" t="str">
        <f aca="false">IF(E894="","",IFERROR(INDEX(Catégories!$D$5:$D$60,MATCH(E894,Catégories!$A$5:$A$60,0)),"?"))</f>
        <v/>
      </c>
      <c r="K894" s="33" t="n">
        <f aca="false">IF(H894="Recette",G894,IF(H894="Dépense",-G894,0))</f>
        <v>0</v>
      </c>
      <c r="L894" s="33" t="n">
        <f aca="false">IF(E894="",0,G894*IFERROR(INDEX(Catégories!$E$5:$E$60,MATCH(E894,Catégories!$A$5:$A$60,0)),0))</f>
        <v>0</v>
      </c>
    </row>
    <row r="895" customFormat="false" ht="15" hidden="false" customHeight="true" outlineLevel="0" collapsed="false">
      <c r="A895" s="34"/>
      <c r="B895" s="29" t="str">
        <f aca="false">IF(A895="","",YEAR(A895))</f>
        <v/>
      </c>
      <c r="G895" s="35"/>
      <c r="H895" s="32" t="str">
        <f aca="false">IF(E895="","",IFERROR(INDEX(Catégories!$B$5:$B$60,MATCH(E895,Catégories!$A$5:$A$60,0)),"?"))</f>
        <v/>
      </c>
      <c r="I895" s="32" t="str">
        <f aca="false">IF(E895="","",IFERROR(INDEX(Catégories!$C$5:$C$60,MATCH(E895,Catégories!$A$5:$A$60,0)),"?"))</f>
        <v/>
      </c>
      <c r="J895" s="32" t="str">
        <f aca="false">IF(E895="","",IFERROR(INDEX(Catégories!$D$5:$D$60,MATCH(E895,Catégories!$A$5:$A$60,0)),"?"))</f>
        <v/>
      </c>
      <c r="K895" s="33" t="n">
        <f aca="false">IF(H895="Recette",G895,IF(H895="Dépense",-G895,0))</f>
        <v>0</v>
      </c>
      <c r="L895" s="33" t="n">
        <f aca="false">IF(E895="",0,G895*IFERROR(INDEX(Catégories!$E$5:$E$60,MATCH(E895,Catégories!$A$5:$A$60,0)),0))</f>
        <v>0</v>
      </c>
    </row>
    <row r="896" customFormat="false" ht="15" hidden="false" customHeight="true" outlineLevel="0" collapsed="false">
      <c r="A896" s="34"/>
      <c r="B896" s="29" t="str">
        <f aca="false">IF(A896="","",YEAR(A896))</f>
        <v/>
      </c>
      <c r="G896" s="35"/>
      <c r="H896" s="32" t="str">
        <f aca="false">IF(E896="","",IFERROR(INDEX(Catégories!$B$5:$B$60,MATCH(E896,Catégories!$A$5:$A$60,0)),"?"))</f>
        <v/>
      </c>
      <c r="I896" s="32" t="str">
        <f aca="false">IF(E896="","",IFERROR(INDEX(Catégories!$C$5:$C$60,MATCH(E896,Catégories!$A$5:$A$60,0)),"?"))</f>
        <v/>
      </c>
      <c r="J896" s="32" t="str">
        <f aca="false">IF(E896="","",IFERROR(INDEX(Catégories!$D$5:$D$60,MATCH(E896,Catégories!$A$5:$A$60,0)),"?"))</f>
        <v/>
      </c>
      <c r="K896" s="33" t="n">
        <f aca="false">IF(H896="Recette",G896,IF(H896="Dépense",-G896,0))</f>
        <v>0</v>
      </c>
      <c r="L896" s="33" t="n">
        <f aca="false">IF(E896="",0,G896*IFERROR(INDEX(Catégories!$E$5:$E$60,MATCH(E896,Catégories!$A$5:$A$60,0)),0))</f>
        <v>0</v>
      </c>
    </row>
    <row r="897" customFormat="false" ht="15" hidden="false" customHeight="true" outlineLevel="0" collapsed="false">
      <c r="A897" s="34"/>
      <c r="B897" s="29" t="str">
        <f aca="false">IF(A897="","",YEAR(A897))</f>
        <v/>
      </c>
      <c r="G897" s="35"/>
      <c r="H897" s="32" t="str">
        <f aca="false">IF(E897="","",IFERROR(INDEX(Catégories!$B$5:$B$60,MATCH(E897,Catégories!$A$5:$A$60,0)),"?"))</f>
        <v/>
      </c>
      <c r="I897" s="32" t="str">
        <f aca="false">IF(E897="","",IFERROR(INDEX(Catégories!$C$5:$C$60,MATCH(E897,Catégories!$A$5:$A$60,0)),"?"))</f>
        <v/>
      </c>
      <c r="J897" s="32" t="str">
        <f aca="false">IF(E897="","",IFERROR(INDEX(Catégories!$D$5:$D$60,MATCH(E897,Catégories!$A$5:$A$60,0)),"?"))</f>
        <v/>
      </c>
      <c r="K897" s="33" t="n">
        <f aca="false">IF(H897="Recette",G897,IF(H897="Dépense",-G897,0))</f>
        <v>0</v>
      </c>
      <c r="L897" s="33" t="n">
        <f aca="false">IF(E897="",0,G897*IFERROR(INDEX(Catégories!$E$5:$E$60,MATCH(E897,Catégories!$A$5:$A$60,0)),0))</f>
        <v>0</v>
      </c>
    </row>
    <row r="898" customFormat="false" ht="15" hidden="false" customHeight="true" outlineLevel="0" collapsed="false">
      <c r="A898" s="34"/>
      <c r="B898" s="29" t="str">
        <f aca="false">IF(A898="","",YEAR(A898))</f>
        <v/>
      </c>
      <c r="G898" s="35"/>
      <c r="H898" s="32" t="str">
        <f aca="false">IF(E898="","",IFERROR(INDEX(Catégories!$B$5:$B$60,MATCH(E898,Catégories!$A$5:$A$60,0)),"?"))</f>
        <v/>
      </c>
      <c r="I898" s="32" t="str">
        <f aca="false">IF(E898="","",IFERROR(INDEX(Catégories!$C$5:$C$60,MATCH(E898,Catégories!$A$5:$A$60,0)),"?"))</f>
        <v/>
      </c>
      <c r="J898" s="32" t="str">
        <f aca="false">IF(E898="","",IFERROR(INDEX(Catégories!$D$5:$D$60,MATCH(E898,Catégories!$A$5:$A$60,0)),"?"))</f>
        <v/>
      </c>
      <c r="K898" s="33" t="n">
        <f aca="false">IF(H898="Recette",G898,IF(H898="Dépense",-G898,0))</f>
        <v>0</v>
      </c>
      <c r="L898" s="33" t="n">
        <f aca="false">IF(E898="",0,G898*IFERROR(INDEX(Catégories!$E$5:$E$60,MATCH(E898,Catégories!$A$5:$A$60,0)),0))</f>
        <v>0</v>
      </c>
    </row>
    <row r="899" customFormat="false" ht="15" hidden="false" customHeight="true" outlineLevel="0" collapsed="false">
      <c r="A899" s="34"/>
      <c r="B899" s="29" t="str">
        <f aca="false">IF(A899="","",YEAR(A899))</f>
        <v/>
      </c>
      <c r="G899" s="35"/>
      <c r="H899" s="32" t="str">
        <f aca="false">IF(E899="","",IFERROR(INDEX(Catégories!$B$5:$B$60,MATCH(E899,Catégories!$A$5:$A$60,0)),"?"))</f>
        <v/>
      </c>
      <c r="I899" s="32" t="str">
        <f aca="false">IF(E899="","",IFERROR(INDEX(Catégories!$C$5:$C$60,MATCH(E899,Catégories!$A$5:$A$60,0)),"?"))</f>
        <v/>
      </c>
      <c r="J899" s="32" t="str">
        <f aca="false">IF(E899="","",IFERROR(INDEX(Catégories!$D$5:$D$60,MATCH(E899,Catégories!$A$5:$A$60,0)),"?"))</f>
        <v/>
      </c>
      <c r="K899" s="33" t="n">
        <f aca="false">IF(H899="Recette",G899,IF(H899="Dépense",-G899,0))</f>
        <v>0</v>
      </c>
      <c r="L899" s="33" t="n">
        <f aca="false">IF(E899="",0,G899*IFERROR(INDEX(Catégories!$E$5:$E$60,MATCH(E899,Catégories!$A$5:$A$60,0)),0))</f>
        <v>0</v>
      </c>
    </row>
    <row r="900" customFormat="false" ht="15" hidden="false" customHeight="true" outlineLevel="0" collapsed="false">
      <c r="A900" s="34"/>
      <c r="B900" s="29" t="str">
        <f aca="false">IF(A900="","",YEAR(A900))</f>
        <v/>
      </c>
      <c r="G900" s="35"/>
      <c r="H900" s="32" t="str">
        <f aca="false">IF(E900="","",IFERROR(INDEX(Catégories!$B$5:$B$60,MATCH(E900,Catégories!$A$5:$A$60,0)),"?"))</f>
        <v/>
      </c>
      <c r="I900" s="32" t="str">
        <f aca="false">IF(E900="","",IFERROR(INDEX(Catégories!$C$5:$C$60,MATCH(E900,Catégories!$A$5:$A$60,0)),"?"))</f>
        <v/>
      </c>
      <c r="J900" s="32" t="str">
        <f aca="false">IF(E900="","",IFERROR(INDEX(Catégories!$D$5:$D$60,MATCH(E900,Catégories!$A$5:$A$60,0)),"?"))</f>
        <v/>
      </c>
      <c r="K900" s="33" t="n">
        <f aca="false">IF(H900="Recette",G900,IF(H900="Dépense",-G900,0))</f>
        <v>0</v>
      </c>
      <c r="L900" s="33" t="n">
        <f aca="false">IF(E900="",0,G900*IFERROR(INDEX(Catégories!$E$5:$E$60,MATCH(E900,Catégories!$A$5:$A$60,0)),0))</f>
        <v>0</v>
      </c>
    </row>
    <row r="901" customFormat="false" ht="15" hidden="false" customHeight="true" outlineLevel="0" collapsed="false">
      <c r="A901" s="34"/>
      <c r="B901" s="29" t="str">
        <f aca="false">IF(A901="","",YEAR(A901))</f>
        <v/>
      </c>
      <c r="G901" s="35"/>
      <c r="H901" s="32" t="str">
        <f aca="false">IF(E901="","",IFERROR(INDEX(Catégories!$B$5:$B$60,MATCH(E901,Catégories!$A$5:$A$60,0)),"?"))</f>
        <v/>
      </c>
      <c r="I901" s="32" t="str">
        <f aca="false">IF(E901="","",IFERROR(INDEX(Catégories!$C$5:$C$60,MATCH(E901,Catégories!$A$5:$A$60,0)),"?"))</f>
        <v/>
      </c>
      <c r="J901" s="32" t="str">
        <f aca="false">IF(E901="","",IFERROR(INDEX(Catégories!$D$5:$D$60,MATCH(E901,Catégories!$A$5:$A$60,0)),"?"))</f>
        <v/>
      </c>
      <c r="K901" s="33" t="n">
        <f aca="false">IF(H901="Recette",G901,IF(H901="Dépense",-G901,0))</f>
        <v>0</v>
      </c>
      <c r="L901" s="33" t="n">
        <f aca="false">IF(E901="",0,G901*IFERROR(INDEX(Catégories!$E$5:$E$60,MATCH(E901,Catégories!$A$5:$A$60,0)),0))</f>
        <v>0</v>
      </c>
    </row>
    <row r="902" customFormat="false" ht="15" hidden="false" customHeight="true" outlineLevel="0" collapsed="false">
      <c r="A902" s="34"/>
      <c r="B902" s="29" t="str">
        <f aca="false">IF(A902="","",YEAR(A902))</f>
        <v/>
      </c>
      <c r="G902" s="35"/>
      <c r="H902" s="32" t="str">
        <f aca="false">IF(E902="","",IFERROR(INDEX(Catégories!$B$5:$B$60,MATCH(E902,Catégories!$A$5:$A$60,0)),"?"))</f>
        <v/>
      </c>
      <c r="I902" s="32" t="str">
        <f aca="false">IF(E902="","",IFERROR(INDEX(Catégories!$C$5:$C$60,MATCH(E902,Catégories!$A$5:$A$60,0)),"?"))</f>
        <v/>
      </c>
      <c r="J902" s="32" t="str">
        <f aca="false">IF(E902="","",IFERROR(INDEX(Catégories!$D$5:$D$60,MATCH(E902,Catégories!$A$5:$A$60,0)),"?"))</f>
        <v/>
      </c>
      <c r="K902" s="33" t="n">
        <f aca="false">IF(H902="Recette",G902,IF(H902="Dépense",-G902,0))</f>
        <v>0</v>
      </c>
      <c r="L902" s="33" t="n">
        <f aca="false">IF(E902="",0,G902*IFERROR(INDEX(Catégories!$E$5:$E$60,MATCH(E902,Catégories!$A$5:$A$60,0)),0))</f>
        <v>0</v>
      </c>
    </row>
    <row r="903" customFormat="false" ht="15" hidden="false" customHeight="true" outlineLevel="0" collapsed="false">
      <c r="A903" s="34"/>
      <c r="B903" s="29" t="str">
        <f aca="false">IF(A903="","",YEAR(A903))</f>
        <v/>
      </c>
      <c r="G903" s="35"/>
      <c r="H903" s="32" t="str">
        <f aca="false">IF(E903="","",IFERROR(INDEX(Catégories!$B$5:$B$60,MATCH(E903,Catégories!$A$5:$A$60,0)),"?"))</f>
        <v/>
      </c>
      <c r="I903" s="32" t="str">
        <f aca="false">IF(E903="","",IFERROR(INDEX(Catégories!$C$5:$C$60,MATCH(E903,Catégories!$A$5:$A$60,0)),"?"))</f>
        <v/>
      </c>
      <c r="J903" s="32" t="str">
        <f aca="false">IF(E903="","",IFERROR(INDEX(Catégories!$D$5:$D$60,MATCH(E903,Catégories!$A$5:$A$60,0)),"?"))</f>
        <v/>
      </c>
      <c r="K903" s="33" t="n">
        <f aca="false">IF(H903="Recette",G903,IF(H903="Dépense",-G903,0))</f>
        <v>0</v>
      </c>
      <c r="L903" s="33" t="n">
        <f aca="false">IF(E903="",0,G903*IFERROR(INDEX(Catégories!$E$5:$E$60,MATCH(E903,Catégories!$A$5:$A$60,0)),0))</f>
        <v>0</v>
      </c>
    </row>
    <row r="904" customFormat="false" ht="15" hidden="false" customHeight="true" outlineLevel="0" collapsed="false">
      <c r="A904" s="34"/>
      <c r="B904" s="29" t="str">
        <f aca="false">IF(A904="","",YEAR(A904))</f>
        <v/>
      </c>
      <c r="G904" s="35"/>
      <c r="H904" s="32" t="str">
        <f aca="false">IF(E904="","",IFERROR(INDEX(Catégories!$B$5:$B$60,MATCH(E904,Catégories!$A$5:$A$60,0)),"?"))</f>
        <v/>
      </c>
      <c r="I904" s="32" t="str">
        <f aca="false">IF(E904="","",IFERROR(INDEX(Catégories!$C$5:$C$60,MATCH(E904,Catégories!$A$5:$A$60,0)),"?"))</f>
        <v/>
      </c>
      <c r="J904" s="32" t="str">
        <f aca="false">IF(E904="","",IFERROR(INDEX(Catégories!$D$5:$D$60,MATCH(E904,Catégories!$A$5:$A$60,0)),"?"))</f>
        <v/>
      </c>
      <c r="K904" s="33" t="n">
        <f aca="false">IF(H904="Recette",G904,IF(H904="Dépense",-G904,0))</f>
        <v>0</v>
      </c>
      <c r="L904" s="33" t="n">
        <f aca="false">IF(E904="",0,G904*IFERROR(INDEX(Catégories!$E$5:$E$60,MATCH(E904,Catégories!$A$5:$A$60,0)),0))</f>
        <v>0</v>
      </c>
    </row>
    <row r="905" customFormat="false" ht="15" hidden="false" customHeight="true" outlineLevel="0" collapsed="false">
      <c r="A905" s="34"/>
      <c r="B905" s="29" t="str">
        <f aca="false">IF(A905="","",YEAR(A905))</f>
        <v/>
      </c>
      <c r="G905" s="35"/>
      <c r="H905" s="32" t="str">
        <f aca="false">IF(E905="","",IFERROR(INDEX(Catégories!$B$5:$B$60,MATCH(E905,Catégories!$A$5:$A$60,0)),"?"))</f>
        <v/>
      </c>
      <c r="I905" s="32" t="str">
        <f aca="false">IF(E905="","",IFERROR(INDEX(Catégories!$C$5:$C$60,MATCH(E905,Catégories!$A$5:$A$60,0)),"?"))</f>
        <v/>
      </c>
      <c r="J905" s="32" t="str">
        <f aca="false">IF(E905="","",IFERROR(INDEX(Catégories!$D$5:$D$60,MATCH(E905,Catégories!$A$5:$A$60,0)),"?"))</f>
        <v/>
      </c>
      <c r="K905" s="33" t="n">
        <f aca="false">IF(H905="Recette",G905,IF(H905="Dépense",-G905,0))</f>
        <v>0</v>
      </c>
      <c r="L905" s="33" t="n">
        <f aca="false">IF(E905="",0,G905*IFERROR(INDEX(Catégories!$E$5:$E$60,MATCH(E905,Catégories!$A$5:$A$60,0)),0))</f>
        <v>0</v>
      </c>
    </row>
    <row r="906" customFormat="false" ht="15" hidden="false" customHeight="true" outlineLevel="0" collapsed="false">
      <c r="A906" s="34"/>
      <c r="B906" s="29" t="str">
        <f aca="false">IF(A906="","",YEAR(A906))</f>
        <v/>
      </c>
      <c r="G906" s="35"/>
      <c r="H906" s="32" t="str">
        <f aca="false">IF(E906="","",IFERROR(INDEX(Catégories!$B$5:$B$60,MATCH(E906,Catégories!$A$5:$A$60,0)),"?"))</f>
        <v/>
      </c>
      <c r="I906" s="32" t="str">
        <f aca="false">IF(E906="","",IFERROR(INDEX(Catégories!$C$5:$C$60,MATCH(E906,Catégories!$A$5:$A$60,0)),"?"))</f>
        <v/>
      </c>
      <c r="J906" s="32" t="str">
        <f aca="false">IF(E906="","",IFERROR(INDEX(Catégories!$D$5:$D$60,MATCH(E906,Catégories!$A$5:$A$60,0)),"?"))</f>
        <v/>
      </c>
      <c r="K906" s="33" t="n">
        <f aca="false">IF(H906="Recette",G906,IF(H906="Dépense",-G906,0))</f>
        <v>0</v>
      </c>
      <c r="L906" s="33" t="n">
        <f aca="false">IF(E906="",0,G906*IFERROR(INDEX(Catégories!$E$5:$E$60,MATCH(E906,Catégories!$A$5:$A$60,0)),0))</f>
        <v>0</v>
      </c>
    </row>
    <row r="907" customFormat="false" ht="15" hidden="false" customHeight="true" outlineLevel="0" collapsed="false">
      <c r="A907" s="34"/>
      <c r="B907" s="29" t="str">
        <f aca="false">IF(A907="","",YEAR(A907))</f>
        <v/>
      </c>
      <c r="G907" s="35"/>
      <c r="H907" s="32" t="str">
        <f aca="false">IF(E907="","",IFERROR(INDEX(Catégories!$B$5:$B$60,MATCH(E907,Catégories!$A$5:$A$60,0)),"?"))</f>
        <v/>
      </c>
      <c r="I907" s="32" t="str">
        <f aca="false">IF(E907="","",IFERROR(INDEX(Catégories!$C$5:$C$60,MATCH(E907,Catégories!$A$5:$A$60,0)),"?"))</f>
        <v/>
      </c>
      <c r="J907" s="32" t="str">
        <f aca="false">IF(E907="","",IFERROR(INDEX(Catégories!$D$5:$D$60,MATCH(E907,Catégories!$A$5:$A$60,0)),"?"))</f>
        <v/>
      </c>
      <c r="K907" s="33" t="n">
        <f aca="false">IF(H907="Recette",G907,IF(H907="Dépense",-G907,0))</f>
        <v>0</v>
      </c>
      <c r="L907" s="33" t="n">
        <f aca="false">IF(E907="",0,G907*IFERROR(INDEX(Catégories!$E$5:$E$60,MATCH(E907,Catégories!$A$5:$A$60,0)),0))</f>
        <v>0</v>
      </c>
    </row>
    <row r="908" customFormat="false" ht="15" hidden="false" customHeight="true" outlineLevel="0" collapsed="false">
      <c r="A908" s="34"/>
      <c r="B908" s="29" t="str">
        <f aca="false">IF(A908="","",YEAR(A908))</f>
        <v/>
      </c>
      <c r="G908" s="35"/>
      <c r="H908" s="32" t="str">
        <f aca="false">IF(E908="","",IFERROR(INDEX(Catégories!$B$5:$B$60,MATCH(E908,Catégories!$A$5:$A$60,0)),"?"))</f>
        <v/>
      </c>
      <c r="I908" s="32" t="str">
        <f aca="false">IF(E908="","",IFERROR(INDEX(Catégories!$C$5:$C$60,MATCH(E908,Catégories!$A$5:$A$60,0)),"?"))</f>
        <v/>
      </c>
      <c r="J908" s="32" t="str">
        <f aca="false">IF(E908="","",IFERROR(INDEX(Catégories!$D$5:$D$60,MATCH(E908,Catégories!$A$5:$A$60,0)),"?"))</f>
        <v/>
      </c>
      <c r="K908" s="33" t="n">
        <f aca="false">IF(H908="Recette",G908,IF(H908="Dépense",-G908,0))</f>
        <v>0</v>
      </c>
      <c r="L908" s="33" t="n">
        <f aca="false">IF(E908="",0,G908*IFERROR(INDEX(Catégories!$E$5:$E$60,MATCH(E908,Catégories!$A$5:$A$60,0)),0))</f>
        <v>0</v>
      </c>
    </row>
    <row r="909" customFormat="false" ht="15" hidden="false" customHeight="true" outlineLevel="0" collapsed="false">
      <c r="A909" s="34"/>
      <c r="B909" s="29" t="str">
        <f aca="false">IF(A909="","",YEAR(A909))</f>
        <v/>
      </c>
      <c r="G909" s="35"/>
      <c r="H909" s="32" t="str">
        <f aca="false">IF(E909="","",IFERROR(INDEX(Catégories!$B$5:$B$60,MATCH(E909,Catégories!$A$5:$A$60,0)),"?"))</f>
        <v/>
      </c>
      <c r="I909" s="32" t="str">
        <f aca="false">IF(E909="","",IFERROR(INDEX(Catégories!$C$5:$C$60,MATCH(E909,Catégories!$A$5:$A$60,0)),"?"))</f>
        <v/>
      </c>
      <c r="J909" s="32" t="str">
        <f aca="false">IF(E909="","",IFERROR(INDEX(Catégories!$D$5:$D$60,MATCH(E909,Catégories!$A$5:$A$60,0)),"?"))</f>
        <v/>
      </c>
      <c r="K909" s="33" t="n">
        <f aca="false">IF(H909="Recette",G909,IF(H909="Dépense",-G909,0))</f>
        <v>0</v>
      </c>
      <c r="L909" s="33" t="n">
        <f aca="false">IF(E909="",0,G909*IFERROR(INDEX(Catégories!$E$5:$E$60,MATCH(E909,Catégories!$A$5:$A$60,0)),0))</f>
        <v>0</v>
      </c>
    </row>
    <row r="910" customFormat="false" ht="15" hidden="false" customHeight="true" outlineLevel="0" collapsed="false">
      <c r="A910" s="34"/>
      <c r="B910" s="29" t="str">
        <f aca="false">IF(A910="","",YEAR(A910))</f>
        <v/>
      </c>
      <c r="G910" s="35"/>
      <c r="H910" s="32" t="str">
        <f aca="false">IF(E910="","",IFERROR(INDEX(Catégories!$B$5:$B$60,MATCH(E910,Catégories!$A$5:$A$60,0)),"?"))</f>
        <v/>
      </c>
      <c r="I910" s="32" t="str">
        <f aca="false">IF(E910="","",IFERROR(INDEX(Catégories!$C$5:$C$60,MATCH(E910,Catégories!$A$5:$A$60,0)),"?"))</f>
        <v/>
      </c>
      <c r="J910" s="32" t="str">
        <f aca="false">IF(E910="","",IFERROR(INDEX(Catégories!$D$5:$D$60,MATCH(E910,Catégories!$A$5:$A$60,0)),"?"))</f>
        <v/>
      </c>
      <c r="K910" s="33" t="n">
        <f aca="false">IF(H910="Recette",G910,IF(H910="Dépense",-G910,0))</f>
        <v>0</v>
      </c>
      <c r="L910" s="33" t="n">
        <f aca="false">IF(E910="",0,G910*IFERROR(INDEX(Catégories!$E$5:$E$60,MATCH(E910,Catégories!$A$5:$A$60,0)),0))</f>
        <v>0</v>
      </c>
    </row>
    <row r="911" customFormat="false" ht="15" hidden="false" customHeight="true" outlineLevel="0" collapsed="false">
      <c r="A911" s="34"/>
      <c r="B911" s="29" t="str">
        <f aca="false">IF(A911="","",YEAR(A911))</f>
        <v/>
      </c>
      <c r="G911" s="35"/>
      <c r="H911" s="32" t="str">
        <f aca="false">IF(E911="","",IFERROR(INDEX(Catégories!$B$5:$B$60,MATCH(E911,Catégories!$A$5:$A$60,0)),"?"))</f>
        <v/>
      </c>
      <c r="I911" s="32" t="str">
        <f aca="false">IF(E911="","",IFERROR(INDEX(Catégories!$C$5:$C$60,MATCH(E911,Catégories!$A$5:$A$60,0)),"?"))</f>
        <v/>
      </c>
      <c r="J911" s="32" t="str">
        <f aca="false">IF(E911="","",IFERROR(INDEX(Catégories!$D$5:$D$60,MATCH(E911,Catégories!$A$5:$A$60,0)),"?"))</f>
        <v/>
      </c>
      <c r="K911" s="33" t="n">
        <f aca="false">IF(H911="Recette",G911,IF(H911="Dépense",-G911,0))</f>
        <v>0</v>
      </c>
      <c r="L911" s="33" t="n">
        <f aca="false">IF(E911="",0,G911*IFERROR(INDEX(Catégories!$E$5:$E$60,MATCH(E911,Catégories!$A$5:$A$60,0)),0))</f>
        <v>0</v>
      </c>
    </row>
    <row r="912" customFormat="false" ht="15" hidden="false" customHeight="true" outlineLevel="0" collapsed="false">
      <c r="A912" s="34"/>
      <c r="B912" s="29" t="str">
        <f aca="false">IF(A912="","",YEAR(A912))</f>
        <v/>
      </c>
      <c r="G912" s="35"/>
      <c r="H912" s="32" t="str">
        <f aca="false">IF(E912="","",IFERROR(INDEX(Catégories!$B$5:$B$60,MATCH(E912,Catégories!$A$5:$A$60,0)),"?"))</f>
        <v/>
      </c>
      <c r="I912" s="32" t="str">
        <f aca="false">IF(E912="","",IFERROR(INDEX(Catégories!$C$5:$C$60,MATCH(E912,Catégories!$A$5:$A$60,0)),"?"))</f>
        <v/>
      </c>
      <c r="J912" s="32" t="str">
        <f aca="false">IF(E912="","",IFERROR(INDEX(Catégories!$D$5:$D$60,MATCH(E912,Catégories!$A$5:$A$60,0)),"?"))</f>
        <v/>
      </c>
      <c r="K912" s="33" t="n">
        <f aca="false">IF(H912="Recette",G912,IF(H912="Dépense",-G912,0))</f>
        <v>0</v>
      </c>
      <c r="L912" s="33" t="n">
        <f aca="false">IF(E912="",0,G912*IFERROR(INDEX(Catégories!$E$5:$E$60,MATCH(E912,Catégories!$A$5:$A$60,0)),0))</f>
        <v>0</v>
      </c>
    </row>
    <row r="913" customFormat="false" ht="15" hidden="false" customHeight="true" outlineLevel="0" collapsed="false">
      <c r="A913" s="34"/>
      <c r="B913" s="29" t="str">
        <f aca="false">IF(A913="","",YEAR(A913))</f>
        <v/>
      </c>
      <c r="G913" s="35"/>
      <c r="H913" s="32" t="str">
        <f aca="false">IF(E913="","",IFERROR(INDEX(Catégories!$B$5:$B$60,MATCH(E913,Catégories!$A$5:$A$60,0)),"?"))</f>
        <v/>
      </c>
      <c r="I913" s="32" t="str">
        <f aca="false">IF(E913="","",IFERROR(INDEX(Catégories!$C$5:$C$60,MATCH(E913,Catégories!$A$5:$A$60,0)),"?"))</f>
        <v/>
      </c>
      <c r="J913" s="32" t="str">
        <f aca="false">IF(E913="","",IFERROR(INDEX(Catégories!$D$5:$D$60,MATCH(E913,Catégories!$A$5:$A$60,0)),"?"))</f>
        <v/>
      </c>
      <c r="K913" s="33" t="n">
        <f aca="false">IF(H913="Recette",G913,IF(H913="Dépense",-G913,0))</f>
        <v>0</v>
      </c>
      <c r="L913" s="33" t="n">
        <f aca="false">IF(E913="",0,G913*IFERROR(INDEX(Catégories!$E$5:$E$60,MATCH(E913,Catégories!$A$5:$A$60,0)),0))</f>
        <v>0</v>
      </c>
    </row>
    <row r="914" customFormat="false" ht="15" hidden="false" customHeight="true" outlineLevel="0" collapsed="false">
      <c r="A914" s="34"/>
      <c r="B914" s="29" t="str">
        <f aca="false">IF(A914="","",YEAR(A914))</f>
        <v/>
      </c>
      <c r="G914" s="35"/>
      <c r="H914" s="32" t="str">
        <f aca="false">IF(E914="","",IFERROR(INDEX(Catégories!$B$5:$B$60,MATCH(E914,Catégories!$A$5:$A$60,0)),"?"))</f>
        <v/>
      </c>
      <c r="I914" s="32" t="str">
        <f aca="false">IF(E914="","",IFERROR(INDEX(Catégories!$C$5:$C$60,MATCH(E914,Catégories!$A$5:$A$60,0)),"?"))</f>
        <v/>
      </c>
      <c r="J914" s="32" t="str">
        <f aca="false">IF(E914="","",IFERROR(INDEX(Catégories!$D$5:$D$60,MATCH(E914,Catégories!$A$5:$A$60,0)),"?"))</f>
        <v/>
      </c>
      <c r="K914" s="33" t="n">
        <f aca="false">IF(H914="Recette",G914,IF(H914="Dépense",-G914,0))</f>
        <v>0</v>
      </c>
      <c r="L914" s="33" t="n">
        <f aca="false">IF(E914="",0,G914*IFERROR(INDEX(Catégories!$E$5:$E$60,MATCH(E914,Catégories!$A$5:$A$60,0)),0))</f>
        <v>0</v>
      </c>
    </row>
    <row r="915" customFormat="false" ht="15" hidden="false" customHeight="true" outlineLevel="0" collapsed="false">
      <c r="A915" s="34"/>
      <c r="B915" s="29" t="str">
        <f aca="false">IF(A915="","",YEAR(A915))</f>
        <v/>
      </c>
      <c r="G915" s="35"/>
      <c r="H915" s="32" t="str">
        <f aca="false">IF(E915="","",IFERROR(INDEX(Catégories!$B$5:$B$60,MATCH(E915,Catégories!$A$5:$A$60,0)),"?"))</f>
        <v/>
      </c>
      <c r="I915" s="32" t="str">
        <f aca="false">IF(E915="","",IFERROR(INDEX(Catégories!$C$5:$C$60,MATCH(E915,Catégories!$A$5:$A$60,0)),"?"))</f>
        <v/>
      </c>
      <c r="J915" s="32" t="str">
        <f aca="false">IF(E915="","",IFERROR(INDEX(Catégories!$D$5:$D$60,MATCH(E915,Catégories!$A$5:$A$60,0)),"?"))</f>
        <v/>
      </c>
      <c r="K915" s="33" t="n">
        <f aca="false">IF(H915="Recette",G915,IF(H915="Dépense",-G915,0))</f>
        <v>0</v>
      </c>
      <c r="L915" s="33" t="n">
        <f aca="false">IF(E915="",0,G915*IFERROR(INDEX(Catégories!$E$5:$E$60,MATCH(E915,Catégories!$A$5:$A$60,0)),0))</f>
        <v>0</v>
      </c>
    </row>
    <row r="916" customFormat="false" ht="15" hidden="false" customHeight="true" outlineLevel="0" collapsed="false">
      <c r="A916" s="34"/>
      <c r="B916" s="29" t="str">
        <f aca="false">IF(A916="","",YEAR(A916))</f>
        <v/>
      </c>
      <c r="G916" s="35"/>
      <c r="H916" s="32" t="str">
        <f aca="false">IF(E916="","",IFERROR(INDEX(Catégories!$B$5:$B$60,MATCH(E916,Catégories!$A$5:$A$60,0)),"?"))</f>
        <v/>
      </c>
      <c r="I916" s="32" t="str">
        <f aca="false">IF(E916="","",IFERROR(INDEX(Catégories!$C$5:$C$60,MATCH(E916,Catégories!$A$5:$A$60,0)),"?"))</f>
        <v/>
      </c>
      <c r="J916" s="32" t="str">
        <f aca="false">IF(E916="","",IFERROR(INDEX(Catégories!$D$5:$D$60,MATCH(E916,Catégories!$A$5:$A$60,0)),"?"))</f>
        <v/>
      </c>
      <c r="K916" s="33" t="n">
        <f aca="false">IF(H916="Recette",G916,IF(H916="Dépense",-G916,0))</f>
        <v>0</v>
      </c>
      <c r="L916" s="33" t="n">
        <f aca="false">IF(E916="",0,G916*IFERROR(INDEX(Catégories!$E$5:$E$60,MATCH(E916,Catégories!$A$5:$A$60,0)),0))</f>
        <v>0</v>
      </c>
    </row>
    <row r="917" customFormat="false" ht="15" hidden="false" customHeight="true" outlineLevel="0" collapsed="false">
      <c r="A917" s="34"/>
      <c r="B917" s="29" t="str">
        <f aca="false">IF(A917="","",YEAR(A917))</f>
        <v/>
      </c>
      <c r="G917" s="35"/>
      <c r="H917" s="32" t="str">
        <f aca="false">IF(E917="","",IFERROR(INDEX(Catégories!$B$5:$B$60,MATCH(E917,Catégories!$A$5:$A$60,0)),"?"))</f>
        <v/>
      </c>
      <c r="I917" s="32" t="str">
        <f aca="false">IF(E917="","",IFERROR(INDEX(Catégories!$C$5:$C$60,MATCH(E917,Catégories!$A$5:$A$60,0)),"?"))</f>
        <v/>
      </c>
      <c r="J917" s="32" t="str">
        <f aca="false">IF(E917="","",IFERROR(INDEX(Catégories!$D$5:$D$60,MATCH(E917,Catégories!$A$5:$A$60,0)),"?"))</f>
        <v/>
      </c>
      <c r="K917" s="33" t="n">
        <f aca="false">IF(H917="Recette",G917,IF(H917="Dépense",-G917,0))</f>
        <v>0</v>
      </c>
      <c r="L917" s="33" t="n">
        <f aca="false">IF(E917="",0,G917*IFERROR(INDEX(Catégories!$E$5:$E$60,MATCH(E917,Catégories!$A$5:$A$60,0)),0))</f>
        <v>0</v>
      </c>
    </row>
    <row r="918" customFormat="false" ht="15" hidden="false" customHeight="true" outlineLevel="0" collapsed="false">
      <c r="A918" s="34"/>
      <c r="B918" s="29" t="str">
        <f aca="false">IF(A918="","",YEAR(A918))</f>
        <v/>
      </c>
      <c r="G918" s="35"/>
      <c r="H918" s="32" t="str">
        <f aca="false">IF(E918="","",IFERROR(INDEX(Catégories!$B$5:$B$60,MATCH(E918,Catégories!$A$5:$A$60,0)),"?"))</f>
        <v/>
      </c>
      <c r="I918" s="32" t="str">
        <f aca="false">IF(E918="","",IFERROR(INDEX(Catégories!$C$5:$C$60,MATCH(E918,Catégories!$A$5:$A$60,0)),"?"))</f>
        <v/>
      </c>
      <c r="J918" s="32" t="str">
        <f aca="false">IF(E918="","",IFERROR(INDEX(Catégories!$D$5:$D$60,MATCH(E918,Catégories!$A$5:$A$60,0)),"?"))</f>
        <v/>
      </c>
      <c r="K918" s="33" t="n">
        <f aca="false">IF(H918="Recette",G918,IF(H918="Dépense",-G918,0))</f>
        <v>0</v>
      </c>
      <c r="L918" s="33" t="n">
        <f aca="false">IF(E918="",0,G918*IFERROR(INDEX(Catégories!$E$5:$E$60,MATCH(E918,Catégories!$A$5:$A$60,0)),0))</f>
        <v>0</v>
      </c>
    </row>
    <row r="919" customFormat="false" ht="15" hidden="false" customHeight="true" outlineLevel="0" collapsed="false">
      <c r="A919" s="34"/>
      <c r="B919" s="29" t="str">
        <f aca="false">IF(A919="","",YEAR(A919))</f>
        <v/>
      </c>
      <c r="G919" s="35"/>
      <c r="H919" s="32" t="str">
        <f aca="false">IF(E919="","",IFERROR(INDEX(Catégories!$B$5:$B$60,MATCH(E919,Catégories!$A$5:$A$60,0)),"?"))</f>
        <v/>
      </c>
      <c r="I919" s="32" t="str">
        <f aca="false">IF(E919="","",IFERROR(INDEX(Catégories!$C$5:$C$60,MATCH(E919,Catégories!$A$5:$A$60,0)),"?"))</f>
        <v/>
      </c>
      <c r="J919" s="32" t="str">
        <f aca="false">IF(E919="","",IFERROR(INDEX(Catégories!$D$5:$D$60,MATCH(E919,Catégories!$A$5:$A$60,0)),"?"))</f>
        <v/>
      </c>
      <c r="K919" s="33" t="n">
        <f aca="false">IF(H919="Recette",G919,IF(H919="Dépense",-G919,0))</f>
        <v>0</v>
      </c>
      <c r="L919" s="33" t="n">
        <f aca="false">IF(E919="",0,G919*IFERROR(INDEX(Catégories!$E$5:$E$60,MATCH(E919,Catégories!$A$5:$A$60,0)),0))</f>
        <v>0</v>
      </c>
    </row>
    <row r="920" customFormat="false" ht="15" hidden="false" customHeight="true" outlineLevel="0" collapsed="false">
      <c r="A920" s="34"/>
      <c r="B920" s="29" t="str">
        <f aca="false">IF(A920="","",YEAR(A920))</f>
        <v/>
      </c>
      <c r="G920" s="35"/>
      <c r="H920" s="32" t="str">
        <f aca="false">IF(E920="","",IFERROR(INDEX(Catégories!$B$5:$B$60,MATCH(E920,Catégories!$A$5:$A$60,0)),"?"))</f>
        <v/>
      </c>
      <c r="I920" s="32" t="str">
        <f aca="false">IF(E920="","",IFERROR(INDEX(Catégories!$C$5:$C$60,MATCH(E920,Catégories!$A$5:$A$60,0)),"?"))</f>
        <v/>
      </c>
      <c r="J920" s="32" t="str">
        <f aca="false">IF(E920="","",IFERROR(INDEX(Catégories!$D$5:$D$60,MATCH(E920,Catégories!$A$5:$A$60,0)),"?"))</f>
        <v/>
      </c>
      <c r="K920" s="33" t="n">
        <f aca="false">IF(H920="Recette",G920,IF(H920="Dépense",-G920,0))</f>
        <v>0</v>
      </c>
      <c r="L920" s="33" t="n">
        <f aca="false">IF(E920="",0,G920*IFERROR(INDEX(Catégories!$E$5:$E$60,MATCH(E920,Catégories!$A$5:$A$60,0)),0))</f>
        <v>0</v>
      </c>
    </row>
    <row r="921" customFormat="false" ht="15" hidden="false" customHeight="true" outlineLevel="0" collapsed="false">
      <c r="A921" s="34"/>
      <c r="B921" s="29" t="str">
        <f aca="false">IF(A921="","",YEAR(A921))</f>
        <v/>
      </c>
      <c r="G921" s="35"/>
      <c r="H921" s="32" t="str">
        <f aca="false">IF(E921="","",IFERROR(INDEX(Catégories!$B$5:$B$60,MATCH(E921,Catégories!$A$5:$A$60,0)),"?"))</f>
        <v/>
      </c>
      <c r="I921" s="32" t="str">
        <f aca="false">IF(E921="","",IFERROR(INDEX(Catégories!$C$5:$C$60,MATCH(E921,Catégories!$A$5:$A$60,0)),"?"))</f>
        <v/>
      </c>
      <c r="J921" s="32" t="str">
        <f aca="false">IF(E921="","",IFERROR(INDEX(Catégories!$D$5:$D$60,MATCH(E921,Catégories!$A$5:$A$60,0)),"?"))</f>
        <v/>
      </c>
      <c r="K921" s="33" t="n">
        <f aca="false">IF(H921="Recette",G921,IF(H921="Dépense",-G921,0))</f>
        <v>0</v>
      </c>
      <c r="L921" s="33" t="n">
        <f aca="false">IF(E921="",0,G921*IFERROR(INDEX(Catégories!$E$5:$E$60,MATCH(E921,Catégories!$A$5:$A$60,0)),0))</f>
        <v>0</v>
      </c>
    </row>
    <row r="922" customFormat="false" ht="15" hidden="false" customHeight="true" outlineLevel="0" collapsed="false">
      <c r="A922" s="34"/>
      <c r="B922" s="29" t="str">
        <f aca="false">IF(A922="","",YEAR(A922))</f>
        <v/>
      </c>
      <c r="G922" s="35"/>
      <c r="H922" s="32" t="str">
        <f aca="false">IF(E922="","",IFERROR(INDEX(Catégories!$B$5:$B$60,MATCH(E922,Catégories!$A$5:$A$60,0)),"?"))</f>
        <v/>
      </c>
      <c r="I922" s="32" t="str">
        <f aca="false">IF(E922="","",IFERROR(INDEX(Catégories!$C$5:$C$60,MATCH(E922,Catégories!$A$5:$A$60,0)),"?"))</f>
        <v/>
      </c>
      <c r="J922" s="32" t="str">
        <f aca="false">IF(E922="","",IFERROR(INDEX(Catégories!$D$5:$D$60,MATCH(E922,Catégories!$A$5:$A$60,0)),"?"))</f>
        <v/>
      </c>
      <c r="K922" s="33" t="n">
        <f aca="false">IF(H922="Recette",G922,IF(H922="Dépense",-G922,0))</f>
        <v>0</v>
      </c>
      <c r="L922" s="33" t="n">
        <f aca="false">IF(E922="",0,G922*IFERROR(INDEX(Catégories!$E$5:$E$60,MATCH(E922,Catégories!$A$5:$A$60,0)),0))</f>
        <v>0</v>
      </c>
    </row>
    <row r="923" customFormat="false" ht="15" hidden="false" customHeight="true" outlineLevel="0" collapsed="false">
      <c r="A923" s="34"/>
      <c r="B923" s="29" t="str">
        <f aca="false">IF(A923="","",YEAR(A923))</f>
        <v/>
      </c>
      <c r="G923" s="35"/>
      <c r="H923" s="32" t="str">
        <f aca="false">IF(E923="","",IFERROR(INDEX(Catégories!$B$5:$B$60,MATCH(E923,Catégories!$A$5:$A$60,0)),"?"))</f>
        <v/>
      </c>
      <c r="I923" s="32" t="str">
        <f aca="false">IF(E923="","",IFERROR(INDEX(Catégories!$C$5:$C$60,MATCH(E923,Catégories!$A$5:$A$60,0)),"?"))</f>
        <v/>
      </c>
      <c r="J923" s="32" t="str">
        <f aca="false">IF(E923="","",IFERROR(INDEX(Catégories!$D$5:$D$60,MATCH(E923,Catégories!$A$5:$A$60,0)),"?"))</f>
        <v/>
      </c>
      <c r="K923" s="33" t="n">
        <f aca="false">IF(H923="Recette",G923,IF(H923="Dépense",-G923,0))</f>
        <v>0</v>
      </c>
      <c r="L923" s="33" t="n">
        <f aca="false">IF(E923="",0,G923*IFERROR(INDEX(Catégories!$E$5:$E$60,MATCH(E923,Catégories!$A$5:$A$60,0)),0))</f>
        <v>0</v>
      </c>
    </row>
    <row r="924" customFormat="false" ht="15" hidden="false" customHeight="true" outlineLevel="0" collapsed="false">
      <c r="A924" s="34"/>
      <c r="B924" s="29" t="str">
        <f aca="false">IF(A924="","",YEAR(A924))</f>
        <v/>
      </c>
      <c r="G924" s="35"/>
      <c r="H924" s="32" t="str">
        <f aca="false">IF(E924="","",IFERROR(INDEX(Catégories!$B$5:$B$60,MATCH(E924,Catégories!$A$5:$A$60,0)),"?"))</f>
        <v/>
      </c>
      <c r="I924" s="32" t="str">
        <f aca="false">IF(E924="","",IFERROR(INDEX(Catégories!$C$5:$C$60,MATCH(E924,Catégories!$A$5:$A$60,0)),"?"))</f>
        <v/>
      </c>
      <c r="J924" s="32" t="str">
        <f aca="false">IF(E924="","",IFERROR(INDEX(Catégories!$D$5:$D$60,MATCH(E924,Catégories!$A$5:$A$60,0)),"?"))</f>
        <v/>
      </c>
      <c r="K924" s="33" t="n">
        <f aca="false">IF(H924="Recette",G924,IF(H924="Dépense",-G924,0))</f>
        <v>0</v>
      </c>
      <c r="L924" s="33" t="n">
        <f aca="false">IF(E924="",0,G924*IFERROR(INDEX(Catégories!$E$5:$E$60,MATCH(E924,Catégories!$A$5:$A$60,0)),0))</f>
        <v>0</v>
      </c>
    </row>
    <row r="925" customFormat="false" ht="15" hidden="false" customHeight="true" outlineLevel="0" collapsed="false">
      <c r="A925" s="34"/>
      <c r="B925" s="29" t="str">
        <f aca="false">IF(A925="","",YEAR(A925))</f>
        <v/>
      </c>
      <c r="G925" s="35"/>
      <c r="H925" s="32" t="str">
        <f aca="false">IF(E925="","",IFERROR(INDEX(Catégories!$B$5:$B$60,MATCH(E925,Catégories!$A$5:$A$60,0)),"?"))</f>
        <v/>
      </c>
      <c r="I925" s="32" t="str">
        <f aca="false">IF(E925="","",IFERROR(INDEX(Catégories!$C$5:$C$60,MATCH(E925,Catégories!$A$5:$A$60,0)),"?"))</f>
        <v/>
      </c>
      <c r="J925" s="32" t="str">
        <f aca="false">IF(E925="","",IFERROR(INDEX(Catégories!$D$5:$D$60,MATCH(E925,Catégories!$A$5:$A$60,0)),"?"))</f>
        <v/>
      </c>
      <c r="K925" s="33" t="n">
        <f aca="false">IF(H925="Recette",G925,IF(H925="Dépense",-G925,0))</f>
        <v>0</v>
      </c>
      <c r="L925" s="33" t="n">
        <f aca="false">IF(E925="",0,G925*IFERROR(INDEX(Catégories!$E$5:$E$60,MATCH(E925,Catégories!$A$5:$A$60,0)),0))</f>
        <v>0</v>
      </c>
    </row>
    <row r="926" customFormat="false" ht="15" hidden="false" customHeight="true" outlineLevel="0" collapsed="false">
      <c r="A926" s="34"/>
      <c r="B926" s="29" t="str">
        <f aca="false">IF(A926="","",YEAR(A926))</f>
        <v/>
      </c>
      <c r="G926" s="35"/>
      <c r="H926" s="32" t="str">
        <f aca="false">IF(E926="","",IFERROR(INDEX(Catégories!$B$5:$B$60,MATCH(E926,Catégories!$A$5:$A$60,0)),"?"))</f>
        <v/>
      </c>
      <c r="I926" s="32" t="str">
        <f aca="false">IF(E926="","",IFERROR(INDEX(Catégories!$C$5:$C$60,MATCH(E926,Catégories!$A$5:$A$60,0)),"?"))</f>
        <v/>
      </c>
      <c r="J926" s="32" t="str">
        <f aca="false">IF(E926="","",IFERROR(INDEX(Catégories!$D$5:$D$60,MATCH(E926,Catégories!$A$5:$A$60,0)),"?"))</f>
        <v/>
      </c>
      <c r="K926" s="33" t="n">
        <f aca="false">IF(H926="Recette",G926,IF(H926="Dépense",-G926,0))</f>
        <v>0</v>
      </c>
      <c r="L926" s="33" t="n">
        <f aca="false">IF(E926="",0,G926*IFERROR(INDEX(Catégories!$E$5:$E$60,MATCH(E926,Catégories!$A$5:$A$60,0)),0))</f>
        <v>0</v>
      </c>
    </row>
    <row r="927" customFormat="false" ht="15" hidden="false" customHeight="true" outlineLevel="0" collapsed="false">
      <c r="A927" s="34"/>
      <c r="B927" s="29" t="str">
        <f aca="false">IF(A927="","",YEAR(A927))</f>
        <v/>
      </c>
      <c r="G927" s="35"/>
      <c r="H927" s="32" t="str">
        <f aca="false">IF(E927="","",IFERROR(INDEX(Catégories!$B$5:$B$60,MATCH(E927,Catégories!$A$5:$A$60,0)),"?"))</f>
        <v/>
      </c>
      <c r="I927" s="32" t="str">
        <f aca="false">IF(E927="","",IFERROR(INDEX(Catégories!$C$5:$C$60,MATCH(E927,Catégories!$A$5:$A$60,0)),"?"))</f>
        <v/>
      </c>
      <c r="J927" s="32" t="str">
        <f aca="false">IF(E927="","",IFERROR(INDEX(Catégories!$D$5:$D$60,MATCH(E927,Catégories!$A$5:$A$60,0)),"?"))</f>
        <v/>
      </c>
      <c r="K927" s="33" t="n">
        <f aca="false">IF(H927="Recette",G927,IF(H927="Dépense",-G927,0))</f>
        <v>0</v>
      </c>
      <c r="L927" s="33" t="n">
        <f aca="false">IF(E927="",0,G927*IFERROR(INDEX(Catégories!$E$5:$E$60,MATCH(E927,Catégories!$A$5:$A$60,0)),0))</f>
        <v>0</v>
      </c>
    </row>
    <row r="928" customFormat="false" ht="15" hidden="false" customHeight="true" outlineLevel="0" collapsed="false">
      <c r="A928" s="34"/>
      <c r="B928" s="29" t="str">
        <f aca="false">IF(A928="","",YEAR(A928))</f>
        <v/>
      </c>
      <c r="G928" s="35"/>
      <c r="H928" s="32" t="str">
        <f aca="false">IF(E928="","",IFERROR(INDEX(Catégories!$B$5:$B$60,MATCH(E928,Catégories!$A$5:$A$60,0)),"?"))</f>
        <v/>
      </c>
      <c r="I928" s="32" t="str">
        <f aca="false">IF(E928="","",IFERROR(INDEX(Catégories!$C$5:$C$60,MATCH(E928,Catégories!$A$5:$A$60,0)),"?"))</f>
        <v/>
      </c>
      <c r="J928" s="32" t="str">
        <f aca="false">IF(E928="","",IFERROR(INDEX(Catégories!$D$5:$D$60,MATCH(E928,Catégories!$A$5:$A$60,0)),"?"))</f>
        <v/>
      </c>
      <c r="K928" s="33" t="n">
        <f aca="false">IF(H928="Recette",G928,IF(H928="Dépense",-G928,0))</f>
        <v>0</v>
      </c>
      <c r="L928" s="33" t="n">
        <f aca="false">IF(E928="",0,G928*IFERROR(INDEX(Catégories!$E$5:$E$60,MATCH(E928,Catégories!$A$5:$A$60,0)),0))</f>
        <v>0</v>
      </c>
    </row>
    <row r="929" customFormat="false" ht="15" hidden="false" customHeight="true" outlineLevel="0" collapsed="false">
      <c r="A929" s="34"/>
      <c r="B929" s="29" t="str">
        <f aca="false">IF(A929="","",YEAR(A929))</f>
        <v/>
      </c>
      <c r="G929" s="35"/>
      <c r="H929" s="32" t="str">
        <f aca="false">IF(E929="","",IFERROR(INDEX(Catégories!$B$5:$B$60,MATCH(E929,Catégories!$A$5:$A$60,0)),"?"))</f>
        <v/>
      </c>
      <c r="I929" s="32" t="str">
        <f aca="false">IF(E929="","",IFERROR(INDEX(Catégories!$C$5:$C$60,MATCH(E929,Catégories!$A$5:$A$60,0)),"?"))</f>
        <v/>
      </c>
      <c r="J929" s="32" t="str">
        <f aca="false">IF(E929="","",IFERROR(INDEX(Catégories!$D$5:$D$60,MATCH(E929,Catégories!$A$5:$A$60,0)),"?"))</f>
        <v/>
      </c>
      <c r="K929" s="33" t="n">
        <f aca="false">IF(H929="Recette",G929,IF(H929="Dépense",-G929,0))</f>
        <v>0</v>
      </c>
      <c r="L929" s="33" t="n">
        <f aca="false">IF(E929="",0,G929*IFERROR(INDEX(Catégories!$E$5:$E$60,MATCH(E929,Catégories!$A$5:$A$60,0)),0))</f>
        <v>0</v>
      </c>
    </row>
    <row r="930" customFormat="false" ht="15" hidden="false" customHeight="true" outlineLevel="0" collapsed="false">
      <c r="A930" s="34"/>
      <c r="B930" s="29" t="str">
        <f aca="false">IF(A930="","",YEAR(A930))</f>
        <v/>
      </c>
      <c r="G930" s="35"/>
      <c r="H930" s="32" t="str">
        <f aca="false">IF(E930="","",IFERROR(INDEX(Catégories!$B$5:$B$60,MATCH(E930,Catégories!$A$5:$A$60,0)),"?"))</f>
        <v/>
      </c>
      <c r="I930" s="32" t="str">
        <f aca="false">IF(E930="","",IFERROR(INDEX(Catégories!$C$5:$C$60,MATCH(E930,Catégories!$A$5:$A$60,0)),"?"))</f>
        <v/>
      </c>
      <c r="J930" s="32" t="str">
        <f aca="false">IF(E930="","",IFERROR(INDEX(Catégories!$D$5:$D$60,MATCH(E930,Catégories!$A$5:$A$60,0)),"?"))</f>
        <v/>
      </c>
      <c r="K930" s="33" t="n">
        <f aca="false">IF(H930="Recette",G930,IF(H930="Dépense",-G930,0))</f>
        <v>0</v>
      </c>
      <c r="L930" s="33" t="n">
        <f aca="false">IF(E930="",0,G930*IFERROR(INDEX(Catégories!$E$5:$E$60,MATCH(E930,Catégories!$A$5:$A$60,0)),0))</f>
        <v>0</v>
      </c>
    </row>
    <row r="931" customFormat="false" ht="15" hidden="false" customHeight="true" outlineLevel="0" collapsed="false">
      <c r="A931" s="34"/>
      <c r="B931" s="29" t="str">
        <f aca="false">IF(A931="","",YEAR(A931))</f>
        <v/>
      </c>
      <c r="G931" s="35"/>
      <c r="H931" s="32" t="str">
        <f aca="false">IF(E931="","",IFERROR(INDEX(Catégories!$B$5:$B$60,MATCH(E931,Catégories!$A$5:$A$60,0)),"?"))</f>
        <v/>
      </c>
      <c r="I931" s="32" t="str">
        <f aca="false">IF(E931="","",IFERROR(INDEX(Catégories!$C$5:$C$60,MATCH(E931,Catégories!$A$5:$A$60,0)),"?"))</f>
        <v/>
      </c>
      <c r="J931" s="32" t="str">
        <f aca="false">IF(E931="","",IFERROR(INDEX(Catégories!$D$5:$D$60,MATCH(E931,Catégories!$A$5:$A$60,0)),"?"))</f>
        <v/>
      </c>
      <c r="K931" s="33" t="n">
        <f aca="false">IF(H931="Recette",G931,IF(H931="Dépense",-G931,0))</f>
        <v>0</v>
      </c>
      <c r="L931" s="33" t="n">
        <f aca="false">IF(E931="",0,G931*IFERROR(INDEX(Catégories!$E$5:$E$60,MATCH(E931,Catégories!$A$5:$A$60,0)),0))</f>
        <v>0</v>
      </c>
    </row>
    <row r="932" customFormat="false" ht="15" hidden="false" customHeight="true" outlineLevel="0" collapsed="false">
      <c r="A932" s="34"/>
      <c r="B932" s="29" t="str">
        <f aca="false">IF(A932="","",YEAR(A932))</f>
        <v/>
      </c>
      <c r="G932" s="35"/>
      <c r="H932" s="32" t="str">
        <f aca="false">IF(E932="","",IFERROR(INDEX(Catégories!$B$5:$B$60,MATCH(E932,Catégories!$A$5:$A$60,0)),"?"))</f>
        <v/>
      </c>
      <c r="I932" s="32" t="str">
        <f aca="false">IF(E932="","",IFERROR(INDEX(Catégories!$C$5:$C$60,MATCH(E932,Catégories!$A$5:$A$60,0)),"?"))</f>
        <v/>
      </c>
      <c r="J932" s="32" t="str">
        <f aca="false">IF(E932="","",IFERROR(INDEX(Catégories!$D$5:$D$60,MATCH(E932,Catégories!$A$5:$A$60,0)),"?"))</f>
        <v/>
      </c>
      <c r="K932" s="33" t="n">
        <f aca="false">IF(H932="Recette",G932,IF(H932="Dépense",-G932,0))</f>
        <v>0</v>
      </c>
      <c r="L932" s="33" t="n">
        <f aca="false">IF(E932="",0,G932*IFERROR(INDEX(Catégories!$E$5:$E$60,MATCH(E932,Catégories!$A$5:$A$60,0)),0))</f>
        <v>0</v>
      </c>
    </row>
    <row r="933" customFormat="false" ht="15" hidden="false" customHeight="true" outlineLevel="0" collapsed="false">
      <c r="A933" s="34"/>
      <c r="B933" s="29" t="str">
        <f aca="false">IF(A933="","",YEAR(A933))</f>
        <v/>
      </c>
      <c r="G933" s="35"/>
      <c r="H933" s="32" t="str">
        <f aca="false">IF(E933="","",IFERROR(INDEX(Catégories!$B$5:$B$60,MATCH(E933,Catégories!$A$5:$A$60,0)),"?"))</f>
        <v/>
      </c>
      <c r="I933" s="32" t="str">
        <f aca="false">IF(E933="","",IFERROR(INDEX(Catégories!$C$5:$C$60,MATCH(E933,Catégories!$A$5:$A$60,0)),"?"))</f>
        <v/>
      </c>
      <c r="J933" s="32" t="str">
        <f aca="false">IF(E933="","",IFERROR(INDEX(Catégories!$D$5:$D$60,MATCH(E933,Catégories!$A$5:$A$60,0)),"?"))</f>
        <v/>
      </c>
      <c r="K933" s="33" t="n">
        <f aca="false">IF(H933="Recette",G933,IF(H933="Dépense",-G933,0))</f>
        <v>0</v>
      </c>
      <c r="L933" s="33" t="n">
        <f aca="false">IF(E933="",0,G933*IFERROR(INDEX(Catégories!$E$5:$E$60,MATCH(E933,Catégories!$A$5:$A$60,0)),0))</f>
        <v>0</v>
      </c>
    </row>
    <row r="934" customFormat="false" ht="15" hidden="false" customHeight="true" outlineLevel="0" collapsed="false">
      <c r="A934" s="34"/>
      <c r="B934" s="29" t="str">
        <f aca="false">IF(A934="","",YEAR(A934))</f>
        <v/>
      </c>
      <c r="G934" s="35"/>
      <c r="H934" s="32" t="str">
        <f aca="false">IF(E934="","",IFERROR(INDEX(Catégories!$B$5:$B$60,MATCH(E934,Catégories!$A$5:$A$60,0)),"?"))</f>
        <v/>
      </c>
      <c r="I934" s="32" t="str">
        <f aca="false">IF(E934="","",IFERROR(INDEX(Catégories!$C$5:$C$60,MATCH(E934,Catégories!$A$5:$A$60,0)),"?"))</f>
        <v/>
      </c>
      <c r="J934" s="32" t="str">
        <f aca="false">IF(E934="","",IFERROR(INDEX(Catégories!$D$5:$D$60,MATCH(E934,Catégories!$A$5:$A$60,0)),"?"))</f>
        <v/>
      </c>
      <c r="K934" s="33" t="n">
        <f aca="false">IF(H934="Recette",G934,IF(H934="Dépense",-G934,0))</f>
        <v>0</v>
      </c>
      <c r="L934" s="33" t="n">
        <f aca="false">IF(E934="",0,G934*IFERROR(INDEX(Catégories!$E$5:$E$60,MATCH(E934,Catégories!$A$5:$A$60,0)),0))</f>
        <v>0</v>
      </c>
    </row>
    <row r="935" customFormat="false" ht="15" hidden="false" customHeight="true" outlineLevel="0" collapsed="false">
      <c r="A935" s="34"/>
      <c r="B935" s="29" t="str">
        <f aca="false">IF(A935="","",YEAR(A935))</f>
        <v/>
      </c>
      <c r="G935" s="35"/>
      <c r="H935" s="32" t="str">
        <f aca="false">IF(E935="","",IFERROR(INDEX(Catégories!$B$5:$B$60,MATCH(E935,Catégories!$A$5:$A$60,0)),"?"))</f>
        <v/>
      </c>
      <c r="I935" s="32" t="str">
        <f aca="false">IF(E935="","",IFERROR(INDEX(Catégories!$C$5:$C$60,MATCH(E935,Catégories!$A$5:$A$60,0)),"?"))</f>
        <v/>
      </c>
      <c r="J935" s="32" t="str">
        <f aca="false">IF(E935="","",IFERROR(INDEX(Catégories!$D$5:$D$60,MATCH(E935,Catégories!$A$5:$A$60,0)),"?"))</f>
        <v/>
      </c>
      <c r="K935" s="33" t="n">
        <f aca="false">IF(H935="Recette",G935,IF(H935="Dépense",-G935,0))</f>
        <v>0</v>
      </c>
      <c r="L935" s="33" t="n">
        <f aca="false">IF(E935="",0,G935*IFERROR(INDEX(Catégories!$E$5:$E$60,MATCH(E935,Catégories!$A$5:$A$60,0)),0))</f>
        <v>0</v>
      </c>
    </row>
    <row r="936" customFormat="false" ht="15" hidden="false" customHeight="true" outlineLevel="0" collapsed="false">
      <c r="A936" s="34"/>
      <c r="B936" s="29" t="str">
        <f aca="false">IF(A936="","",YEAR(A936))</f>
        <v/>
      </c>
      <c r="G936" s="35"/>
      <c r="H936" s="32" t="str">
        <f aca="false">IF(E936="","",IFERROR(INDEX(Catégories!$B$5:$B$60,MATCH(E936,Catégories!$A$5:$A$60,0)),"?"))</f>
        <v/>
      </c>
      <c r="I936" s="32" t="str">
        <f aca="false">IF(E936="","",IFERROR(INDEX(Catégories!$C$5:$C$60,MATCH(E936,Catégories!$A$5:$A$60,0)),"?"))</f>
        <v/>
      </c>
      <c r="J936" s="32" t="str">
        <f aca="false">IF(E936="","",IFERROR(INDEX(Catégories!$D$5:$D$60,MATCH(E936,Catégories!$A$5:$A$60,0)),"?"))</f>
        <v/>
      </c>
      <c r="K936" s="33" t="n">
        <f aca="false">IF(H936="Recette",G936,IF(H936="Dépense",-G936,0))</f>
        <v>0</v>
      </c>
      <c r="L936" s="33" t="n">
        <f aca="false">IF(E936="",0,G936*IFERROR(INDEX(Catégories!$E$5:$E$60,MATCH(E936,Catégories!$A$5:$A$60,0)),0))</f>
        <v>0</v>
      </c>
    </row>
    <row r="937" customFormat="false" ht="15" hidden="false" customHeight="true" outlineLevel="0" collapsed="false">
      <c r="A937" s="34"/>
      <c r="B937" s="29" t="str">
        <f aca="false">IF(A937="","",YEAR(A937))</f>
        <v/>
      </c>
      <c r="G937" s="35"/>
      <c r="H937" s="32" t="str">
        <f aca="false">IF(E937="","",IFERROR(INDEX(Catégories!$B$5:$B$60,MATCH(E937,Catégories!$A$5:$A$60,0)),"?"))</f>
        <v/>
      </c>
      <c r="I937" s="32" t="str">
        <f aca="false">IF(E937="","",IFERROR(INDEX(Catégories!$C$5:$C$60,MATCH(E937,Catégories!$A$5:$A$60,0)),"?"))</f>
        <v/>
      </c>
      <c r="J937" s="32" t="str">
        <f aca="false">IF(E937="","",IFERROR(INDEX(Catégories!$D$5:$D$60,MATCH(E937,Catégories!$A$5:$A$60,0)),"?"))</f>
        <v/>
      </c>
      <c r="K937" s="33" t="n">
        <f aca="false">IF(H937="Recette",G937,IF(H937="Dépense",-G937,0))</f>
        <v>0</v>
      </c>
      <c r="L937" s="33" t="n">
        <f aca="false">IF(E937="",0,G937*IFERROR(INDEX(Catégories!$E$5:$E$60,MATCH(E937,Catégories!$A$5:$A$60,0)),0))</f>
        <v>0</v>
      </c>
    </row>
    <row r="938" customFormat="false" ht="15" hidden="false" customHeight="true" outlineLevel="0" collapsed="false">
      <c r="A938" s="34"/>
      <c r="B938" s="29" t="str">
        <f aca="false">IF(A938="","",YEAR(A938))</f>
        <v/>
      </c>
      <c r="G938" s="35"/>
      <c r="H938" s="32" t="str">
        <f aca="false">IF(E938="","",IFERROR(INDEX(Catégories!$B$5:$B$60,MATCH(E938,Catégories!$A$5:$A$60,0)),"?"))</f>
        <v/>
      </c>
      <c r="I938" s="32" t="str">
        <f aca="false">IF(E938="","",IFERROR(INDEX(Catégories!$C$5:$C$60,MATCH(E938,Catégories!$A$5:$A$60,0)),"?"))</f>
        <v/>
      </c>
      <c r="J938" s="32" t="str">
        <f aca="false">IF(E938="","",IFERROR(INDEX(Catégories!$D$5:$D$60,MATCH(E938,Catégories!$A$5:$A$60,0)),"?"))</f>
        <v/>
      </c>
      <c r="K938" s="33" t="n">
        <f aca="false">IF(H938="Recette",G938,IF(H938="Dépense",-G938,0))</f>
        <v>0</v>
      </c>
      <c r="L938" s="33" t="n">
        <f aca="false">IF(E938="",0,G938*IFERROR(INDEX(Catégories!$E$5:$E$60,MATCH(E938,Catégories!$A$5:$A$60,0)),0))</f>
        <v>0</v>
      </c>
    </row>
    <row r="939" customFormat="false" ht="15" hidden="false" customHeight="true" outlineLevel="0" collapsed="false">
      <c r="A939" s="34"/>
      <c r="B939" s="29" t="str">
        <f aca="false">IF(A939="","",YEAR(A939))</f>
        <v/>
      </c>
      <c r="G939" s="35"/>
      <c r="H939" s="32" t="str">
        <f aca="false">IF(E939="","",IFERROR(INDEX(Catégories!$B$5:$B$60,MATCH(E939,Catégories!$A$5:$A$60,0)),"?"))</f>
        <v/>
      </c>
      <c r="I939" s="32" t="str">
        <f aca="false">IF(E939="","",IFERROR(INDEX(Catégories!$C$5:$C$60,MATCH(E939,Catégories!$A$5:$A$60,0)),"?"))</f>
        <v/>
      </c>
      <c r="J939" s="32" t="str">
        <f aca="false">IF(E939="","",IFERROR(INDEX(Catégories!$D$5:$D$60,MATCH(E939,Catégories!$A$5:$A$60,0)),"?"))</f>
        <v/>
      </c>
      <c r="K939" s="33" t="n">
        <f aca="false">IF(H939="Recette",G939,IF(H939="Dépense",-G939,0))</f>
        <v>0</v>
      </c>
      <c r="L939" s="33" t="n">
        <f aca="false">IF(E939="",0,G939*IFERROR(INDEX(Catégories!$E$5:$E$60,MATCH(E939,Catégories!$A$5:$A$60,0)),0))</f>
        <v>0</v>
      </c>
    </row>
    <row r="940" customFormat="false" ht="15" hidden="false" customHeight="true" outlineLevel="0" collapsed="false">
      <c r="A940" s="34"/>
      <c r="B940" s="29" t="str">
        <f aca="false">IF(A940="","",YEAR(A940))</f>
        <v/>
      </c>
      <c r="G940" s="35"/>
      <c r="H940" s="32" t="str">
        <f aca="false">IF(E940="","",IFERROR(INDEX(Catégories!$B$5:$B$60,MATCH(E940,Catégories!$A$5:$A$60,0)),"?"))</f>
        <v/>
      </c>
      <c r="I940" s="32" t="str">
        <f aca="false">IF(E940="","",IFERROR(INDEX(Catégories!$C$5:$C$60,MATCH(E940,Catégories!$A$5:$A$60,0)),"?"))</f>
        <v/>
      </c>
      <c r="J940" s="32" t="str">
        <f aca="false">IF(E940="","",IFERROR(INDEX(Catégories!$D$5:$D$60,MATCH(E940,Catégories!$A$5:$A$60,0)),"?"))</f>
        <v/>
      </c>
      <c r="K940" s="33" t="n">
        <f aca="false">IF(H940="Recette",G940,IF(H940="Dépense",-G940,0))</f>
        <v>0</v>
      </c>
      <c r="L940" s="33" t="n">
        <f aca="false">IF(E940="",0,G940*IFERROR(INDEX(Catégories!$E$5:$E$60,MATCH(E940,Catégories!$A$5:$A$60,0)),0))</f>
        <v>0</v>
      </c>
    </row>
    <row r="941" customFormat="false" ht="15" hidden="false" customHeight="true" outlineLevel="0" collapsed="false">
      <c r="A941" s="34"/>
      <c r="B941" s="29" t="str">
        <f aca="false">IF(A941="","",YEAR(A941))</f>
        <v/>
      </c>
      <c r="G941" s="35"/>
      <c r="H941" s="32" t="str">
        <f aca="false">IF(E941="","",IFERROR(INDEX(Catégories!$B$5:$B$60,MATCH(E941,Catégories!$A$5:$A$60,0)),"?"))</f>
        <v/>
      </c>
      <c r="I941" s="32" t="str">
        <f aca="false">IF(E941="","",IFERROR(INDEX(Catégories!$C$5:$C$60,MATCH(E941,Catégories!$A$5:$A$60,0)),"?"))</f>
        <v/>
      </c>
      <c r="J941" s="32" t="str">
        <f aca="false">IF(E941="","",IFERROR(INDEX(Catégories!$D$5:$D$60,MATCH(E941,Catégories!$A$5:$A$60,0)),"?"))</f>
        <v/>
      </c>
      <c r="K941" s="33" t="n">
        <f aca="false">IF(H941="Recette",G941,IF(H941="Dépense",-G941,0))</f>
        <v>0</v>
      </c>
      <c r="L941" s="33" t="n">
        <f aca="false">IF(E941="",0,G941*IFERROR(INDEX(Catégories!$E$5:$E$60,MATCH(E941,Catégories!$A$5:$A$60,0)),0))</f>
        <v>0</v>
      </c>
    </row>
    <row r="942" customFormat="false" ht="15" hidden="false" customHeight="true" outlineLevel="0" collapsed="false">
      <c r="A942" s="34"/>
      <c r="B942" s="29" t="str">
        <f aca="false">IF(A942="","",YEAR(A942))</f>
        <v/>
      </c>
      <c r="G942" s="35"/>
      <c r="H942" s="32" t="str">
        <f aca="false">IF(E942="","",IFERROR(INDEX(Catégories!$B$5:$B$60,MATCH(E942,Catégories!$A$5:$A$60,0)),"?"))</f>
        <v/>
      </c>
      <c r="I942" s="32" t="str">
        <f aca="false">IF(E942="","",IFERROR(INDEX(Catégories!$C$5:$C$60,MATCH(E942,Catégories!$A$5:$A$60,0)),"?"))</f>
        <v/>
      </c>
      <c r="J942" s="32" t="str">
        <f aca="false">IF(E942="","",IFERROR(INDEX(Catégories!$D$5:$D$60,MATCH(E942,Catégories!$A$5:$A$60,0)),"?"))</f>
        <v/>
      </c>
      <c r="K942" s="33" t="n">
        <f aca="false">IF(H942="Recette",G942,IF(H942="Dépense",-G942,0))</f>
        <v>0</v>
      </c>
      <c r="L942" s="33" t="n">
        <f aca="false">IF(E942="",0,G942*IFERROR(INDEX(Catégories!$E$5:$E$60,MATCH(E942,Catégories!$A$5:$A$60,0)),0))</f>
        <v>0</v>
      </c>
    </row>
    <row r="943" customFormat="false" ht="15" hidden="false" customHeight="true" outlineLevel="0" collapsed="false">
      <c r="A943" s="34"/>
      <c r="B943" s="29" t="str">
        <f aca="false">IF(A943="","",YEAR(A943))</f>
        <v/>
      </c>
      <c r="G943" s="35"/>
      <c r="H943" s="32" t="str">
        <f aca="false">IF(E943="","",IFERROR(INDEX(Catégories!$B$5:$B$60,MATCH(E943,Catégories!$A$5:$A$60,0)),"?"))</f>
        <v/>
      </c>
      <c r="I943" s="32" t="str">
        <f aca="false">IF(E943="","",IFERROR(INDEX(Catégories!$C$5:$C$60,MATCH(E943,Catégories!$A$5:$A$60,0)),"?"))</f>
        <v/>
      </c>
      <c r="J943" s="32" t="str">
        <f aca="false">IF(E943="","",IFERROR(INDEX(Catégories!$D$5:$D$60,MATCH(E943,Catégories!$A$5:$A$60,0)),"?"))</f>
        <v/>
      </c>
      <c r="K943" s="33" t="n">
        <f aca="false">IF(H943="Recette",G943,IF(H943="Dépense",-G943,0))</f>
        <v>0</v>
      </c>
      <c r="L943" s="33" t="n">
        <f aca="false">IF(E943="",0,G943*IFERROR(INDEX(Catégories!$E$5:$E$60,MATCH(E943,Catégories!$A$5:$A$60,0)),0))</f>
        <v>0</v>
      </c>
    </row>
    <row r="944" customFormat="false" ht="15" hidden="false" customHeight="true" outlineLevel="0" collapsed="false">
      <c r="A944" s="34"/>
      <c r="B944" s="29" t="str">
        <f aca="false">IF(A944="","",YEAR(A944))</f>
        <v/>
      </c>
      <c r="G944" s="35"/>
      <c r="H944" s="32" t="str">
        <f aca="false">IF(E944="","",IFERROR(INDEX(Catégories!$B$5:$B$60,MATCH(E944,Catégories!$A$5:$A$60,0)),"?"))</f>
        <v/>
      </c>
      <c r="I944" s="32" t="str">
        <f aca="false">IF(E944="","",IFERROR(INDEX(Catégories!$C$5:$C$60,MATCH(E944,Catégories!$A$5:$A$60,0)),"?"))</f>
        <v/>
      </c>
      <c r="J944" s="32" t="str">
        <f aca="false">IF(E944="","",IFERROR(INDEX(Catégories!$D$5:$D$60,MATCH(E944,Catégories!$A$5:$A$60,0)),"?"))</f>
        <v/>
      </c>
      <c r="K944" s="33" t="n">
        <f aca="false">IF(H944="Recette",G944,IF(H944="Dépense",-G944,0))</f>
        <v>0</v>
      </c>
      <c r="L944" s="33" t="n">
        <f aca="false">IF(E944="",0,G944*IFERROR(INDEX(Catégories!$E$5:$E$60,MATCH(E944,Catégories!$A$5:$A$60,0)),0))</f>
        <v>0</v>
      </c>
    </row>
    <row r="945" customFormat="false" ht="15" hidden="false" customHeight="true" outlineLevel="0" collapsed="false">
      <c r="A945" s="34"/>
      <c r="B945" s="29" t="str">
        <f aca="false">IF(A945="","",YEAR(A945))</f>
        <v/>
      </c>
      <c r="G945" s="35"/>
      <c r="H945" s="32" t="str">
        <f aca="false">IF(E945="","",IFERROR(INDEX(Catégories!$B$5:$B$60,MATCH(E945,Catégories!$A$5:$A$60,0)),"?"))</f>
        <v/>
      </c>
      <c r="I945" s="32" t="str">
        <f aca="false">IF(E945="","",IFERROR(INDEX(Catégories!$C$5:$C$60,MATCH(E945,Catégories!$A$5:$A$60,0)),"?"))</f>
        <v/>
      </c>
      <c r="J945" s="32" t="str">
        <f aca="false">IF(E945="","",IFERROR(INDEX(Catégories!$D$5:$D$60,MATCH(E945,Catégories!$A$5:$A$60,0)),"?"))</f>
        <v/>
      </c>
      <c r="K945" s="33" t="n">
        <f aca="false">IF(H945="Recette",G945,IF(H945="Dépense",-G945,0))</f>
        <v>0</v>
      </c>
      <c r="L945" s="33" t="n">
        <f aca="false">IF(E945="",0,G945*IFERROR(INDEX(Catégories!$E$5:$E$60,MATCH(E945,Catégories!$A$5:$A$60,0)),0))</f>
        <v>0</v>
      </c>
    </row>
    <row r="946" customFormat="false" ht="15" hidden="false" customHeight="true" outlineLevel="0" collapsed="false">
      <c r="A946" s="34"/>
      <c r="B946" s="29" t="str">
        <f aca="false">IF(A946="","",YEAR(A946))</f>
        <v/>
      </c>
      <c r="G946" s="35"/>
      <c r="H946" s="32" t="str">
        <f aca="false">IF(E946="","",IFERROR(INDEX(Catégories!$B$5:$B$60,MATCH(E946,Catégories!$A$5:$A$60,0)),"?"))</f>
        <v/>
      </c>
      <c r="I946" s="32" t="str">
        <f aca="false">IF(E946="","",IFERROR(INDEX(Catégories!$C$5:$C$60,MATCH(E946,Catégories!$A$5:$A$60,0)),"?"))</f>
        <v/>
      </c>
      <c r="J946" s="32" t="str">
        <f aca="false">IF(E946="","",IFERROR(INDEX(Catégories!$D$5:$D$60,MATCH(E946,Catégories!$A$5:$A$60,0)),"?"))</f>
        <v/>
      </c>
      <c r="K946" s="33" t="n">
        <f aca="false">IF(H946="Recette",G946,IF(H946="Dépense",-G946,0))</f>
        <v>0</v>
      </c>
      <c r="L946" s="33" t="n">
        <f aca="false">IF(E946="",0,G946*IFERROR(INDEX(Catégories!$E$5:$E$60,MATCH(E946,Catégories!$A$5:$A$60,0)),0))</f>
        <v>0</v>
      </c>
    </row>
    <row r="947" customFormat="false" ht="15" hidden="false" customHeight="true" outlineLevel="0" collapsed="false">
      <c r="A947" s="34"/>
      <c r="B947" s="29" t="str">
        <f aca="false">IF(A947="","",YEAR(A947))</f>
        <v/>
      </c>
      <c r="G947" s="35"/>
      <c r="H947" s="32" t="str">
        <f aca="false">IF(E947="","",IFERROR(INDEX(Catégories!$B$5:$B$60,MATCH(E947,Catégories!$A$5:$A$60,0)),"?"))</f>
        <v/>
      </c>
      <c r="I947" s="32" t="str">
        <f aca="false">IF(E947="","",IFERROR(INDEX(Catégories!$C$5:$C$60,MATCH(E947,Catégories!$A$5:$A$60,0)),"?"))</f>
        <v/>
      </c>
      <c r="J947" s="32" t="str">
        <f aca="false">IF(E947="","",IFERROR(INDEX(Catégories!$D$5:$D$60,MATCH(E947,Catégories!$A$5:$A$60,0)),"?"))</f>
        <v/>
      </c>
      <c r="K947" s="33" t="n">
        <f aca="false">IF(H947="Recette",G947,IF(H947="Dépense",-G947,0))</f>
        <v>0</v>
      </c>
      <c r="L947" s="33" t="n">
        <f aca="false">IF(E947="",0,G947*IFERROR(INDEX(Catégories!$E$5:$E$60,MATCH(E947,Catégories!$A$5:$A$60,0)),0))</f>
        <v>0</v>
      </c>
    </row>
    <row r="948" customFormat="false" ht="15" hidden="false" customHeight="true" outlineLevel="0" collapsed="false">
      <c r="A948" s="34"/>
      <c r="B948" s="29" t="str">
        <f aca="false">IF(A948="","",YEAR(A948))</f>
        <v/>
      </c>
      <c r="G948" s="35"/>
      <c r="H948" s="32" t="str">
        <f aca="false">IF(E948="","",IFERROR(INDEX(Catégories!$B$5:$B$60,MATCH(E948,Catégories!$A$5:$A$60,0)),"?"))</f>
        <v/>
      </c>
      <c r="I948" s="32" t="str">
        <f aca="false">IF(E948="","",IFERROR(INDEX(Catégories!$C$5:$C$60,MATCH(E948,Catégories!$A$5:$A$60,0)),"?"))</f>
        <v/>
      </c>
      <c r="J948" s="32" t="str">
        <f aca="false">IF(E948="","",IFERROR(INDEX(Catégories!$D$5:$D$60,MATCH(E948,Catégories!$A$5:$A$60,0)),"?"))</f>
        <v/>
      </c>
      <c r="K948" s="33" t="n">
        <f aca="false">IF(H948="Recette",G948,IF(H948="Dépense",-G948,0))</f>
        <v>0</v>
      </c>
      <c r="L948" s="33" t="n">
        <f aca="false">IF(E948="",0,G948*IFERROR(INDEX(Catégories!$E$5:$E$60,MATCH(E948,Catégories!$A$5:$A$60,0)),0))</f>
        <v>0</v>
      </c>
    </row>
    <row r="949" customFormat="false" ht="15" hidden="false" customHeight="true" outlineLevel="0" collapsed="false">
      <c r="A949" s="34"/>
      <c r="B949" s="29" t="str">
        <f aca="false">IF(A949="","",YEAR(A949))</f>
        <v/>
      </c>
      <c r="G949" s="35"/>
      <c r="H949" s="32" t="str">
        <f aca="false">IF(E949="","",IFERROR(INDEX(Catégories!$B$5:$B$60,MATCH(E949,Catégories!$A$5:$A$60,0)),"?"))</f>
        <v/>
      </c>
      <c r="I949" s="32" t="str">
        <f aca="false">IF(E949="","",IFERROR(INDEX(Catégories!$C$5:$C$60,MATCH(E949,Catégories!$A$5:$A$60,0)),"?"))</f>
        <v/>
      </c>
      <c r="J949" s="32" t="str">
        <f aca="false">IF(E949="","",IFERROR(INDEX(Catégories!$D$5:$D$60,MATCH(E949,Catégories!$A$5:$A$60,0)),"?"))</f>
        <v/>
      </c>
      <c r="K949" s="33" t="n">
        <f aca="false">IF(H949="Recette",G949,IF(H949="Dépense",-G949,0))</f>
        <v>0</v>
      </c>
      <c r="L949" s="33" t="n">
        <f aca="false">IF(E949="",0,G949*IFERROR(INDEX(Catégories!$E$5:$E$60,MATCH(E949,Catégories!$A$5:$A$60,0)),0))</f>
        <v>0</v>
      </c>
    </row>
    <row r="950" customFormat="false" ht="15" hidden="false" customHeight="true" outlineLevel="0" collapsed="false">
      <c r="A950" s="34"/>
      <c r="B950" s="29" t="str">
        <f aca="false">IF(A950="","",YEAR(A950))</f>
        <v/>
      </c>
      <c r="G950" s="35"/>
      <c r="H950" s="32" t="str">
        <f aca="false">IF(E950="","",IFERROR(INDEX(Catégories!$B$5:$B$60,MATCH(E950,Catégories!$A$5:$A$60,0)),"?"))</f>
        <v/>
      </c>
      <c r="I950" s="32" t="str">
        <f aca="false">IF(E950="","",IFERROR(INDEX(Catégories!$C$5:$C$60,MATCH(E950,Catégories!$A$5:$A$60,0)),"?"))</f>
        <v/>
      </c>
      <c r="J950" s="32" t="str">
        <f aca="false">IF(E950="","",IFERROR(INDEX(Catégories!$D$5:$D$60,MATCH(E950,Catégories!$A$5:$A$60,0)),"?"))</f>
        <v/>
      </c>
      <c r="K950" s="33" t="n">
        <f aca="false">IF(H950="Recette",G950,IF(H950="Dépense",-G950,0))</f>
        <v>0</v>
      </c>
      <c r="L950" s="33" t="n">
        <f aca="false">IF(E950="",0,G950*IFERROR(INDEX(Catégories!$E$5:$E$60,MATCH(E950,Catégories!$A$5:$A$60,0)),0))</f>
        <v>0</v>
      </c>
    </row>
    <row r="951" customFormat="false" ht="15" hidden="false" customHeight="true" outlineLevel="0" collapsed="false">
      <c r="A951" s="34"/>
      <c r="B951" s="29" t="str">
        <f aca="false">IF(A951="","",YEAR(A951))</f>
        <v/>
      </c>
      <c r="G951" s="35"/>
      <c r="H951" s="32" t="str">
        <f aca="false">IF(E951="","",IFERROR(INDEX(Catégories!$B$5:$B$60,MATCH(E951,Catégories!$A$5:$A$60,0)),"?"))</f>
        <v/>
      </c>
      <c r="I951" s="32" t="str">
        <f aca="false">IF(E951="","",IFERROR(INDEX(Catégories!$C$5:$C$60,MATCH(E951,Catégories!$A$5:$A$60,0)),"?"))</f>
        <v/>
      </c>
      <c r="J951" s="32" t="str">
        <f aca="false">IF(E951="","",IFERROR(INDEX(Catégories!$D$5:$D$60,MATCH(E951,Catégories!$A$5:$A$60,0)),"?"))</f>
        <v/>
      </c>
      <c r="K951" s="33" t="n">
        <f aca="false">IF(H951="Recette",G951,IF(H951="Dépense",-G951,0))</f>
        <v>0</v>
      </c>
      <c r="L951" s="33" t="n">
        <f aca="false">IF(E951="",0,G951*IFERROR(INDEX(Catégories!$E$5:$E$60,MATCH(E951,Catégories!$A$5:$A$60,0)),0))</f>
        <v>0</v>
      </c>
    </row>
    <row r="952" customFormat="false" ht="15" hidden="false" customHeight="true" outlineLevel="0" collapsed="false">
      <c r="A952" s="34"/>
      <c r="B952" s="29" t="str">
        <f aca="false">IF(A952="","",YEAR(A952))</f>
        <v/>
      </c>
      <c r="G952" s="35"/>
      <c r="H952" s="32" t="str">
        <f aca="false">IF(E952="","",IFERROR(INDEX(Catégories!$B$5:$B$60,MATCH(E952,Catégories!$A$5:$A$60,0)),"?"))</f>
        <v/>
      </c>
      <c r="I952" s="32" t="str">
        <f aca="false">IF(E952="","",IFERROR(INDEX(Catégories!$C$5:$C$60,MATCH(E952,Catégories!$A$5:$A$60,0)),"?"))</f>
        <v/>
      </c>
      <c r="J952" s="32" t="str">
        <f aca="false">IF(E952="","",IFERROR(INDEX(Catégories!$D$5:$D$60,MATCH(E952,Catégories!$A$5:$A$60,0)),"?"))</f>
        <v/>
      </c>
      <c r="K952" s="33" t="n">
        <f aca="false">IF(H952="Recette",G952,IF(H952="Dépense",-G952,0))</f>
        <v>0</v>
      </c>
      <c r="L952" s="33" t="n">
        <f aca="false">IF(E952="",0,G952*IFERROR(INDEX(Catégories!$E$5:$E$60,MATCH(E952,Catégories!$A$5:$A$60,0)),0))</f>
        <v>0</v>
      </c>
    </row>
    <row r="953" customFormat="false" ht="15" hidden="false" customHeight="true" outlineLevel="0" collapsed="false">
      <c r="A953" s="34"/>
      <c r="B953" s="29" t="str">
        <f aca="false">IF(A953="","",YEAR(A953))</f>
        <v/>
      </c>
      <c r="G953" s="35"/>
      <c r="H953" s="32" t="str">
        <f aca="false">IF(E953="","",IFERROR(INDEX(Catégories!$B$5:$B$60,MATCH(E953,Catégories!$A$5:$A$60,0)),"?"))</f>
        <v/>
      </c>
      <c r="I953" s="32" t="str">
        <f aca="false">IF(E953="","",IFERROR(INDEX(Catégories!$C$5:$C$60,MATCH(E953,Catégories!$A$5:$A$60,0)),"?"))</f>
        <v/>
      </c>
      <c r="J953" s="32" t="str">
        <f aca="false">IF(E953="","",IFERROR(INDEX(Catégories!$D$5:$D$60,MATCH(E953,Catégories!$A$5:$A$60,0)),"?"))</f>
        <v/>
      </c>
      <c r="K953" s="33" t="n">
        <f aca="false">IF(H953="Recette",G953,IF(H953="Dépense",-G953,0))</f>
        <v>0</v>
      </c>
      <c r="L953" s="33" t="n">
        <f aca="false">IF(E953="",0,G953*IFERROR(INDEX(Catégories!$E$5:$E$60,MATCH(E953,Catégories!$A$5:$A$60,0)),0))</f>
        <v>0</v>
      </c>
    </row>
    <row r="954" customFormat="false" ht="15" hidden="false" customHeight="true" outlineLevel="0" collapsed="false">
      <c r="A954" s="34"/>
      <c r="B954" s="29" t="str">
        <f aca="false">IF(A954="","",YEAR(A954))</f>
        <v/>
      </c>
      <c r="G954" s="35"/>
      <c r="H954" s="32" t="str">
        <f aca="false">IF(E954="","",IFERROR(INDEX(Catégories!$B$5:$B$60,MATCH(E954,Catégories!$A$5:$A$60,0)),"?"))</f>
        <v/>
      </c>
      <c r="I954" s="32" t="str">
        <f aca="false">IF(E954="","",IFERROR(INDEX(Catégories!$C$5:$C$60,MATCH(E954,Catégories!$A$5:$A$60,0)),"?"))</f>
        <v/>
      </c>
      <c r="J954" s="32" t="str">
        <f aca="false">IF(E954="","",IFERROR(INDEX(Catégories!$D$5:$D$60,MATCH(E954,Catégories!$A$5:$A$60,0)),"?"))</f>
        <v/>
      </c>
      <c r="K954" s="33" t="n">
        <f aca="false">IF(H954="Recette",G954,IF(H954="Dépense",-G954,0))</f>
        <v>0</v>
      </c>
      <c r="L954" s="33" t="n">
        <f aca="false">IF(E954="",0,G954*IFERROR(INDEX(Catégories!$E$5:$E$60,MATCH(E954,Catégories!$A$5:$A$60,0)),0))</f>
        <v>0</v>
      </c>
    </row>
    <row r="955" customFormat="false" ht="15" hidden="false" customHeight="true" outlineLevel="0" collapsed="false">
      <c r="A955" s="34"/>
      <c r="B955" s="29" t="str">
        <f aca="false">IF(A955="","",YEAR(A955))</f>
        <v/>
      </c>
      <c r="G955" s="35"/>
      <c r="H955" s="32" t="str">
        <f aca="false">IF(E955="","",IFERROR(INDEX(Catégories!$B$5:$B$60,MATCH(E955,Catégories!$A$5:$A$60,0)),"?"))</f>
        <v/>
      </c>
      <c r="I955" s="32" t="str">
        <f aca="false">IF(E955="","",IFERROR(INDEX(Catégories!$C$5:$C$60,MATCH(E955,Catégories!$A$5:$A$60,0)),"?"))</f>
        <v/>
      </c>
      <c r="J955" s="32" t="str">
        <f aca="false">IF(E955="","",IFERROR(INDEX(Catégories!$D$5:$D$60,MATCH(E955,Catégories!$A$5:$A$60,0)),"?"))</f>
        <v/>
      </c>
      <c r="K955" s="33" t="n">
        <f aca="false">IF(H955="Recette",G955,IF(H955="Dépense",-G955,0))</f>
        <v>0</v>
      </c>
      <c r="L955" s="33" t="n">
        <f aca="false">IF(E955="",0,G955*IFERROR(INDEX(Catégories!$E$5:$E$60,MATCH(E955,Catégories!$A$5:$A$60,0)),0))</f>
        <v>0</v>
      </c>
    </row>
    <row r="956" customFormat="false" ht="15" hidden="false" customHeight="true" outlineLevel="0" collapsed="false">
      <c r="A956" s="34"/>
      <c r="B956" s="29" t="str">
        <f aca="false">IF(A956="","",YEAR(A956))</f>
        <v/>
      </c>
      <c r="G956" s="35"/>
      <c r="H956" s="32" t="str">
        <f aca="false">IF(E956="","",IFERROR(INDEX(Catégories!$B$5:$B$60,MATCH(E956,Catégories!$A$5:$A$60,0)),"?"))</f>
        <v/>
      </c>
      <c r="I956" s="32" t="str">
        <f aca="false">IF(E956="","",IFERROR(INDEX(Catégories!$C$5:$C$60,MATCH(E956,Catégories!$A$5:$A$60,0)),"?"))</f>
        <v/>
      </c>
      <c r="J956" s="32" t="str">
        <f aca="false">IF(E956="","",IFERROR(INDEX(Catégories!$D$5:$D$60,MATCH(E956,Catégories!$A$5:$A$60,0)),"?"))</f>
        <v/>
      </c>
      <c r="K956" s="33" t="n">
        <f aca="false">IF(H956="Recette",G956,IF(H956="Dépense",-G956,0))</f>
        <v>0</v>
      </c>
      <c r="L956" s="33" t="n">
        <f aca="false">IF(E956="",0,G956*IFERROR(INDEX(Catégories!$E$5:$E$60,MATCH(E956,Catégories!$A$5:$A$60,0)),0))</f>
        <v>0</v>
      </c>
    </row>
    <row r="957" customFormat="false" ht="15" hidden="false" customHeight="true" outlineLevel="0" collapsed="false">
      <c r="A957" s="34"/>
      <c r="B957" s="29" t="str">
        <f aca="false">IF(A957="","",YEAR(A957))</f>
        <v/>
      </c>
      <c r="G957" s="35"/>
      <c r="H957" s="32" t="str">
        <f aca="false">IF(E957="","",IFERROR(INDEX(Catégories!$B$5:$B$60,MATCH(E957,Catégories!$A$5:$A$60,0)),"?"))</f>
        <v/>
      </c>
      <c r="I957" s="32" t="str">
        <f aca="false">IF(E957="","",IFERROR(INDEX(Catégories!$C$5:$C$60,MATCH(E957,Catégories!$A$5:$A$60,0)),"?"))</f>
        <v/>
      </c>
      <c r="J957" s="32" t="str">
        <f aca="false">IF(E957="","",IFERROR(INDEX(Catégories!$D$5:$D$60,MATCH(E957,Catégories!$A$5:$A$60,0)),"?"))</f>
        <v/>
      </c>
      <c r="K957" s="33" t="n">
        <f aca="false">IF(H957="Recette",G957,IF(H957="Dépense",-G957,0))</f>
        <v>0</v>
      </c>
      <c r="L957" s="33" t="n">
        <f aca="false">IF(E957="",0,G957*IFERROR(INDEX(Catégories!$E$5:$E$60,MATCH(E957,Catégories!$A$5:$A$60,0)),0))</f>
        <v>0</v>
      </c>
    </row>
    <row r="958" customFormat="false" ht="15" hidden="false" customHeight="true" outlineLevel="0" collapsed="false">
      <c r="A958" s="34"/>
      <c r="B958" s="29" t="str">
        <f aca="false">IF(A958="","",YEAR(A958))</f>
        <v/>
      </c>
      <c r="G958" s="35"/>
      <c r="H958" s="32" t="str">
        <f aca="false">IF(E958="","",IFERROR(INDEX(Catégories!$B$5:$B$60,MATCH(E958,Catégories!$A$5:$A$60,0)),"?"))</f>
        <v/>
      </c>
      <c r="I958" s="32" t="str">
        <f aca="false">IF(E958="","",IFERROR(INDEX(Catégories!$C$5:$C$60,MATCH(E958,Catégories!$A$5:$A$60,0)),"?"))</f>
        <v/>
      </c>
      <c r="J958" s="32" t="str">
        <f aca="false">IF(E958="","",IFERROR(INDEX(Catégories!$D$5:$D$60,MATCH(E958,Catégories!$A$5:$A$60,0)),"?"))</f>
        <v/>
      </c>
      <c r="K958" s="33" t="n">
        <f aca="false">IF(H958="Recette",G958,IF(H958="Dépense",-G958,0))</f>
        <v>0</v>
      </c>
      <c r="L958" s="33" t="n">
        <f aca="false">IF(E958="",0,G958*IFERROR(INDEX(Catégories!$E$5:$E$60,MATCH(E958,Catégories!$A$5:$A$60,0)),0))</f>
        <v>0</v>
      </c>
    </row>
    <row r="959" customFormat="false" ht="15" hidden="false" customHeight="true" outlineLevel="0" collapsed="false">
      <c r="A959" s="34"/>
      <c r="B959" s="29" t="str">
        <f aca="false">IF(A959="","",YEAR(A959))</f>
        <v/>
      </c>
      <c r="G959" s="35"/>
      <c r="H959" s="32" t="str">
        <f aca="false">IF(E959="","",IFERROR(INDEX(Catégories!$B$5:$B$60,MATCH(E959,Catégories!$A$5:$A$60,0)),"?"))</f>
        <v/>
      </c>
      <c r="I959" s="32" t="str">
        <f aca="false">IF(E959="","",IFERROR(INDEX(Catégories!$C$5:$C$60,MATCH(E959,Catégories!$A$5:$A$60,0)),"?"))</f>
        <v/>
      </c>
      <c r="J959" s="32" t="str">
        <f aca="false">IF(E959="","",IFERROR(INDEX(Catégories!$D$5:$D$60,MATCH(E959,Catégories!$A$5:$A$60,0)),"?"))</f>
        <v/>
      </c>
      <c r="K959" s="33" t="n">
        <f aca="false">IF(H959="Recette",G959,IF(H959="Dépense",-G959,0))</f>
        <v>0</v>
      </c>
      <c r="L959" s="33" t="n">
        <f aca="false">IF(E959="",0,G959*IFERROR(INDEX(Catégories!$E$5:$E$60,MATCH(E959,Catégories!$A$5:$A$60,0)),0))</f>
        <v>0</v>
      </c>
    </row>
    <row r="960" customFormat="false" ht="15" hidden="false" customHeight="true" outlineLevel="0" collapsed="false">
      <c r="A960" s="34"/>
      <c r="B960" s="29" t="str">
        <f aca="false">IF(A960="","",YEAR(A960))</f>
        <v/>
      </c>
      <c r="G960" s="35"/>
      <c r="H960" s="32" t="str">
        <f aca="false">IF(E960="","",IFERROR(INDEX(Catégories!$B$5:$B$60,MATCH(E960,Catégories!$A$5:$A$60,0)),"?"))</f>
        <v/>
      </c>
      <c r="I960" s="32" t="str">
        <f aca="false">IF(E960="","",IFERROR(INDEX(Catégories!$C$5:$C$60,MATCH(E960,Catégories!$A$5:$A$60,0)),"?"))</f>
        <v/>
      </c>
      <c r="J960" s="32" t="str">
        <f aca="false">IF(E960="","",IFERROR(INDEX(Catégories!$D$5:$D$60,MATCH(E960,Catégories!$A$5:$A$60,0)),"?"))</f>
        <v/>
      </c>
      <c r="K960" s="33" t="n">
        <f aca="false">IF(H960="Recette",G960,IF(H960="Dépense",-G960,0))</f>
        <v>0</v>
      </c>
      <c r="L960" s="33" t="n">
        <f aca="false">IF(E960="",0,G960*IFERROR(INDEX(Catégories!$E$5:$E$60,MATCH(E960,Catégories!$A$5:$A$60,0)),0))</f>
        <v>0</v>
      </c>
    </row>
    <row r="961" customFormat="false" ht="15" hidden="false" customHeight="true" outlineLevel="0" collapsed="false">
      <c r="A961" s="34"/>
      <c r="B961" s="29" t="str">
        <f aca="false">IF(A961="","",YEAR(A961))</f>
        <v/>
      </c>
      <c r="G961" s="35"/>
      <c r="H961" s="32" t="str">
        <f aca="false">IF(E961="","",IFERROR(INDEX(Catégories!$B$5:$B$60,MATCH(E961,Catégories!$A$5:$A$60,0)),"?"))</f>
        <v/>
      </c>
      <c r="I961" s="32" t="str">
        <f aca="false">IF(E961="","",IFERROR(INDEX(Catégories!$C$5:$C$60,MATCH(E961,Catégories!$A$5:$A$60,0)),"?"))</f>
        <v/>
      </c>
      <c r="J961" s="32" t="str">
        <f aca="false">IF(E961="","",IFERROR(INDEX(Catégories!$D$5:$D$60,MATCH(E961,Catégories!$A$5:$A$60,0)),"?"))</f>
        <v/>
      </c>
      <c r="K961" s="33" t="n">
        <f aca="false">IF(H961="Recette",G961,IF(H961="Dépense",-G961,0))</f>
        <v>0</v>
      </c>
      <c r="L961" s="33" t="n">
        <f aca="false">IF(E961="",0,G961*IFERROR(INDEX(Catégories!$E$5:$E$60,MATCH(E961,Catégories!$A$5:$A$60,0)),0))</f>
        <v>0</v>
      </c>
    </row>
    <row r="962" customFormat="false" ht="15" hidden="false" customHeight="true" outlineLevel="0" collapsed="false">
      <c r="A962" s="34"/>
      <c r="B962" s="29" t="str">
        <f aca="false">IF(A962="","",YEAR(A962))</f>
        <v/>
      </c>
      <c r="G962" s="35"/>
      <c r="H962" s="32" t="str">
        <f aca="false">IF(E962="","",IFERROR(INDEX(Catégories!$B$5:$B$60,MATCH(E962,Catégories!$A$5:$A$60,0)),"?"))</f>
        <v/>
      </c>
      <c r="I962" s="32" t="str">
        <f aca="false">IF(E962="","",IFERROR(INDEX(Catégories!$C$5:$C$60,MATCH(E962,Catégories!$A$5:$A$60,0)),"?"))</f>
        <v/>
      </c>
      <c r="J962" s="32" t="str">
        <f aca="false">IF(E962="","",IFERROR(INDEX(Catégories!$D$5:$D$60,MATCH(E962,Catégories!$A$5:$A$60,0)),"?"))</f>
        <v/>
      </c>
      <c r="K962" s="33" t="n">
        <f aca="false">IF(H962="Recette",G962,IF(H962="Dépense",-G962,0))</f>
        <v>0</v>
      </c>
      <c r="L962" s="33" t="n">
        <f aca="false">IF(E962="",0,G962*IFERROR(INDEX(Catégories!$E$5:$E$60,MATCH(E962,Catégories!$A$5:$A$60,0)),0))</f>
        <v>0</v>
      </c>
    </row>
    <row r="963" customFormat="false" ht="15" hidden="false" customHeight="true" outlineLevel="0" collapsed="false">
      <c r="A963" s="34"/>
      <c r="B963" s="29" t="str">
        <f aca="false">IF(A963="","",YEAR(A963))</f>
        <v/>
      </c>
      <c r="G963" s="35"/>
      <c r="H963" s="32" t="str">
        <f aca="false">IF(E963="","",IFERROR(INDEX(Catégories!$B$5:$B$60,MATCH(E963,Catégories!$A$5:$A$60,0)),"?"))</f>
        <v/>
      </c>
      <c r="I963" s="32" t="str">
        <f aca="false">IF(E963="","",IFERROR(INDEX(Catégories!$C$5:$C$60,MATCH(E963,Catégories!$A$5:$A$60,0)),"?"))</f>
        <v/>
      </c>
      <c r="J963" s="32" t="str">
        <f aca="false">IF(E963="","",IFERROR(INDEX(Catégories!$D$5:$D$60,MATCH(E963,Catégories!$A$5:$A$60,0)),"?"))</f>
        <v/>
      </c>
      <c r="K963" s="33" t="n">
        <f aca="false">IF(H963="Recette",G963,IF(H963="Dépense",-G963,0))</f>
        <v>0</v>
      </c>
      <c r="L963" s="33" t="n">
        <f aca="false">IF(E963="",0,G963*IFERROR(INDEX(Catégories!$E$5:$E$60,MATCH(E963,Catégories!$A$5:$A$60,0)),0))</f>
        <v>0</v>
      </c>
    </row>
    <row r="964" customFormat="false" ht="15" hidden="false" customHeight="true" outlineLevel="0" collapsed="false">
      <c r="A964" s="34"/>
      <c r="B964" s="29" t="str">
        <f aca="false">IF(A964="","",YEAR(A964))</f>
        <v/>
      </c>
      <c r="G964" s="35"/>
      <c r="H964" s="32" t="str">
        <f aca="false">IF(E964="","",IFERROR(INDEX(Catégories!$B$5:$B$60,MATCH(E964,Catégories!$A$5:$A$60,0)),"?"))</f>
        <v/>
      </c>
      <c r="I964" s="32" t="str">
        <f aca="false">IF(E964="","",IFERROR(INDEX(Catégories!$C$5:$C$60,MATCH(E964,Catégories!$A$5:$A$60,0)),"?"))</f>
        <v/>
      </c>
      <c r="J964" s="32" t="str">
        <f aca="false">IF(E964="","",IFERROR(INDEX(Catégories!$D$5:$D$60,MATCH(E964,Catégories!$A$5:$A$60,0)),"?"))</f>
        <v/>
      </c>
      <c r="K964" s="33" t="n">
        <f aca="false">IF(H964="Recette",G964,IF(H964="Dépense",-G964,0))</f>
        <v>0</v>
      </c>
      <c r="L964" s="33" t="n">
        <f aca="false">IF(E964="",0,G964*IFERROR(INDEX(Catégories!$E$5:$E$60,MATCH(E964,Catégories!$A$5:$A$60,0)),0))</f>
        <v>0</v>
      </c>
    </row>
    <row r="965" customFormat="false" ht="15" hidden="false" customHeight="true" outlineLevel="0" collapsed="false">
      <c r="A965" s="34"/>
      <c r="B965" s="29" t="str">
        <f aca="false">IF(A965="","",YEAR(A965))</f>
        <v/>
      </c>
      <c r="G965" s="35"/>
      <c r="H965" s="32" t="str">
        <f aca="false">IF(E965="","",IFERROR(INDEX(Catégories!$B$5:$B$60,MATCH(E965,Catégories!$A$5:$A$60,0)),"?"))</f>
        <v/>
      </c>
      <c r="I965" s="32" t="str">
        <f aca="false">IF(E965="","",IFERROR(INDEX(Catégories!$C$5:$C$60,MATCH(E965,Catégories!$A$5:$A$60,0)),"?"))</f>
        <v/>
      </c>
      <c r="J965" s="32" t="str">
        <f aca="false">IF(E965="","",IFERROR(INDEX(Catégories!$D$5:$D$60,MATCH(E965,Catégories!$A$5:$A$60,0)),"?"))</f>
        <v/>
      </c>
      <c r="K965" s="33" t="n">
        <f aca="false">IF(H965="Recette",G965,IF(H965="Dépense",-G965,0))</f>
        <v>0</v>
      </c>
      <c r="L965" s="33" t="n">
        <f aca="false">IF(E965="",0,G965*IFERROR(INDEX(Catégories!$E$5:$E$60,MATCH(E965,Catégories!$A$5:$A$60,0)),0))</f>
        <v>0</v>
      </c>
    </row>
    <row r="966" customFormat="false" ht="15" hidden="false" customHeight="true" outlineLevel="0" collapsed="false">
      <c r="A966" s="34"/>
      <c r="B966" s="29" t="str">
        <f aca="false">IF(A966="","",YEAR(A966))</f>
        <v/>
      </c>
      <c r="G966" s="35"/>
      <c r="H966" s="32" t="str">
        <f aca="false">IF(E966="","",IFERROR(INDEX(Catégories!$B$5:$B$60,MATCH(E966,Catégories!$A$5:$A$60,0)),"?"))</f>
        <v/>
      </c>
      <c r="I966" s="32" t="str">
        <f aca="false">IF(E966="","",IFERROR(INDEX(Catégories!$C$5:$C$60,MATCH(E966,Catégories!$A$5:$A$60,0)),"?"))</f>
        <v/>
      </c>
      <c r="J966" s="32" t="str">
        <f aca="false">IF(E966="","",IFERROR(INDEX(Catégories!$D$5:$D$60,MATCH(E966,Catégories!$A$5:$A$60,0)),"?"))</f>
        <v/>
      </c>
      <c r="K966" s="33" t="n">
        <f aca="false">IF(H966="Recette",G966,IF(H966="Dépense",-G966,0))</f>
        <v>0</v>
      </c>
      <c r="L966" s="33" t="n">
        <f aca="false">IF(E966="",0,G966*IFERROR(INDEX(Catégories!$E$5:$E$60,MATCH(E966,Catégories!$A$5:$A$60,0)),0))</f>
        <v>0</v>
      </c>
    </row>
    <row r="967" customFormat="false" ht="15" hidden="false" customHeight="true" outlineLevel="0" collapsed="false">
      <c r="A967" s="34"/>
      <c r="B967" s="29" t="str">
        <f aca="false">IF(A967="","",YEAR(A967))</f>
        <v/>
      </c>
      <c r="G967" s="35"/>
      <c r="H967" s="32" t="str">
        <f aca="false">IF(E967="","",IFERROR(INDEX(Catégories!$B$5:$B$60,MATCH(E967,Catégories!$A$5:$A$60,0)),"?"))</f>
        <v/>
      </c>
      <c r="I967" s="32" t="str">
        <f aca="false">IF(E967="","",IFERROR(INDEX(Catégories!$C$5:$C$60,MATCH(E967,Catégories!$A$5:$A$60,0)),"?"))</f>
        <v/>
      </c>
      <c r="J967" s="32" t="str">
        <f aca="false">IF(E967="","",IFERROR(INDEX(Catégories!$D$5:$D$60,MATCH(E967,Catégories!$A$5:$A$60,0)),"?"))</f>
        <v/>
      </c>
      <c r="K967" s="33" t="n">
        <f aca="false">IF(H967="Recette",G967,IF(H967="Dépense",-G967,0))</f>
        <v>0</v>
      </c>
      <c r="L967" s="33" t="n">
        <f aca="false">IF(E967="",0,G967*IFERROR(INDEX(Catégories!$E$5:$E$60,MATCH(E967,Catégories!$A$5:$A$60,0)),0))</f>
        <v>0</v>
      </c>
    </row>
    <row r="968" customFormat="false" ht="15" hidden="false" customHeight="true" outlineLevel="0" collapsed="false">
      <c r="A968" s="34"/>
      <c r="B968" s="29" t="str">
        <f aca="false">IF(A968="","",YEAR(A968))</f>
        <v/>
      </c>
      <c r="G968" s="35"/>
      <c r="H968" s="32" t="str">
        <f aca="false">IF(E968="","",IFERROR(INDEX(Catégories!$B$5:$B$60,MATCH(E968,Catégories!$A$5:$A$60,0)),"?"))</f>
        <v/>
      </c>
      <c r="I968" s="32" t="str">
        <f aca="false">IF(E968="","",IFERROR(INDEX(Catégories!$C$5:$C$60,MATCH(E968,Catégories!$A$5:$A$60,0)),"?"))</f>
        <v/>
      </c>
      <c r="J968" s="32" t="str">
        <f aca="false">IF(E968="","",IFERROR(INDEX(Catégories!$D$5:$D$60,MATCH(E968,Catégories!$A$5:$A$60,0)),"?"))</f>
        <v/>
      </c>
      <c r="K968" s="33" t="n">
        <f aca="false">IF(H968="Recette",G968,IF(H968="Dépense",-G968,0))</f>
        <v>0</v>
      </c>
      <c r="L968" s="33" t="n">
        <f aca="false">IF(E968="",0,G968*IFERROR(INDEX(Catégories!$E$5:$E$60,MATCH(E968,Catégories!$A$5:$A$60,0)),0))</f>
        <v>0</v>
      </c>
    </row>
    <row r="969" customFormat="false" ht="15" hidden="false" customHeight="true" outlineLevel="0" collapsed="false">
      <c r="A969" s="34"/>
      <c r="B969" s="29" t="str">
        <f aca="false">IF(A969="","",YEAR(A969))</f>
        <v/>
      </c>
      <c r="G969" s="35"/>
      <c r="H969" s="32" t="str">
        <f aca="false">IF(E969="","",IFERROR(INDEX(Catégories!$B$5:$B$60,MATCH(E969,Catégories!$A$5:$A$60,0)),"?"))</f>
        <v/>
      </c>
      <c r="I969" s="32" t="str">
        <f aca="false">IF(E969="","",IFERROR(INDEX(Catégories!$C$5:$C$60,MATCH(E969,Catégories!$A$5:$A$60,0)),"?"))</f>
        <v/>
      </c>
      <c r="J969" s="32" t="str">
        <f aca="false">IF(E969="","",IFERROR(INDEX(Catégories!$D$5:$D$60,MATCH(E969,Catégories!$A$5:$A$60,0)),"?"))</f>
        <v/>
      </c>
      <c r="K969" s="33" t="n">
        <f aca="false">IF(H969="Recette",G969,IF(H969="Dépense",-G969,0))</f>
        <v>0</v>
      </c>
      <c r="L969" s="33" t="n">
        <f aca="false">IF(E969="",0,G969*IFERROR(INDEX(Catégories!$E$5:$E$60,MATCH(E969,Catégories!$A$5:$A$60,0)),0))</f>
        <v>0</v>
      </c>
    </row>
    <row r="970" customFormat="false" ht="15" hidden="false" customHeight="true" outlineLevel="0" collapsed="false">
      <c r="A970" s="34"/>
      <c r="B970" s="29" t="str">
        <f aca="false">IF(A970="","",YEAR(A970))</f>
        <v/>
      </c>
      <c r="G970" s="35"/>
      <c r="H970" s="32" t="str">
        <f aca="false">IF(E970="","",IFERROR(INDEX(Catégories!$B$5:$B$60,MATCH(E970,Catégories!$A$5:$A$60,0)),"?"))</f>
        <v/>
      </c>
      <c r="I970" s="32" t="str">
        <f aca="false">IF(E970="","",IFERROR(INDEX(Catégories!$C$5:$C$60,MATCH(E970,Catégories!$A$5:$A$60,0)),"?"))</f>
        <v/>
      </c>
      <c r="J970" s="32" t="str">
        <f aca="false">IF(E970="","",IFERROR(INDEX(Catégories!$D$5:$D$60,MATCH(E970,Catégories!$A$5:$A$60,0)),"?"))</f>
        <v/>
      </c>
      <c r="K970" s="33" t="n">
        <f aca="false">IF(H970="Recette",G970,IF(H970="Dépense",-G970,0))</f>
        <v>0</v>
      </c>
      <c r="L970" s="33" t="n">
        <f aca="false">IF(E970="",0,G970*IFERROR(INDEX(Catégories!$E$5:$E$60,MATCH(E970,Catégories!$A$5:$A$60,0)),0))</f>
        <v>0</v>
      </c>
    </row>
    <row r="971" customFormat="false" ht="15" hidden="false" customHeight="true" outlineLevel="0" collapsed="false">
      <c r="A971" s="34"/>
      <c r="B971" s="29" t="str">
        <f aca="false">IF(A971="","",YEAR(A971))</f>
        <v/>
      </c>
      <c r="G971" s="35"/>
      <c r="H971" s="32" t="str">
        <f aca="false">IF(E971="","",IFERROR(INDEX(Catégories!$B$5:$B$60,MATCH(E971,Catégories!$A$5:$A$60,0)),"?"))</f>
        <v/>
      </c>
      <c r="I971" s="32" t="str">
        <f aca="false">IF(E971="","",IFERROR(INDEX(Catégories!$C$5:$C$60,MATCH(E971,Catégories!$A$5:$A$60,0)),"?"))</f>
        <v/>
      </c>
      <c r="J971" s="32" t="str">
        <f aca="false">IF(E971="","",IFERROR(INDEX(Catégories!$D$5:$D$60,MATCH(E971,Catégories!$A$5:$A$60,0)),"?"))</f>
        <v/>
      </c>
      <c r="K971" s="33" t="n">
        <f aca="false">IF(H971="Recette",G971,IF(H971="Dépense",-G971,0))</f>
        <v>0</v>
      </c>
      <c r="L971" s="33" t="n">
        <f aca="false">IF(E971="",0,G971*IFERROR(INDEX(Catégories!$E$5:$E$60,MATCH(E971,Catégories!$A$5:$A$60,0)),0))</f>
        <v>0</v>
      </c>
    </row>
    <row r="972" customFormat="false" ht="15" hidden="false" customHeight="true" outlineLevel="0" collapsed="false">
      <c r="A972" s="34"/>
      <c r="B972" s="29" t="str">
        <f aca="false">IF(A972="","",YEAR(A972))</f>
        <v/>
      </c>
      <c r="G972" s="35"/>
      <c r="H972" s="32" t="str">
        <f aca="false">IF(E972="","",IFERROR(INDEX(Catégories!$B$5:$B$60,MATCH(E972,Catégories!$A$5:$A$60,0)),"?"))</f>
        <v/>
      </c>
      <c r="I972" s="32" t="str">
        <f aca="false">IF(E972="","",IFERROR(INDEX(Catégories!$C$5:$C$60,MATCH(E972,Catégories!$A$5:$A$60,0)),"?"))</f>
        <v/>
      </c>
      <c r="J972" s="32" t="str">
        <f aca="false">IF(E972="","",IFERROR(INDEX(Catégories!$D$5:$D$60,MATCH(E972,Catégories!$A$5:$A$60,0)),"?"))</f>
        <v/>
      </c>
      <c r="K972" s="33" t="n">
        <f aca="false">IF(H972="Recette",G972,IF(H972="Dépense",-G972,0))</f>
        <v>0</v>
      </c>
      <c r="L972" s="33" t="n">
        <f aca="false">IF(E972="",0,G972*IFERROR(INDEX(Catégories!$E$5:$E$60,MATCH(E972,Catégories!$A$5:$A$60,0)),0))</f>
        <v>0</v>
      </c>
    </row>
    <row r="973" customFormat="false" ht="15" hidden="false" customHeight="true" outlineLevel="0" collapsed="false">
      <c r="A973" s="34"/>
      <c r="B973" s="29" t="str">
        <f aca="false">IF(A973="","",YEAR(A973))</f>
        <v/>
      </c>
      <c r="G973" s="35"/>
      <c r="H973" s="32" t="str">
        <f aca="false">IF(E973="","",IFERROR(INDEX(Catégories!$B$5:$B$60,MATCH(E973,Catégories!$A$5:$A$60,0)),"?"))</f>
        <v/>
      </c>
      <c r="I973" s="32" t="str">
        <f aca="false">IF(E973="","",IFERROR(INDEX(Catégories!$C$5:$C$60,MATCH(E973,Catégories!$A$5:$A$60,0)),"?"))</f>
        <v/>
      </c>
      <c r="J973" s="32" t="str">
        <f aca="false">IF(E973="","",IFERROR(INDEX(Catégories!$D$5:$D$60,MATCH(E973,Catégories!$A$5:$A$60,0)),"?"))</f>
        <v/>
      </c>
      <c r="K973" s="33" t="n">
        <f aca="false">IF(H973="Recette",G973,IF(H973="Dépense",-G973,0))</f>
        <v>0</v>
      </c>
      <c r="L973" s="33" t="n">
        <f aca="false">IF(E973="",0,G973*IFERROR(INDEX(Catégories!$E$5:$E$60,MATCH(E973,Catégories!$A$5:$A$60,0)),0))</f>
        <v>0</v>
      </c>
    </row>
    <row r="974" customFormat="false" ht="15" hidden="false" customHeight="true" outlineLevel="0" collapsed="false">
      <c r="A974" s="34"/>
      <c r="B974" s="29" t="str">
        <f aca="false">IF(A974="","",YEAR(A974))</f>
        <v/>
      </c>
      <c r="G974" s="35"/>
      <c r="H974" s="32" t="str">
        <f aca="false">IF(E974="","",IFERROR(INDEX(Catégories!$B$5:$B$60,MATCH(E974,Catégories!$A$5:$A$60,0)),"?"))</f>
        <v/>
      </c>
      <c r="I974" s="32" t="str">
        <f aca="false">IF(E974="","",IFERROR(INDEX(Catégories!$C$5:$C$60,MATCH(E974,Catégories!$A$5:$A$60,0)),"?"))</f>
        <v/>
      </c>
      <c r="J974" s="32" t="str">
        <f aca="false">IF(E974="","",IFERROR(INDEX(Catégories!$D$5:$D$60,MATCH(E974,Catégories!$A$5:$A$60,0)),"?"))</f>
        <v/>
      </c>
      <c r="K974" s="33" t="n">
        <f aca="false">IF(H974="Recette",G974,IF(H974="Dépense",-G974,0))</f>
        <v>0</v>
      </c>
      <c r="L974" s="33" t="n">
        <f aca="false">IF(E974="",0,G974*IFERROR(INDEX(Catégories!$E$5:$E$60,MATCH(E974,Catégories!$A$5:$A$60,0)),0))</f>
        <v>0</v>
      </c>
    </row>
    <row r="975" customFormat="false" ht="15" hidden="false" customHeight="true" outlineLevel="0" collapsed="false">
      <c r="A975" s="34"/>
      <c r="B975" s="29" t="str">
        <f aca="false">IF(A975="","",YEAR(A975))</f>
        <v/>
      </c>
      <c r="G975" s="35"/>
      <c r="H975" s="32" t="str">
        <f aca="false">IF(E975="","",IFERROR(INDEX(Catégories!$B$5:$B$60,MATCH(E975,Catégories!$A$5:$A$60,0)),"?"))</f>
        <v/>
      </c>
      <c r="I975" s="32" t="str">
        <f aca="false">IF(E975="","",IFERROR(INDEX(Catégories!$C$5:$C$60,MATCH(E975,Catégories!$A$5:$A$60,0)),"?"))</f>
        <v/>
      </c>
      <c r="J975" s="32" t="str">
        <f aca="false">IF(E975="","",IFERROR(INDEX(Catégories!$D$5:$D$60,MATCH(E975,Catégories!$A$5:$A$60,0)),"?"))</f>
        <v/>
      </c>
      <c r="K975" s="33" t="n">
        <f aca="false">IF(H975="Recette",G975,IF(H975="Dépense",-G975,0))</f>
        <v>0</v>
      </c>
      <c r="L975" s="33" t="n">
        <f aca="false">IF(E975="",0,G975*IFERROR(INDEX(Catégories!$E$5:$E$60,MATCH(E975,Catégories!$A$5:$A$60,0)),0))</f>
        <v>0</v>
      </c>
    </row>
    <row r="976" customFormat="false" ht="15" hidden="false" customHeight="true" outlineLevel="0" collapsed="false">
      <c r="A976" s="34"/>
      <c r="B976" s="29" t="str">
        <f aca="false">IF(A976="","",YEAR(A976))</f>
        <v/>
      </c>
      <c r="G976" s="35"/>
      <c r="H976" s="32" t="str">
        <f aca="false">IF(E976="","",IFERROR(INDEX(Catégories!$B$5:$B$60,MATCH(E976,Catégories!$A$5:$A$60,0)),"?"))</f>
        <v/>
      </c>
      <c r="I976" s="32" t="str">
        <f aca="false">IF(E976="","",IFERROR(INDEX(Catégories!$C$5:$C$60,MATCH(E976,Catégories!$A$5:$A$60,0)),"?"))</f>
        <v/>
      </c>
      <c r="J976" s="32" t="str">
        <f aca="false">IF(E976="","",IFERROR(INDEX(Catégories!$D$5:$D$60,MATCH(E976,Catégories!$A$5:$A$60,0)),"?"))</f>
        <v/>
      </c>
      <c r="K976" s="33" t="n">
        <f aca="false">IF(H976="Recette",G976,IF(H976="Dépense",-G976,0))</f>
        <v>0</v>
      </c>
      <c r="L976" s="33" t="n">
        <f aca="false">IF(E976="",0,G976*IFERROR(INDEX(Catégories!$E$5:$E$60,MATCH(E976,Catégories!$A$5:$A$60,0)),0))</f>
        <v>0</v>
      </c>
    </row>
    <row r="977" customFormat="false" ht="15" hidden="false" customHeight="true" outlineLevel="0" collapsed="false">
      <c r="A977" s="34"/>
      <c r="B977" s="29" t="str">
        <f aca="false">IF(A977="","",YEAR(A977))</f>
        <v/>
      </c>
      <c r="G977" s="35"/>
      <c r="H977" s="32" t="str">
        <f aca="false">IF(E977="","",IFERROR(INDEX(Catégories!$B$5:$B$60,MATCH(E977,Catégories!$A$5:$A$60,0)),"?"))</f>
        <v/>
      </c>
      <c r="I977" s="32" t="str">
        <f aca="false">IF(E977="","",IFERROR(INDEX(Catégories!$C$5:$C$60,MATCH(E977,Catégories!$A$5:$A$60,0)),"?"))</f>
        <v/>
      </c>
      <c r="J977" s="32" t="str">
        <f aca="false">IF(E977="","",IFERROR(INDEX(Catégories!$D$5:$D$60,MATCH(E977,Catégories!$A$5:$A$60,0)),"?"))</f>
        <v/>
      </c>
      <c r="K977" s="33" t="n">
        <f aca="false">IF(H977="Recette",G977,IF(H977="Dépense",-G977,0))</f>
        <v>0</v>
      </c>
      <c r="L977" s="33" t="n">
        <f aca="false">IF(E977="",0,G977*IFERROR(INDEX(Catégories!$E$5:$E$60,MATCH(E977,Catégories!$A$5:$A$60,0)),0))</f>
        <v>0</v>
      </c>
    </row>
    <row r="978" customFormat="false" ht="15" hidden="false" customHeight="true" outlineLevel="0" collapsed="false">
      <c r="A978" s="34"/>
      <c r="B978" s="29" t="str">
        <f aca="false">IF(A978="","",YEAR(A978))</f>
        <v/>
      </c>
      <c r="G978" s="35"/>
      <c r="H978" s="32" t="str">
        <f aca="false">IF(E978="","",IFERROR(INDEX(Catégories!$B$5:$B$60,MATCH(E978,Catégories!$A$5:$A$60,0)),"?"))</f>
        <v/>
      </c>
      <c r="I978" s="32" t="str">
        <f aca="false">IF(E978="","",IFERROR(INDEX(Catégories!$C$5:$C$60,MATCH(E978,Catégories!$A$5:$A$60,0)),"?"))</f>
        <v/>
      </c>
      <c r="J978" s="32" t="str">
        <f aca="false">IF(E978="","",IFERROR(INDEX(Catégories!$D$5:$D$60,MATCH(E978,Catégories!$A$5:$A$60,0)),"?"))</f>
        <v/>
      </c>
      <c r="K978" s="33" t="n">
        <f aca="false">IF(H978="Recette",G978,IF(H978="Dépense",-G978,0))</f>
        <v>0</v>
      </c>
      <c r="L978" s="33" t="n">
        <f aca="false">IF(E978="",0,G978*IFERROR(INDEX(Catégories!$E$5:$E$60,MATCH(E978,Catégories!$A$5:$A$60,0)),0))</f>
        <v>0</v>
      </c>
    </row>
    <row r="979" customFormat="false" ht="15" hidden="false" customHeight="true" outlineLevel="0" collapsed="false">
      <c r="A979" s="34"/>
      <c r="B979" s="29" t="str">
        <f aca="false">IF(A979="","",YEAR(A979))</f>
        <v/>
      </c>
      <c r="G979" s="35"/>
      <c r="H979" s="32" t="str">
        <f aca="false">IF(E979="","",IFERROR(INDEX(Catégories!$B$5:$B$60,MATCH(E979,Catégories!$A$5:$A$60,0)),"?"))</f>
        <v/>
      </c>
      <c r="I979" s="32" t="str">
        <f aca="false">IF(E979="","",IFERROR(INDEX(Catégories!$C$5:$C$60,MATCH(E979,Catégories!$A$5:$A$60,0)),"?"))</f>
        <v/>
      </c>
      <c r="J979" s="32" t="str">
        <f aca="false">IF(E979="","",IFERROR(INDEX(Catégories!$D$5:$D$60,MATCH(E979,Catégories!$A$5:$A$60,0)),"?"))</f>
        <v/>
      </c>
      <c r="K979" s="33" t="n">
        <f aca="false">IF(H979="Recette",G979,IF(H979="Dépense",-G979,0))</f>
        <v>0</v>
      </c>
      <c r="L979" s="33" t="n">
        <f aca="false">IF(E979="",0,G979*IFERROR(INDEX(Catégories!$E$5:$E$60,MATCH(E979,Catégories!$A$5:$A$60,0)),0))</f>
        <v>0</v>
      </c>
    </row>
    <row r="980" customFormat="false" ht="15" hidden="false" customHeight="true" outlineLevel="0" collapsed="false">
      <c r="A980" s="34"/>
      <c r="B980" s="29" t="str">
        <f aca="false">IF(A980="","",YEAR(A980))</f>
        <v/>
      </c>
      <c r="G980" s="35"/>
      <c r="H980" s="32" t="str">
        <f aca="false">IF(E980="","",IFERROR(INDEX(Catégories!$B$5:$B$60,MATCH(E980,Catégories!$A$5:$A$60,0)),"?"))</f>
        <v/>
      </c>
      <c r="I980" s="32" t="str">
        <f aca="false">IF(E980="","",IFERROR(INDEX(Catégories!$C$5:$C$60,MATCH(E980,Catégories!$A$5:$A$60,0)),"?"))</f>
        <v/>
      </c>
      <c r="J980" s="32" t="str">
        <f aca="false">IF(E980="","",IFERROR(INDEX(Catégories!$D$5:$D$60,MATCH(E980,Catégories!$A$5:$A$60,0)),"?"))</f>
        <v/>
      </c>
      <c r="K980" s="33" t="n">
        <f aca="false">IF(H980="Recette",G980,IF(H980="Dépense",-G980,0))</f>
        <v>0</v>
      </c>
      <c r="L980" s="33" t="n">
        <f aca="false">IF(E980="",0,G980*IFERROR(INDEX(Catégories!$E$5:$E$60,MATCH(E980,Catégories!$A$5:$A$60,0)),0))</f>
        <v>0</v>
      </c>
    </row>
    <row r="981" customFormat="false" ht="15" hidden="false" customHeight="true" outlineLevel="0" collapsed="false">
      <c r="A981" s="34"/>
      <c r="B981" s="29" t="str">
        <f aca="false">IF(A981="","",YEAR(A981))</f>
        <v/>
      </c>
      <c r="G981" s="35"/>
      <c r="H981" s="32" t="str">
        <f aca="false">IF(E981="","",IFERROR(INDEX(Catégories!$B$5:$B$60,MATCH(E981,Catégories!$A$5:$A$60,0)),"?"))</f>
        <v/>
      </c>
      <c r="I981" s="32" t="str">
        <f aca="false">IF(E981="","",IFERROR(INDEX(Catégories!$C$5:$C$60,MATCH(E981,Catégories!$A$5:$A$60,0)),"?"))</f>
        <v/>
      </c>
      <c r="J981" s="32" t="str">
        <f aca="false">IF(E981="","",IFERROR(INDEX(Catégories!$D$5:$D$60,MATCH(E981,Catégories!$A$5:$A$60,0)),"?"))</f>
        <v/>
      </c>
      <c r="K981" s="33" t="n">
        <f aca="false">IF(H981="Recette",G981,IF(H981="Dépense",-G981,0))</f>
        <v>0</v>
      </c>
      <c r="L981" s="33" t="n">
        <f aca="false">IF(E981="",0,G981*IFERROR(INDEX(Catégories!$E$5:$E$60,MATCH(E981,Catégories!$A$5:$A$60,0)),0))</f>
        <v>0</v>
      </c>
    </row>
    <row r="982" customFormat="false" ht="15" hidden="false" customHeight="true" outlineLevel="0" collapsed="false">
      <c r="A982" s="34"/>
      <c r="B982" s="29" t="str">
        <f aca="false">IF(A982="","",YEAR(A982))</f>
        <v/>
      </c>
      <c r="G982" s="35"/>
      <c r="H982" s="32" t="str">
        <f aca="false">IF(E982="","",IFERROR(INDEX(Catégories!$B$5:$B$60,MATCH(E982,Catégories!$A$5:$A$60,0)),"?"))</f>
        <v/>
      </c>
      <c r="I982" s="32" t="str">
        <f aca="false">IF(E982="","",IFERROR(INDEX(Catégories!$C$5:$C$60,MATCH(E982,Catégories!$A$5:$A$60,0)),"?"))</f>
        <v/>
      </c>
      <c r="J982" s="32" t="str">
        <f aca="false">IF(E982="","",IFERROR(INDEX(Catégories!$D$5:$D$60,MATCH(E982,Catégories!$A$5:$A$60,0)),"?"))</f>
        <v/>
      </c>
      <c r="K982" s="33" t="n">
        <f aca="false">IF(H982="Recette",G982,IF(H982="Dépense",-G982,0))</f>
        <v>0</v>
      </c>
      <c r="L982" s="33" t="n">
        <f aca="false">IF(E982="",0,G982*IFERROR(INDEX(Catégories!$E$5:$E$60,MATCH(E982,Catégories!$A$5:$A$60,0)),0))</f>
        <v>0</v>
      </c>
    </row>
    <row r="983" customFormat="false" ht="15" hidden="false" customHeight="true" outlineLevel="0" collapsed="false">
      <c r="A983" s="34"/>
      <c r="B983" s="29" t="str">
        <f aca="false">IF(A983="","",YEAR(A983))</f>
        <v/>
      </c>
      <c r="G983" s="35"/>
      <c r="H983" s="32" t="str">
        <f aca="false">IF(E983="","",IFERROR(INDEX(Catégories!$B$5:$B$60,MATCH(E983,Catégories!$A$5:$A$60,0)),"?"))</f>
        <v/>
      </c>
      <c r="I983" s="32" t="str">
        <f aca="false">IF(E983="","",IFERROR(INDEX(Catégories!$C$5:$C$60,MATCH(E983,Catégories!$A$5:$A$60,0)),"?"))</f>
        <v/>
      </c>
      <c r="J983" s="32" t="str">
        <f aca="false">IF(E983="","",IFERROR(INDEX(Catégories!$D$5:$D$60,MATCH(E983,Catégories!$A$5:$A$60,0)),"?"))</f>
        <v/>
      </c>
      <c r="K983" s="33" t="n">
        <f aca="false">IF(H983="Recette",G983,IF(H983="Dépense",-G983,0))</f>
        <v>0</v>
      </c>
      <c r="L983" s="33" t="n">
        <f aca="false">IF(E983="",0,G983*IFERROR(INDEX(Catégories!$E$5:$E$60,MATCH(E983,Catégories!$A$5:$A$60,0)),0))</f>
        <v>0</v>
      </c>
    </row>
    <row r="984" customFormat="false" ht="15" hidden="false" customHeight="true" outlineLevel="0" collapsed="false">
      <c r="A984" s="34"/>
      <c r="B984" s="29" t="str">
        <f aca="false">IF(A984="","",YEAR(A984))</f>
        <v/>
      </c>
      <c r="G984" s="35"/>
      <c r="H984" s="32" t="str">
        <f aca="false">IF(E984="","",IFERROR(INDEX(Catégories!$B$5:$B$60,MATCH(E984,Catégories!$A$5:$A$60,0)),"?"))</f>
        <v/>
      </c>
      <c r="I984" s="32" t="str">
        <f aca="false">IF(E984="","",IFERROR(INDEX(Catégories!$C$5:$C$60,MATCH(E984,Catégories!$A$5:$A$60,0)),"?"))</f>
        <v/>
      </c>
      <c r="J984" s="32" t="str">
        <f aca="false">IF(E984="","",IFERROR(INDEX(Catégories!$D$5:$D$60,MATCH(E984,Catégories!$A$5:$A$60,0)),"?"))</f>
        <v/>
      </c>
      <c r="K984" s="33" t="n">
        <f aca="false">IF(H984="Recette",G984,IF(H984="Dépense",-G984,0))</f>
        <v>0</v>
      </c>
      <c r="L984" s="33" t="n">
        <f aca="false">IF(E984="",0,G984*IFERROR(INDEX(Catégories!$E$5:$E$60,MATCH(E984,Catégories!$A$5:$A$60,0)),0))</f>
        <v>0</v>
      </c>
    </row>
    <row r="985" customFormat="false" ht="15" hidden="false" customHeight="true" outlineLevel="0" collapsed="false">
      <c r="A985" s="34"/>
      <c r="B985" s="29" t="str">
        <f aca="false">IF(A985="","",YEAR(A985))</f>
        <v/>
      </c>
      <c r="G985" s="35"/>
      <c r="H985" s="32" t="str">
        <f aca="false">IF(E985="","",IFERROR(INDEX(Catégories!$B$5:$B$60,MATCH(E985,Catégories!$A$5:$A$60,0)),"?"))</f>
        <v/>
      </c>
      <c r="I985" s="32" t="str">
        <f aca="false">IF(E985="","",IFERROR(INDEX(Catégories!$C$5:$C$60,MATCH(E985,Catégories!$A$5:$A$60,0)),"?"))</f>
        <v/>
      </c>
      <c r="J985" s="32" t="str">
        <f aca="false">IF(E985="","",IFERROR(INDEX(Catégories!$D$5:$D$60,MATCH(E985,Catégories!$A$5:$A$60,0)),"?"))</f>
        <v/>
      </c>
      <c r="K985" s="33" t="n">
        <f aca="false">IF(H985="Recette",G985,IF(H985="Dépense",-G985,0))</f>
        <v>0</v>
      </c>
      <c r="L985" s="33" t="n">
        <f aca="false">IF(E985="",0,G985*IFERROR(INDEX(Catégories!$E$5:$E$60,MATCH(E985,Catégories!$A$5:$A$60,0)),0))</f>
        <v>0</v>
      </c>
    </row>
    <row r="986" customFormat="false" ht="15" hidden="false" customHeight="true" outlineLevel="0" collapsed="false">
      <c r="A986" s="34"/>
      <c r="B986" s="29" t="str">
        <f aca="false">IF(A986="","",YEAR(A986))</f>
        <v/>
      </c>
      <c r="G986" s="35"/>
      <c r="H986" s="32" t="str">
        <f aca="false">IF(E986="","",IFERROR(INDEX(Catégories!$B$5:$B$60,MATCH(E986,Catégories!$A$5:$A$60,0)),"?"))</f>
        <v/>
      </c>
      <c r="I986" s="32" t="str">
        <f aca="false">IF(E986="","",IFERROR(INDEX(Catégories!$C$5:$C$60,MATCH(E986,Catégories!$A$5:$A$60,0)),"?"))</f>
        <v/>
      </c>
      <c r="J986" s="32" t="str">
        <f aca="false">IF(E986="","",IFERROR(INDEX(Catégories!$D$5:$D$60,MATCH(E986,Catégories!$A$5:$A$60,0)),"?"))</f>
        <v/>
      </c>
      <c r="K986" s="33" t="n">
        <f aca="false">IF(H986="Recette",G986,IF(H986="Dépense",-G986,0))</f>
        <v>0</v>
      </c>
      <c r="L986" s="33" t="n">
        <f aca="false">IF(E986="",0,G986*IFERROR(INDEX(Catégories!$E$5:$E$60,MATCH(E986,Catégories!$A$5:$A$60,0)),0))</f>
        <v>0</v>
      </c>
    </row>
    <row r="987" customFormat="false" ht="15" hidden="false" customHeight="true" outlineLevel="0" collapsed="false">
      <c r="A987" s="34"/>
      <c r="B987" s="29" t="str">
        <f aca="false">IF(A987="","",YEAR(A987))</f>
        <v/>
      </c>
      <c r="G987" s="35"/>
      <c r="H987" s="32" t="str">
        <f aca="false">IF(E987="","",IFERROR(INDEX(Catégories!$B$5:$B$60,MATCH(E987,Catégories!$A$5:$A$60,0)),"?"))</f>
        <v/>
      </c>
      <c r="I987" s="32" t="str">
        <f aca="false">IF(E987="","",IFERROR(INDEX(Catégories!$C$5:$C$60,MATCH(E987,Catégories!$A$5:$A$60,0)),"?"))</f>
        <v/>
      </c>
      <c r="J987" s="32" t="str">
        <f aca="false">IF(E987="","",IFERROR(INDEX(Catégories!$D$5:$D$60,MATCH(E987,Catégories!$A$5:$A$60,0)),"?"))</f>
        <v/>
      </c>
      <c r="K987" s="33" t="n">
        <f aca="false">IF(H987="Recette",G987,IF(H987="Dépense",-G987,0))</f>
        <v>0</v>
      </c>
      <c r="L987" s="33" t="n">
        <f aca="false">IF(E987="",0,G987*IFERROR(INDEX(Catégories!$E$5:$E$60,MATCH(E987,Catégories!$A$5:$A$60,0)),0))</f>
        <v>0</v>
      </c>
    </row>
    <row r="988" customFormat="false" ht="15" hidden="false" customHeight="true" outlineLevel="0" collapsed="false">
      <c r="A988" s="34"/>
      <c r="B988" s="29" t="str">
        <f aca="false">IF(A988="","",YEAR(A988))</f>
        <v/>
      </c>
      <c r="G988" s="35"/>
      <c r="H988" s="32" t="str">
        <f aca="false">IF(E988="","",IFERROR(INDEX(Catégories!$B$5:$B$60,MATCH(E988,Catégories!$A$5:$A$60,0)),"?"))</f>
        <v/>
      </c>
      <c r="I988" s="32" t="str">
        <f aca="false">IF(E988="","",IFERROR(INDEX(Catégories!$C$5:$C$60,MATCH(E988,Catégories!$A$5:$A$60,0)),"?"))</f>
        <v/>
      </c>
      <c r="J988" s="32" t="str">
        <f aca="false">IF(E988="","",IFERROR(INDEX(Catégories!$D$5:$D$60,MATCH(E988,Catégories!$A$5:$A$60,0)),"?"))</f>
        <v/>
      </c>
      <c r="K988" s="33" t="n">
        <f aca="false">IF(H988="Recette",G988,IF(H988="Dépense",-G988,0))</f>
        <v>0</v>
      </c>
      <c r="L988" s="33" t="n">
        <f aca="false">IF(E988="",0,G988*IFERROR(INDEX(Catégories!$E$5:$E$60,MATCH(E988,Catégories!$A$5:$A$60,0)),0))</f>
        <v>0</v>
      </c>
    </row>
    <row r="989" customFormat="false" ht="15" hidden="false" customHeight="true" outlineLevel="0" collapsed="false">
      <c r="A989" s="34"/>
      <c r="B989" s="29" t="str">
        <f aca="false">IF(A989="","",YEAR(A989))</f>
        <v/>
      </c>
      <c r="G989" s="35"/>
      <c r="H989" s="32" t="str">
        <f aca="false">IF(E989="","",IFERROR(INDEX(Catégories!$B$5:$B$60,MATCH(E989,Catégories!$A$5:$A$60,0)),"?"))</f>
        <v/>
      </c>
      <c r="I989" s="32" t="str">
        <f aca="false">IF(E989="","",IFERROR(INDEX(Catégories!$C$5:$C$60,MATCH(E989,Catégories!$A$5:$A$60,0)),"?"))</f>
        <v/>
      </c>
      <c r="J989" s="32" t="str">
        <f aca="false">IF(E989="","",IFERROR(INDEX(Catégories!$D$5:$D$60,MATCH(E989,Catégories!$A$5:$A$60,0)),"?"))</f>
        <v/>
      </c>
      <c r="K989" s="33" t="n">
        <f aca="false">IF(H989="Recette",G989,IF(H989="Dépense",-G989,0))</f>
        <v>0</v>
      </c>
      <c r="L989" s="33" t="n">
        <f aca="false">IF(E989="",0,G989*IFERROR(INDEX(Catégories!$E$5:$E$60,MATCH(E989,Catégories!$A$5:$A$60,0)),0))</f>
        <v>0</v>
      </c>
    </row>
    <row r="990" customFormat="false" ht="15" hidden="false" customHeight="true" outlineLevel="0" collapsed="false">
      <c r="A990" s="34"/>
      <c r="B990" s="29" t="str">
        <f aca="false">IF(A990="","",YEAR(A990))</f>
        <v/>
      </c>
      <c r="G990" s="35"/>
      <c r="H990" s="32" t="str">
        <f aca="false">IF(E990="","",IFERROR(INDEX(Catégories!$B$5:$B$60,MATCH(E990,Catégories!$A$5:$A$60,0)),"?"))</f>
        <v/>
      </c>
      <c r="I990" s="32" t="str">
        <f aca="false">IF(E990="","",IFERROR(INDEX(Catégories!$C$5:$C$60,MATCH(E990,Catégories!$A$5:$A$60,0)),"?"))</f>
        <v/>
      </c>
      <c r="J990" s="32" t="str">
        <f aca="false">IF(E990="","",IFERROR(INDEX(Catégories!$D$5:$D$60,MATCH(E990,Catégories!$A$5:$A$60,0)),"?"))</f>
        <v/>
      </c>
      <c r="K990" s="33" t="n">
        <f aca="false">IF(H990="Recette",G990,IF(H990="Dépense",-G990,0))</f>
        <v>0</v>
      </c>
      <c r="L990" s="33" t="n">
        <f aca="false">IF(E990="",0,G990*IFERROR(INDEX(Catégories!$E$5:$E$60,MATCH(E990,Catégories!$A$5:$A$60,0)),0))</f>
        <v>0</v>
      </c>
    </row>
    <row r="991" customFormat="false" ht="15" hidden="false" customHeight="true" outlineLevel="0" collapsed="false">
      <c r="A991" s="34"/>
      <c r="B991" s="29" t="str">
        <f aca="false">IF(A991="","",YEAR(A991))</f>
        <v/>
      </c>
      <c r="G991" s="35"/>
      <c r="H991" s="32" t="str">
        <f aca="false">IF(E991="","",IFERROR(INDEX(Catégories!$B$5:$B$60,MATCH(E991,Catégories!$A$5:$A$60,0)),"?"))</f>
        <v/>
      </c>
      <c r="I991" s="32" t="str">
        <f aca="false">IF(E991="","",IFERROR(INDEX(Catégories!$C$5:$C$60,MATCH(E991,Catégories!$A$5:$A$60,0)),"?"))</f>
        <v/>
      </c>
      <c r="J991" s="32" t="str">
        <f aca="false">IF(E991="","",IFERROR(INDEX(Catégories!$D$5:$D$60,MATCH(E991,Catégories!$A$5:$A$60,0)),"?"))</f>
        <v/>
      </c>
      <c r="K991" s="33" t="n">
        <f aca="false">IF(H991="Recette",G991,IF(H991="Dépense",-G991,0))</f>
        <v>0</v>
      </c>
      <c r="L991" s="33" t="n">
        <f aca="false">IF(E991="",0,G991*IFERROR(INDEX(Catégories!$E$5:$E$60,MATCH(E991,Catégories!$A$5:$A$60,0)),0))</f>
        <v>0</v>
      </c>
    </row>
    <row r="992" customFormat="false" ht="15" hidden="false" customHeight="true" outlineLevel="0" collapsed="false">
      <c r="A992" s="34"/>
      <c r="B992" s="29" t="str">
        <f aca="false">IF(A992="","",YEAR(A992))</f>
        <v/>
      </c>
      <c r="G992" s="35"/>
      <c r="H992" s="32" t="str">
        <f aca="false">IF(E992="","",IFERROR(INDEX(Catégories!$B$5:$B$60,MATCH(E992,Catégories!$A$5:$A$60,0)),"?"))</f>
        <v/>
      </c>
      <c r="I992" s="32" t="str">
        <f aca="false">IF(E992="","",IFERROR(INDEX(Catégories!$C$5:$C$60,MATCH(E992,Catégories!$A$5:$A$60,0)),"?"))</f>
        <v/>
      </c>
      <c r="J992" s="32" t="str">
        <f aca="false">IF(E992="","",IFERROR(INDEX(Catégories!$D$5:$D$60,MATCH(E992,Catégories!$A$5:$A$60,0)),"?"))</f>
        <v/>
      </c>
      <c r="K992" s="33" t="n">
        <f aca="false">IF(H992="Recette",G992,IF(H992="Dépense",-G992,0))</f>
        <v>0</v>
      </c>
      <c r="L992" s="33" t="n">
        <f aca="false">IF(E992="",0,G992*IFERROR(INDEX(Catégories!$E$5:$E$60,MATCH(E992,Catégories!$A$5:$A$60,0)),0))</f>
        <v>0</v>
      </c>
    </row>
    <row r="993" customFormat="false" ht="15" hidden="false" customHeight="true" outlineLevel="0" collapsed="false">
      <c r="A993" s="34"/>
      <c r="B993" s="29" t="str">
        <f aca="false">IF(A993="","",YEAR(A993))</f>
        <v/>
      </c>
      <c r="G993" s="35"/>
      <c r="H993" s="32" t="str">
        <f aca="false">IF(E993="","",IFERROR(INDEX(Catégories!$B$5:$B$60,MATCH(E993,Catégories!$A$5:$A$60,0)),"?"))</f>
        <v/>
      </c>
      <c r="I993" s="32" t="str">
        <f aca="false">IF(E993="","",IFERROR(INDEX(Catégories!$C$5:$C$60,MATCH(E993,Catégories!$A$5:$A$60,0)),"?"))</f>
        <v/>
      </c>
      <c r="J993" s="32" t="str">
        <f aca="false">IF(E993="","",IFERROR(INDEX(Catégories!$D$5:$D$60,MATCH(E993,Catégories!$A$5:$A$60,0)),"?"))</f>
        <v/>
      </c>
      <c r="K993" s="33" t="n">
        <f aca="false">IF(H993="Recette",G993,IF(H993="Dépense",-G993,0))</f>
        <v>0</v>
      </c>
      <c r="L993" s="33" t="n">
        <f aca="false">IF(E993="",0,G993*IFERROR(INDEX(Catégories!$E$5:$E$60,MATCH(E993,Catégories!$A$5:$A$60,0)),0))</f>
        <v>0</v>
      </c>
    </row>
    <row r="994" customFormat="false" ht="15" hidden="false" customHeight="true" outlineLevel="0" collapsed="false">
      <c r="A994" s="34"/>
      <c r="B994" s="29" t="str">
        <f aca="false">IF(A994="","",YEAR(A994))</f>
        <v/>
      </c>
      <c r="G994" s="35"/>
      <c r="H994" s="32" t="str">
        <f aca="false">IF(E994="","",IFERROR(INDEX(Catégories!$B$5:$B$60,MATCH(E994,Catégories!$A$5:$A$60,0)),"?"))</f>
        <v/>
      </c>
      <c r="I994" s="32" t="str">
        <f aca="false">IF(E994="","",IFERROR(INDEX(Catégories!$C$5:$C$60,MATCH(E994,Catégories!$A$5:$A$60,0)),"?"))</f>
        <v/>
      </c>
      <c r="J994" s="32" t="str">
        <f aca="false">IF(E994="","",IFERROR(INDEX(Catégories!$D$5:$D$60,MATCH(E994,Catégories!$A$5:$A$60,0)),"?"))</f>
        <v/>
      </c>
      <c r="K994" s="33" t="n">
        <f aca="false">IF(H994="Recette",G994,IF(H994="Dépense",-G994,0))</f>
        <v>0</v>
      </c>
      <c r="L994" s="33" t="n">
        <f aca="false">IF(E994="",0,G994*IFERROR(INDEX(Catégories!$E$5:$E$60,MATCH(E994,Catégories!$A$5:$A$60,0)),0))</f>
        <v>0</v>
      </c>
    </row>
    <row r="995" customFormat="false" ht="15" hidden="false" customHeight="true" outlineLevel="0" collapsed="false">
      <c r="A995" s="34"/>
      <c r="B995" s="29" t="str">
        <f aca="false">IF(A995="","",YEAR(A995))</f>
        <v/>
      </c>
      <c r="G995" s="35"/>
      <c r="H995" s="32" t="str">
        <f aca="false">IF(E995="","",IFERROR(INDEX(Catégories!$B$5:$B$60,MATCH(E995,Catégories!$A$5:$A$60,0)),"?"))</f>
        <v/>
      </c>
      <c r="I995" s="32" t="str">
        <f aca="false">IF(E995="","",IFERROR(INDEX(Catégories!$C$5:$C$60,MATCH(E995,Catégories!$A$5:$A$60,0)),"?"))</f>
        <v/>
      </c>
      <c r="J995" s="32" t="str">
        <f aca="false">IF(E995="","",IFERROR(INDEX(Catégories!$D$5:$D$60,MATCH(E995,Catégories!$A$5:$A$60,0)),"?"))</f>
        <v/>
      </c>
      <c r="K995" s="33" t="n">
        <f aca="false">IF(H995="Recette",G995,IF(H995="Dépense",-G995,0))</f>
        <v>0</v>
      </c>
      <c r="L995" s="33" t="n">
        <f aca="false">IF(E995="",0,G995*IFERROR(INDEX(Catégories!$E$5:$E$60,MATCH(E995,Catégories!$A$5:$A$60,0)),0))</f>
        <v>0</v>
      </c>
    </row>
    <row r="996" customFormat="false" ht="15" hidden="false" customHeight="true" outlineLevel="0" collapsed="false">
      <c r="A996" s="34"/>
      <c r="B996" s="29" t="str">
        <f aca="false">IF(A996="","",YEAR(A996))</f>
        <v/>
      </c>
      <c r="G996" s="35"/>
      <c r="H996" s="32" t="str">
        <f aca="false">IF(E996="","",IFERROR(INDEX(Catégories!$B$5:$B$60,MATCH(E996,Catégories!$A$5:$A$60,0)),"?"))</f>
        <v/>
      </c>
      <c r="I996" s="32" t="str">
        <f aca="false">IF(E996="","",IFERROR(INDEX(Catégories!$C$5:$C$60,MATCH(E996,Catégories!$A$5:$A$60,0)),"?"))</f>
        <v/>
      </c>
      <c r="J996" s="32" t="str">
        <f aca="false">IF(E996="","",IFERROR(INDEX(Catégories!$D$5:$D$60,MATCH(E996,Catégories!$A$5:$A$60,0)),"?"))</f>
        <v/>
      </c>
      <c r="K996" s="33" t="n">
        <f aca="false">IF(H996="Recette",G996,IF(H996="Dépense",-G996,0))</f>
        <v>0</v>
      </c>
      <c r="L996" s="33" t="n">
        <f aca="false">IF(E996="",0,G996*IFERROR(INDEX(Catégories!$E$5:$E$60,MATCH(E996,Catégories!$A$5:$A$60,0)),0))</f>
        <v>0</v>
      </c>
    </row>
    <row r="997" customFormat="false" ht="15" hidden="false" customHeight="true" outlineLevel="0" collapsed="false">
      <c r="A997" s="34"/>
      <c r="B997" s="29" t="str">
        <f aca="false">IF(A997="","",YEAR(A997))</f>
        <v/>
      </c>
      <c r="G997" s="35"/>
      <c r="H997" s="32" t="str">
        <f aca="false">IF(E997="","",IFERROR(INDEX(Catégories!$B$5:$B$60,MATCH(E997,Catégories!$A$5:$A$60,0)),"?"))</f>
        <v/>
      </c>
      <c r="I997" s="32" t="str">
        <f aca="false">IF(E997="","",IFERROR(INDEX(Catégories!$C$5:$C$60,MATCH(E997,Catégories!$A$5:$A$60,0)),"?"))</f>
        <v/>
      </c>
      <c r="J997" s="32" t="str">
        <f aca="false">IF(E997="","",IFERROR(INDEX(Catégories!$D$5:$D$60,MATCH(E997,Catégories!$A$5:$A$60,0)),"?"))</f>
        <v/>
      </c>
      <c r="K997" s="33" t="n">
        <f aca="false">IF(H997="Recette",G997,IF(H997="Dépense",-G997,0))</f>
        <v>0</v>
      </c>
      <c r="L997" s="33" t="n">
        <f aca="false">IF(E997="",0,G997*IFERROR(INDEX(Catégories!$E$5:$E$60,MATCH(E997,Catégories!$A$5:$A$60,0)),0))</f>
        <v>0</v>
      </c>
    </row>
    <row r="998" customFormat="false" ht="15" hidden="false" customHeight="true" outlineLevel="0" collapsed="false">
      <c r="A998" s="34"/>
      <c r="B998" s="29" t="str">
        <f aca="false">IF(A998="","",YEAR(A998))</f>
        <v/>
      </c>
      <c r="G998" s="35"/>
      <c r="H998" s="32" t="str">
        <f aca="false">IF(E998="","",IFERROR(INDEX(Catégories!$B$5:$B$60,MATCH(E998,Catégories!$A$5:$A$60,0)),"?"))</f>
        <v/>
      </c>
      <c r="I998" s="32" t="str">
        <f aca="false">IF(E998="","",IFERROR(INDEX(Catégories!$C$5:$C$60,MATCH(E998,Catégories!$A$5:$A$60,0)),"?"))</f>
        <v/>
      </c>
      <c r="J998" s="32" t="str">
        <f aca="false">IF(E998="","",IFERROR(INDEX(Catégories!$D$5:$D$60,MATCH(E998,Catégories!$A$5:$A$60,0)),"?"))</f>
        <v/>
      </c>
      <c r="K998" s="33" t="n">
        <f aca="false">IF(H998="Recette",G998,IF(H998="Dépense",-G998,0))</f>
        <v>0</v>
      </c>
      <c r="L998" s="33" t="n">
        <f aca="false">IF(E998="",0,G998*IFERROR(INDEX(Catégories!$E$5:$E$60,MATCH(E998,Catégories!$A$5:$A$60,0)),0))</f>
        <v>0</v>
      </c>
    </row>
    <row r="999" customFormat="false" ht="15" hidden="false" customHeight="true" outlineLevel="0" collapsed="false">
      <c r="A999" s="34"/>
      <c r="B999" s="29" t="str">
        <f aca="false">IF(A999="","",YEAR(A999))</f>
        <v/>
      </c>
      <c r="G999" s="35"/>
      <c r="H999" s="32" t="str">
        <f aca="false">IF(E999="","",IFERROR(INDEX(Catégories!$B$5:$B$60,MATCH(E999,Catégories!$A$5:$A$60,0)),"?"))</f>
        <v/>
      </c>
      <c r="I999" s="32" t="str">
        <f aca="false">IF(E999="","",IFERROR(INDEX(Catégories!$C$5:$C$60,MATCH(E999,Catégories!$A$5:$A$60,0)),"?"))</f>
        <v/>
      </c>
      <c r="J999" s="32" t="str">
        <f aca="false">IF(E999="","",IFERROR(INDEX(Catégories!$D$5:$D$60,MATCH(E999,Catégories!$A$5:$A$60,0)),"?"))</f>
        <v/>
      </c>
      <c r="K999" s="33" t="n">
        <f aca="false">IF(H999="Recette",G999,IF(H999="Dépense",-G999,0))</f>
        <v>0</v>
      </c>
      <c r="L999" s="33" t="n">
        <f aca="false">IF(E999="",0,G999*IFERROR(INDEX(Catégories!$E$5:$E$60,MATCH(E999,Catégories!$A$5:$A$60,0)),0))</f>
        <v>0</v>
      </c>
    </row>
    <row r="1000" customFormat="false" ht="15" hidden="false" customHeight="true" outlineLevel="0" collapsed="false">
      <c r="A1000" s="34"/>
      <c r="B1000" s="29" t="str">
        <f aca="false">IF(A1000="","",YEAR(A1000))</f>
        <v/>
      </c>
      <c r="G1000" s="35"/>
      <c r="H1000" s="32" t="str">
        <f aca="false">IF(E1000="","",IFERROR(INDEX(Catégories!$B$5:$B$60,MATCH(E1000,Catégories!$A$5:$A$60,0)),"?"))</f>
        <v/>
      </c>
      <c r="I1000" s="32" t="str">
        <f aca="false">IF(E1000="","",IFERROR(INDEX(Catégories!$C$5:$C$60,MATCH(E1000,Catégories!$A$5:$A$60,0)),"?"))</f>
        <v/>
      </c>
      <c r="J1000" s="32" t="str">
        <f aca="false">IF(E1000="","",IFERROR(INDEX(Catégories!$D$5:$D$60,MATCH(E1000,Catégories!$A$5:$A$60,0)),"?"))</f>
        <v/>
      </c>
      <c r="K1000" s="33" t="n">
        <f aca="false">IF(H1000="Recette",G1000,IF(H1000="Dépense",-G1000,0))</f>
        <v>0</v>
      </c>
      <c r="L1000" s="33" t="n">
        <f aca="false">IF(E1000="",0,G1000*IFERROR(INDEX(Catégories!$E$5:$E$60,MATCH(E1000,Catégories!$A$5:$A$60,0)),0))</f>
        <v>0</v>
      </c>
    </row>
    <row r="1001" customFormat="false" ht="15" hidden="false" customHeight="true" outlineLevel="0" collapsed="false">
      <c r="A1001" s="34"/>
      <c r="B1001" s="29" t="str">
        <f aca="false">IF(A1001="","",YEAR(A1001))</f>
        <v/>
      </c>
      <c r="G1001" s="35"/>
      <c r="H1001" s="32" t="str">
        <f aca="false">IF(E1001="","",IFERROR(INDEX(Catégories!$B$5:$B$60,MATCH(E1001,Catégories!$A$5:$A$60,0)),"?"))</f>
        <v/>
      </c>
      <c r="I1001" s="32" t="str">
        <f aca="false">IF(E1001="","",IFERROR(INDEX(Catégories!$C$5:$C$60,MATCH(E1001,Catégories!$A$5:$A$60,0)),"?"))</f>
        <v/>
      </c>
      <c r="J1001" s="32" t="str">
        <f aca="false">IF(E1001="","",IFERROR(INDEX(Catégories!$D$5:$D$60,MATCH(E1001,Catégories!$A$5:$A$60,0)),"?"))</f>
        <v/>
      </c>
      <c r="K1001" s="33" t="n">
        <f aca="false">IF(H1001="Recette",G1001,IF(H1001="Dépense",-G1001,0))</f>
        <v>0</v>
      </c>
      <c r="L1001" s="33" t="n">
        <f aca="false">IF(E1001="",0,G1001*IFERROR(INDEX(Catégories!$E$5:$E$60,MATCH(E1001,Catégories!$A$5:$A$60,0)),0))</f>
        <v>0</v>
      </c>
    </row>
    <row r="1002" customFormat="false" ht="15" hidden="false" customHeight="true" outlineLevel="0" collapsed="false">
      <c r="A1002" s="34"/>
      <c r="B1002" s="29" t="str">
        <f aca="false">IF(A1002="","",YEAR(A1002))</f>
        <v/>
      </c>
      <c r="G1002" s="35"/>
      <c r="H1002" s="32" t="str">
        <f aca="false">IF(E1002="","",IFERROR(INDEX(Catégories!$B$5:$B$60,MATCH(E1002,Catégories!$A$5:$A$60,0)),"?"))</f>
        <v/>
      </c>
      <c r="I1002" s="32" t="str">
        <f aca="false">IF(E1002="","",IFERROR(INDEX(Catégories!$C$5:$C$60,MATCH(E1002,Catégories!$A$5:$A$60,0)),"?"))</f>
        <v/>
      </c>
      <c r="J1002" s="32" t="str">
        <f aca="false">IF(E1002="","",IFERROR(INDEX(Catégories!$D$5:$D$60,MATCH(E1002,Catégories!$A$5:$A$60,0)),"?"))</f>
        <v/>
      </c>
      <c r="K1002" s="33" t="n">
        <f aca="false">IF(H1002="Recette",G1002,IF(H1002="Dépense",-G1002,0))</f>
        <v>0</v>
      </c>
      <c r="L1002" s="33" t="n">
        <f aca="false">IF(E1002="",0,G1002*IFERROR(INDEX(Catégories!$E$5:$E$60,MATCH(E1002,Catégories!$A$5:$A$60,0)),0))</f>
        <v>0</v>
      </c>
    </row>
    <row r="1003" customFormat="false" ht="15" hidden="false" customHeight="true" outlineLevel="0" collapsed="false">
      <c r="A1003" s="34"/>
      <c r="B1003" s="29" t="str">
        <f aca="false">IF(A1003="","",YEAR(A1003))</f>
        <v/>
      </c>
      <c r="G1003" s="35"/>
      <c r="H1003" s="32" t="str">
        <f aca="false">IF(E1003="","",IFERROR(INDEX(Catégories!$B$5:$B$60,MATCH(E1003,Catégories!$A$5:$A$60,0)),"?"))</f>
        <v/>
      </c>
      <c r="I1003" s="32" t="str">
        <f aca="false">IF(E1003="","",IFERROR(INDEX(Catégories!$C$5:$C$60,MATCH(E1003,Catégories!$A$5:$A$60,0)),"?"))</f>
        <v/>
      </c>
      <c r="J1003" s="32" t="str">
        <f aca="false">IF(E1003="","",IFERROR(INDEX(Catégories!$D$5:$D$60,MATCH(E1003,Catégories!$A$5:$A$60,0)),"?"))</f>
        <v/>
      </c>
      <c r="K1003" s="33" t="n">
        <f aca="false">IF(H1003="Recette",G1003,IF(H1003="Dépense",-G1003,0))</f>
        <v>0</v>
      </c>
      <c r="L1003" s="33" t="n">
        <f aca="false">IF(E1003="",0,G1003*IFERROR(INDEX(Catégories!$E$5:$E$60,MATCH(E1003,Catégories!$A$5:$A$60,0)),0))</f>
        <v>0</v>
      </c>
    </row>
    <row r="1004" customFormat="false" ht="15" hidden="false" customHeight="true" outlineLevel="0" collapsed="false">
      <c r="A1004" s="34"/>
      <c r="B1004" s="29" t="str">
        <f aca="false">IF(A1004="","",YEAR(A1004))</f>
        <v/>
      </c>
      <c r="G1004" s="35"/>
      <c r="H1004" s="32" t="str">
        <f aca="false">IF(E1004="","",IFERROR(INDEX(Catégories!$B$5:$B$60,MATCH(E1004,Catégories!$A$5:$A$60,0)),"?"))</f>
        <v/>
      </c>
      <c r="I1004" s="32" t="str">
        <f aca="false">IF(E1004="","",IFERROR(INDEX(Catégories!$C$5:$C$60,MATCH(E1004,Catégories!$A$5:$A$60,0)),"?"))</f>
        <v/>
      </c>
      <c r="J1004" s="32" t="str">
        <f aca="false">IF(E1004="","",IFERROR(INDEX(Catégories!$D$5:$D$60,MATCH(E1004,Catégories!$A$5:$A$60,0)),"?"))</f>
        <v/>
      </c>
      <c r="K1004" s="33" t="n">
        <f aca="false">IF(H1004="Recette",G1004,IF(H1004="Dépense",-G1004,0))</f>
        <v>0</v>
      </c>
      <c r="L1004" s="33" t="n">
        <f aca="false">IF(E1004="",0,G1004*IFERROR(INDEX(Catégories!$E$5:$E$60,MATCH(E1004,Catégories!$A$5:$A$60,0)),0))</f>
        <v>0</v>
      </c>
    </row>
  </sheetData>
  <autoFilter ref="A4:O1004"/>
  <conditionalFormatting sqref="E5:E1004">
    <cfRule type="expression" priority="2" aboveAverage="0" equalAverage="0" bottom="0" percent="0" rank="0" text="" dxfId="7">
      <formula>$H5="?"</formula>
    </cfRule>
    <cfRule type="expression" priority="3" aboveAverage="0" equalAverage="0" bottom="0" percent="0" rank="0" text="" dxfId="8">
      <formula>$I5="À valider"</formula>
    </cfRule>
  </conditionalFormatting>
  <dataValidations count="3">
    <dataValidation allowBlank="true" error="Choisissez une valeur de la liste (ou ajoutez-la dans l'onglet de référence)." errorStyle="stop" errorTitle="Valeur inconnue" operator="between" showDropDown="false" showErrorMessage="true" showInputMessage="false" sqref="C5:C1004" type="list">
      <formula1>lst_biens</formula1>
      <formula2>0</formula2>
    </dataValidation>
    <dataValidation allowBlank="true" error="Choisissez une valeur de la liste (ou ajoutez-la dans l'onglet de référence)." errorStyle="stop" errorTitle="Valeur inconnue" operator="between" showDropDown="false" showErrorMessage="true" showInputMessage="false" sqref="D5:D1004" type="list">
      <formula1>lst_comptes</formula1>
      <formula2>0</formula2>
    </dataValidation>
    <dataValidation allowBlank="true" error="Choisissez une valeur de la liste (ou ajoutez-la dans l'onglet de référence)." errorStyle="stop" errorTitle="Valeur inconnue" operator="between" showDropDown="false" showErrorMessage="true" showInputMessage="false" sqref="E5:E1004" type="list">
      <formula1>lst_categories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V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40"/>
    <col collapsed="false" customWidth="true" hidden="false" outlineLevel="0" max="5" min="4" style="1" width="10"/>
    <col collapsed="false" customWidth="true" hidden="false" outlineLevel="0" max="6" min="6" style="1" width="12"/>
    <col collapsed="false" customWidth="true" hidden="false" outlineLevel="0" max="7" min="7" style="1" width="14"/>
    <col collapsed="false" customWidth="true" hidden="false" outlineLevel="0" max="8" min="8" style="1" width="12"/>
    <col collapsed="false" customWidth="true" hidden="false" outlineLevel="0" max="9" min="9" style="1" width="14"/>
    <col collapsed="false" customWidth="true" hidden="false" outlineLevel="0" max="11" min="10" style="1" width="12"/>
    <col collapsed="false" customWidth="true" hidden="false" outlineLevel="0" max="13" min="12" style="1" width="14"/>
    <col collapsed="false" customWidth="true" hidden="false" outlineLevel="0" max="16" min="14" style="1" width="13"/>
    <col collapsed="false" customWidth="true" hidden="false" outlineLevel="0" max="17" min="17" style="1" width="9"/>
    <col collapsed="false" customWidth="true" hidden="false" outlineLevel="0" max="18" min="18" style="1" width="24"/>
    <col collapsed="false" customWidth="true" hidden="false" outlineLevel="0" max="19" min="19" style="1" width="22"/>
    <col collapsed="false" customWidth="true" hidden="false" outlineLevel="0" max="20" min="20" style="1" width="13"/>
    <col collapsed="false" customWidth="true" hidden="false" outlineLevel="0" max="22" min="21" style="1" width="11"/>
  </cols>
  <sheetData>
    <row r="1" customFormat="false" ht="19.5" hidden="false" customHeight="true" outlineLevel="0" collapsed="false">
      <c r="A1" s="2" t="s">
        <v>332</v>
      </c>
    </row>
    <row r="2" customFormat="false" ht="15" hidden="false" customHeight="true" outlineLevel="0" collapsed="false">
      <c r="A2" s="3" t="s">
        <v>333</v>
      </c>
    </row>
    <row r="4" customFormat="false" ht="30" hidden="false" customHeight="true" outlineLevel="0" collapsed="false">
      <c r="A4" s="16" t="s">
        <v>334</v>
      </c>
      <c r="B4" s="16" t="s">
        <v>335</v>
      </c>
      <c r="C4" s="16" t="s">
        <v>336</v>
      </c>
      <c r="D4" s="16" t="s">
        <v>337</v>
      </c>
      <c r="E4" s="16" t="s">
        <v>338</v>
      </c>
      <c r="F4" s="16" t="s">
        <v>339</v>
      </c>
      <c r="G4" s="16" t="s">
        <v>340</v>
      </c>
      <c r="H4" s="16" t="s">
        <v>341</v>
      </c>
      <c r="I4" s="16" t="s">
        <v>342</v>
      </c>
      <c r="J4" s="16" t="s">
        <v>343</v>
      </c>
      <c r="K4" s="16" t="s">
        <v>344</v>
      </c>
      <c r="L4" s="16" t="s">
        <v>345</v>
      </c>
      <c r="M4" s="16" t="s">
        <v>102</v>
      </c>
      <c r="N4" s="16" t="s">
        <v>346</v>
      </c>
      <c r="O4" s="16" t="s">
        <v>347</v>
      </c>
      <c r="P4" s="16" t="s">
        <v>348</v>
      </c>
      <c r="Q4" s="16" t="s">
        <v>349</v>
      </c>
      <c r="R4" s="16" t="s">
        <v>350</v>
      </c>
      <c r="S4" s="16" t="s">
        <v>351</v>
      </c>
      <c r="T4" s="16" t="s">
        <v>352</v>
      </c>
      <c r="U4" s="16" t="s">
        <v>353</v>
      </c>
      <c r="V4" s="16" t="s">
        <v>354</v>
      </c>
    </row>
    <row r="5" customFormat="false" ht="15" hidden="false" customHeight="true" outlineLevel="0" collapsed="false">
      <c r="A5" s="11" t="s">
        <v>58</v>
      </c>
      <c r="B5" s="11" t="s">
        <v>355</v>
      </c>
      <c r="C5" s="11" t="s">
        <v>356</v>
      </c>
      <c r="D5" s="11"/>
      <c r="E5" s="11" t="s">
        <v>357</v>
      </c>
      <c r="F5" s="11" t="s">
        <v>358</v>
      </c>
      <c r="G5" s="11" t="s">
        <v>359</v>
      </c>
      <c r="H5" s="13" t="n">
        <v>43049</v>
      </c>
      <c r="I5" s="36" t="n">
        <v>239010</v>
      </c>
      <c r="J5" s="36" t="n">
        <v>7440</v>
      </c>
      <c r="K5" s="36" t="n">
        <v>9300</v>
      </c>
      <c r="L5" s="36" t="n">
        <v>19848.99</v>
      </c>
      <c r="M5" s="37" t="n">
        <f aca="false">IF(A5="","",I5+K5+L5)</f>
        <v>268158.99</v>
      </c>
      <c r="N5" s="36" t="n">
        <v>97968.99</v>
      </c>
      <c r="O5" s="13" t="n">
        <v>45430</v>
      </c>
      <c r="P5" s="36" t="n">
        <v>283650</v>
      </c>
      <c r="Q5" s="38" t="n">
        <v>40.03</v>
      </c>
      <c r="R5" s="11" t="s">
        <v>360</v>
      </c>
      <c r="S5" s="11" t="s">
        <v>361</v>
      </c>
      <c r="T5" s="24" t="n">
        <v>1054.89</v>
      </c>
      <c r="U5" s="24" t="n">
        <v>83.7</v>
      </c>
      <c r="V5" s="24" t="n">
        <v>2064.6</v>
      </c>
    </row>
    <row r="6" customFormat="false" ht="15" hidden="false" customHeight="true" outlineLevel="0" collapsed="false">
      <c r="A6" s="11"/>
      <c r="B6" s="11"/>
      <c r="C6" s="11"/>
      <c r="D6" s="11"/>
      <c r="E6" s="11"/>
      <c r="F6" s="11"/>
      <c r="G6" s="11"/>
      <c r="H6" s="13"/>
      <c r="I6" s="36"/>
      <c r="J6" s="36"/>
      <c r="K6" s="36"/>
      <c r="L6" s="36"/>
      <c r="M6" s="26" t="str">
        <f aca="false">IF(A6="","",I6+K6+L6)</f>
        <v/>
      </c>
      <c r="N6" s="36"/>
      <c r="O6" s="13"/>
      <c r="P6" s="36"/>
      <c r="Q6" s="38"/>
      <c r="R6" s="11"/>
      <c r="S6" s="11"/>
      <c r="T6" s="24"/>
      <c r="U6" s="24"/>
      <c r="V6" s="24"/>
    </row>
    <row r="7" customFormat="false" ht="15" hidden="false" customHeight="true" outlineLevel="0" collapsed="false">
      <c r="A7" s="11"/>
      <c r="B7" s="11"/>
      <c r="C7" s="11"/>
      <c r="D7" s="11"/>
      <c r="E7" s="11"/>
      <c r="F7" s="11"/>
      <c r="G7" s="11"/>
      <c r="H7" s="13"/>
      <c r="I7" s="36"/>
      <c r="J7" s="36"/>
      <c r="K7" s="36"/>
      <c r="L7" s="36"/>
      <c r="M7" s="26" t="str">
        <f aca="false">IF(A7="","",I7+K7+L7)</f>
        <v/>
      </c>
      <c r="N7" s="36"/>
      <c r="O7" s="13"/>
      <c r="P7" s="36"/>
      <c r="Q7" s="38"/>
      <c r="R7" s="11"/>
      <c r="S7" s="11"/>
      <c r="T7" s="24"/>
      <c r="U7" s="24"/>
      <c r="V7" s="24"/>
    </row>
    <row r="8" customFormat="false" ht="15" hidden="false" customHeight="true" outlineLevel="0" collapsed="false">
      <c r="A8" s="11"/>
      <c r="B8" s="11"/>
      <c r="C8" s="11"/>
      <c r="D8" s="11"/>
      <c r="E8" s="11"/>
      <c r="F8" s="11"/>
      <c r="G8" s="11"/>
      <c r="H8" s="13"/>
      <c r="I8" s="36"/>
      <c r="J8" s="36"/>
      <c r="K8" s="36"/>
      <c r="L8" s="36"/>
      <c r="M8" s="26" t="str">
        <f aca="false">IF(A8="","",I8+K8+L8)</f>
        <v/>
      </c>
      <c r="N8" s="36"/>
      <c r="O8" s="13"/>
      <c r="P8" s="36"/>
      <c r="Q8" s="38"/>
      <c r="R8" s="11"/>
      <c r="S8" s="11"/>
      <c r="T8" s="24"/>
      <c r="U8" s="24"/>
      <c r="V8" s="24"/>
    </row>
    <row r="9" customFormat="false" ht="15" hidden="false" customHeight="true" outlineLevel="0" collapsed="false">
      <c r="A9" s="11"/>
      <c r="B9" s="11"/>
      <c r="C9" s="11"/>
      <c r="D9" s="11"/>
      <c r="E9" s="11"/>
      <c r="F9" s="11"/>
      <c r="G9" s="11"/>
      <c r="H9" s="13"/>
      <c r="I9" s="36"/>
      <c r="J9" s="36"/>
      <c r="K9" s="36"/>
      <c r="L9" s="36"/>
      <c r="M9" s="26" t="str">
        <f aca="false">IF(A9="","",I9+K9+L9)</f>
        <v/>
      </c>
      <c r="N9" s="36"/>
      <c r="O9" s="13"/>
      <c r="P9" s="36"/>
      <c r="Q9" s="38"/>
      <c r="R9" s="11"/>
      <c r="S9" s="11"/>
      <c r="T9" s="24"/>
      <c r="U9" s="24"/>
      <c r="V9" s="24"/>
    </row>
    <row r="10" customFormat="false" ht="15" hidden="false" customHeight="true" outlineLevel="0" collapsed="false">
      <c r="A10" s="11"/>
      <c r="B10" s="11"/>
      <c r="C10" s="11"/>
      <c r="D10" s="11"/>
      <c r="E10" s="11"/>
      <c r="F10" s="11"/>
      <c r="G10" s="11"/>
      <c r="H10" s="13"/>
      <c r="I10" s="36"/>
      <c r="J10" s="36"/>
      <c r="K10" s="36"/>
      <c r="L10" s="36"/>
      <c r="M10" s="26" t="str">
        <f aca="false">IF(A10="","",I10+K10+L10)</f>
        <v/>
      </c>
      <c r="N10" s="36"/>
      <c r="O10" s="13"/>
      <c r="P10" s="36"/>
      <c r="Q10" s="38"/>
      <c r="R10" s="11"/>
      <c r="S10" s="11"/>
      <c r="T10" s="24"/>
      <c r="U10" s="24"/>
      <c r="V10" s="24"/>
    </row>
    <row r="11" customFormat="false" ht="15" hidden="false" customHeight="true" outlineLevel="0" collapsed="false">
      <c r="A11" s="11"/>
      <c r="B11" s="11"/>
      <c r="C11" s="11"/>
      <c r="D11" s="11"/>
      <c r="E11" s="11"/>
      <c r="F11" s="11"/>
      <c r="G11" s="11"/>
      <c r="H11" s="13"/>
      <c r="I11" s="36"/>
      <c r="J11" s="36"/>
      <c r="K11" s="36"/>
      <c r="L11" s="36"/>
      <c r="M11" s="26" t="str">
        <f aca="false">IF(A11="","",I11+K11+L11)</f>
        <v/>
      </c>
      <c r="N11" s="36"/>
      <c r="O11" s="13"/>
      <c r="P11" s="36"/>
      <c r="Q11" s="38"/>
      <c r="R11" s="11"/>
      <c r="S11" s="11"/>
      <c r="T11" s="24"/>
      <c r="U11" s="24"/>
      <c r="V11" s="24"/>
    </row>
    <row r="12" customFormat="false" ht="15" hidden="false" customHeight="true" outlineLevel="0" collapsed="false">
      <c r="A12" s="11"/>
      <c r="B12" s="11"/>
      <c r="C12" s="11"/>
      <c r="D12" s="11"/>
      <c r="E12" s="11"/>
      <c r="F12" s="11"/>
      <c r="G12" s="11"/>
      <c r="H12" s="13"/>
      <c r="I12" s="36"/>
      <c r="J12" s="36"/>
      <c r="K12" s="36"/>
      <c r="L12" s="36"/>
      <c r="M12" s="26" t="str">
        <f aca="false">IF(A12="","",I12+K12+L12)</f>
        <v/>
      </c>
      <c r="N12" s="36"/>
      <c r="O12" s="13"/>
      <c r="P12" s="36"/>
      <c r="Q12" s="38"/>
      <c r="R12" s="11"/>
      <c r="S12" s="11"/>
      <c r="T12" s="24"/>
      <c r="U12" s="24"/>
      <c r="V12" s="24"/>
    </row>
    <row r="13" customFormat="false" ht="15" hidden="false" customHeight="true" outlineLevel="0" collapsed="false">
      <c r="A13" s="11"/>
      <c r="B13" s="11"/>
      <c r="C13" s="11"/>
      <c r="D13" s="11"/>
      <c r="E13" s="11"/>
      <c r="F13" s="11"/>
      <c r="G13" s="11"/>
      <c r="H13" s="13"/>
      <c r="I13" s="36"/>
      <c r="J13" s="36"/>
      <c r="K13" s="36"/>
      <c r="L13" s="36"/>
      <c r="M13" s="26" t="str">
        <f aca="false">IF(A13="","",I13+K13+L13)</f>
        <v/>
      </c>
      <c r="N13" s="36"/>
      <c r="O13" s="13"/>
      <c r="P13" s="36"/>
      <c r="Q13" s="38"/>
      <c r="R13" s="11"/>
      <c r="S13" s="11"/>
      <c r="T13" s="24"/>
      <c r="U13" s="24"/>
      <c r="V13" s="24"/>
    </row>
    <row r="14" customFormat="false" ht="15" hidden="false" customHeight="true" outlineLevel="0" collapsed="false">
      <c r="A14" s="11"/>
      <c r="B14" s="11"/>
      <c r="C14" s="11"/>
      <c r="D14" s="11"/>
      <c r="E14" s="11"/>
      <c r="F14" s="11"/>
      <c r="G14" s="11"/>
      <c r="H14" s="13"/>
      <c r="I14" s="36"/>
      <c r="J14" s="36"/>
      <c r="K14" s="36"/>
      <c r="L14" s="36"/>
      <c r="M14" s="26" t="str">
        <f aca="false">IF(A14="","",I14+K14+L14)</f>
        <v/>
      </c>
      <c r="N14" s="36"/>
      <c r="O14" s="13"/>
      <c r="P14" s="36"/>
      <c r="Q14" s="38"/>
      <c r="R14" s="11"/>
      <c r="S14" s="11"/>
      <c r="T14" s="24"/>
      <c r="U14" s="24"/>
      <c r="V14" s="24"/>
    </row>
    <row r="15" customFormat="false" ht="15" hidden="false" customHeight="true" outlineLevel="0" collapsed="false">
      <c r="A15" s="11"/>
      <c r="B15" s="11"/>
      <c r="C15" s="11"/>
      <c r="D15" s="11"/>
      <c r="E15" s="11"/>
      <c r="F15" s="11"/>
      <c r="G15" s="11"/>
      <c r="H15" s="13"/>
      <c r="I15" s="36"/>
      <c r="J15" s="36"/>
      <c r="K15" s="36"/>
      <c r="L15" s="36"/>
      <c r="M15" s="26" t="str">
        <f aca="false">IF(A15="","",I15+K15+L15)</f>
        <v/>
      </c>
      <c r="N15" s="36"/>
      <c r="O15" s="13"/>
      <c r="P15" s="36"/>
      <c r="Q15" s="38"/>
      <c r="R15" s="11"/>
      <c r="S15" s="11"/>
      <c r="T15" s="24"/>
      <c r="U15" s="24"/>
      <c r="V15" s="24"/>
    </row>
    <row r="16" customFormat="false" ht="15" hidden="false" customHeight="true" outlineLevel="0" collapsed="false">
      <c r="M16" s="26" t="str">
        <f aca="false">IF(A16="","",I16+K16+L16)</f>
        <v/>
      </c>
    </row>
    <row r="17" customFormat="false" ht="15" hidden="false" customHeight="true" outlineLevel="0" collapsed="false">
      <c r="M17" s="26" t="str">
        <f aca="false">IF(A17="","",I17+K17+L17)</f>
        <v/>
      </c>
    </row>
    <row r="18" customFormat="false" ht="15" hidden="false" customHeight="true" outlineLevel="0" collapsed="false">
      <c r="M18" s="26" t="str">
        <f aca="false">IF(A18="","",I18+K18+L18)</f>
        <v/>
      </c>
    </row>
    <row r="19" customFormat="false" ht="15" hidden="false" customHeight="true" outlineLevel="0" collapsed="false">
      <c r="M19" s="26" t="str">
        <f aca="false">IF(A19="","",I19+K19+L19)</f>
        <v/>
      </c>
    </row>
    <row r="20" customFormat="false" ht="15" hidden="false" customHeight="true" outlineLevel="0" collapsed="false">
      <c r="M20" s="26" t="str">
        <f aca="false">IF(A20="","",I20+K20+L20)</f>
        <v/>
      </c>
    </row>
    <row r="21" customFormat="false" ht="15" hidden="false" customHeight="true" outlineLevel="0" collapsed="false">
      <c r="M21" s="26" t="str">
        <f aca="false">IF(A21="","",I21+K21+L21)</f>
        <v/>
      </c>
    </row>
    <row r="22" customFormat="false" ht="15" hidden="false" customHeight="true" outlineLevel="0" collapsed="false">
      <c r="M22" s="26" t="str">
        <f aca="false">IF(A22="","",I22+K22+L22)</f>
        <v/>
      </c>
    </row>
    <row r="23" customFormat="false" ht="15" hidden="false" customHeight="true" outlineLevel="0" collapsed="false">
      <c r="M23" s="26" t="str">
        <f aca="false">IF(A23="","",I23+K23+L23)</f>
        <v/>
      </c>
    </row>
    <row r="24" customFormat="false" ht="15" hidden="false" customHeight="true" outlineLevel="0" collapsed="false">
      <c r="M24" s="26" t="str">
        <f aca="false">IF(A24="","",I24+K24+L24)</f>
        <v/>
      </c>
    </row>
    <row r="25" customFormat="false" ht="15" hidden="false" customHeight="true" outlineLevel="0" collapsed="false">
      <c r="M25" s="26" t="str">
        <f aca="false">IF(A25="","",I25+K25+L25)</f>
        <v/>
      </c>
    </row>
    <row r="26" customFormat="false" ht="15" hidden="false" customHeight="true" outlineLevel="0" collapsed="false">
      <c r="M26" s="26" t="str">
        <f aca="false">IF(A26="","",I26+K26+L26)</f>
        <v/>
      </c>
    </row>
    <row r="27" customFormat="false" ht="15" hidden="false" customHeight="true" outlineLevel="0" collapsed="false">
      <c r="M27" s="26" t="str">
        <f aca="false">IF(A27="","",I27+K27+L27)</f>
        <v/>
      </c>
    </row>
    <row r="28" customFormat="false" ht="15" hidden="false" customHeight="true" outlineLevel="0" collapsed="false">
      <c r="M28" s="26" t="str">
        <f aca="false">IF(A28="","",I28+K28+L28)</f>
        <v/>
      </c>
    </row>
    <row r="29" customFormat="false" ht="15" hidden="false" customHeight="true" outlineLevel="0" collapsed="false">
      <c r="M29" s="26" t="str">
        <f aca="false">IF(A29="","",I29+K29+L29)</f>
        <v/>
      </c>
    </row>
    <row r="30" customFormat="false" ht="15" hidden="false" customHeight="true" outlineLevel="0" collapsed="false">
      <c r="M30" s="26" t="str">
        <f aca="false">IF(A30="","",I30+K30+L30)</f>
        <v/>
      </c>
    </row>
  </sheetData>
  <dataValidations count="2">
    <dataValidation allowBlank="true" errorStyle="stop" operator="between" showDropDown="false" showErrorMessage="false" showInputMessage="false" sqref="G5:G30" type="list">
      <formula1>lst_regimes</formula1>
      <formula2>0</formula2>
    </dataValidation>
    <dataValidation allowBlank="true" errorStyle="stop" operator="between" showDropDown="false" showErrorMessage="false" showInputMessage="false" sqref="F5:F30" type="list">
      <formula1>lst_types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2"/>
    <col collapsed="false" customWidth="true" hidden="false" outlineLevel="0" max="3" min="3" style="1" width="24"/>
    <col collapsed="false" customWidth="true" hidden="false" outlineLevel="0" max="4" min="4" style="1" width="28"/>
    <col collapsed="false" customWidth="true" hidden="false" outlineLevel="0" max="5" min="5" style="1" width="12"/>
    <col collapsed="false" customWidth="true" hidden="false" outlineLevel="0" max="6" min="6" style="1" width="80"/>
  </cols>
  <sheetData>
    <row r="1" customFormat="false" ht="19.5" hidden="false" customHeight="true" outlineLevel="0" collapsed="false">
      <c r="A1" s="2" t="s">
        <v>362</v>
      </c>
    </row>
    <row r="2" customFormat="false" ht="15" hidden="false" customHeight="true" outlineLevel="0" collapsed="false">
      <c r="A2" s="3" t="s">
        <v>363</v>
      </c>
    </row>
    <row r="4" customFormat="false" ht="30" hidden="false" customHeight="true" outlineLevel="0" collapsed="false">
      <c r="A4" s="16" t="s">
        <v>115</v>
      </c>
      <c r="B4" s="16" t="s">
        <v>118</v>
      </c>
      <c r="C4" s="16" t="s">
        <v>364</v>
      </c>
      <c r="D4" s="16" t="s">
        <v>365</v>
      </c>
      <c r="E4" s="16" t="s">
        <v>366</v>
      </c>
      <c r="F4" s="16" t="s">
        <v>367</v>
      </c>
    </row>
    <row r="5" customFormat="false" ht="15" hidden="false" customHeight="true" outlineLevel="0" collapsed="false">
      <c r="A5" s="39" t="s">
        <v>134</v>
      </c>
      <c r="B5" s="39" t="s">
        <v>368</v>
      </c>
      <c r="C5" s="39" t="s">
        <v>369</v>
      </c>
      <c r="D5" s="39" t="s">
        <v>370</v>
      </c>
      <c r="E5" s="39" t="n">
        <v>1</v>
      </c>
      <c r="F5" s="39" t="s">
        <v>371</v>
      </c>
    </row>
    <row r="6" customFormat="false" ht="15" hidden="false" customHeight="true" outlineLevel="0" collapsed="false">
      <c r="A6" s="39" t="s">
        <v>139</v>
      </c>
      <c r="B6" s="39" t="s">
        <v>368</v>
      </c>
      <c r="C6" s="39" t="s">
        <v>369</v>
      </c>
      <c r="D6" s="39" t="s">
        <v>372</v>
      </c>
      <c r="E6" s="39" t="n">
        <v>1</v>
      </c>
      <c r="F6" s="39" t="s">
        <v>373</v>
      </c>
    </row>
    <row r="7" customFormat="false" ht="15" hidden="false" customHeight="true" outlineLevel="0" collapsed="false">
      <c r="A7" s="39" t="s">
        <v>266</v>
      </c>
      <c r="B7" s="39" t="s">
        <v>368</v>
      </c>
      <c r="C7" s="39" t="s">
        <v>369</v>
      </c>
      <c r="D7" s="39" t="s">
        <v>372</v>
      </c>
      <c r="E7" s="39" t="n">
        <v>1</v>
      </c>
      <c r="F7" s="39" t="s">
        <v>374</v>
      </c>
    </row>
    <row r="8" customFormat="false" ht="15" hidden="false" customHeight="true" outlineLevel="0" collapsed="false">
      <c r="A8" s="39" t="s">
        <v>193</v>
      </c>
      <c r="B8" s="39" t="s">
        <v>368</v>
      </c>
      <c r="C8" s="39" t="s">
        <v>369</v>
      </c>
      <c r="D8" s="39" t="s">
        <v>372</v>
      </c>
      <c r="E8" s="39" t="n">
        <v>1</v>
      </c>
      <c r="F8" s="39" t="s">
        <v>375</v>
      </c>
    </row>
    <row r="9" customFormat="false" ht="15" hidden="false" customHeight="true" outlineLevel="0" collapsed="false">
      <c r="A9" s="39" t="s">
        <v>65</v>
      </c>
      <c r="B9" s="39" t="s">
        <v>368</v>
      </c>
      <c r="C9" s="39" t="s">
        <v>369</v>
      </c>
      <c r="D9" s="39" t="s">
        <v>65</v>
      </c>
      <c r="E9" s="39" t="n">
        <v>1</v>
      </c>
      <c r="F9" s="39" t="s">
        <v>376</v>
      </c>
    </row>
    <row r="10" customFormat="false" ht="15" hidden="false" customHeight="true" outlineLevel="0" collapsed="false">
      <c r="A10" s="39" t="s">
        <v>136</v>
      </c>
      <c r="B10" s="39" t="s">
        <v>377</v>
      </c>
      <c r="C10" s="39" t="s">
        <v>378</v>
      </c>
      <c r="D10" s="39" t="s">
        <v>379</v>
      </c>
      <c r="E10" s="39" t="n">
        <v>-1</v>
      </c>
      <c r="F10" s="39" t="s">
        <v>380</v>
      </c>
    </row>
    <row r="11" customFormat="false" ht="15" hidden="false" customHeight="true" outlineLevel="0" collapsed="false">
      <c r="A11" s="39" t="s">
        <v>127</v>
      </c>
      <c r="B11" s="39" t="s">
        <v>377</v>
      </c>
      <c r="C11" s="39" t="s">
        <v>378</v>
      </c>
      <c r="D11" s="39" t="s">
        <v>379</v>
      </c>
      <c r="E11" s="39" t="n">
        <v>-1</v>
      </c>
      <c r="F11" s="39" t="s">
        <v>381</v>
      </c>
    </row>
    <row r="12" customFormat="false" ht="15" hidden="false" customHeight="true" outlineLevel="0" collapsed="false">
      <c r="A12" s="39" t="s">
        <v>158</v>
      </c>
      <c r="B12" s="39" t="s">
        <v>377</v>
      </c>
      <c r="C12" s="39" t="s">
        <v>378</v>
      </c>
      <c r="D12" s="39" t="s">
        <v>379</v>
      </c>
      <c r="E12" s="39" t="n">
        <v>-1</v>
      </c>
      <c r="F12" s="39" t="s">
        <v>382</v>
      </c>
    </row>
    <row r="13" customFormat="false" ht="15" hidden="false" customHeight="true" outlineLevel="0" collapsed="false">
      <c r="A13" s="39" t="s">
        <v>233</v>
      </c>
      <c r="B13" s="39" t="s">
        <v>377</v>
      </c>
      <c r="C13" s="39" t="s">
        <v>378</v>
      </c>
      <c r="D13" s="39" t="s">
        <v>379</v>
      </c>
      <c r="E13" s="39" t="n">
        <v>-1</v>
      </c>
      <c r="F13" s="39" t="s">
        <v>383</v>
      </c>
    </row>
    <row r="14" customFormat="false" ht="15" hidden="false" customHeight="true" outlineLevel="0" collapsed="false">
      <c r="A14" s="39" t="s">
        <v>180</v>
      </c>
      <c r="B14" s="39" t="s">
        <v>377</v>
      </c>
      <c r="C14" s="39" t="s">
        <v>378</v>
      </c>
      <c r="D14" s="39" t="s">
        <v>68</v>
      </c>
      <c r="E14" s="39" t="n">
        <v>-1</v>
      </c>
      <c r="F14" s="39" t="s">
        <v>384</v>
      </c>
    </row>
    <row r="15" customFormat="false" ht="15" hidden="false" customHeight="true" outlineLevel="0" collapsed="false">
      <c r="A15" s="39" t="s">
        <v>204</v>
      </c>
      <c r="B15" s="39" t="s">
        <v>377</v>
      </c>
      <c r="C15" s="39" t="s">
        <v>378</v>
      </c>
      <c r="D15" s="39" t="s">
        <v>69</v>
      </c>
      <c r="E15" s="39" t="n">
        <v>-1</v>
      </c>
      <c r="F15" s="39" t="s">
        <v>385</v>
      </c>
    </row>
    <row r="16" customFormat="false" ht="15" hidden="false" customHeight="true" outlineLevel="0" collapsed="false">
      <c r="A16" s="39" t="s">
        <v>190</v>
      </c>
      <c r="B16" s="39" t="s">
        <v>377</v>
      </c>
      <c r="C16" s="39" t="s">
        <v>378</v>
      </c>
      <c r="D16" s="39" t="s">
        <v>70</v>
      </c>
      <c r="E16" s="39" t="n">
        <v>-1</v>
      </c>
      <c r="F16" s="39" t="s">
        <v>386</v>
      </c>
    </row>
    <row r="17" customFormat="false" ht="15" hidden="false" customHeight="true" outlineLevel="0" collapsed="false">
      <c r="A17" s="39" t="s">
        <v>299</v>
      </c>
      <c r="B17" s="39" t="s">
        <v>377</v>
      </c>
      <c r="C17" s="39" t="s">
        <v>378</v>
      </c>
      <c r="D17" s="39" t="s">
        <v>70</v>
      </c>
      <c r="E17" s="39" t="n">
        <v>-1</v>
      </c>
      <c r="F17" s="39" t="s">
        <v>387</v>
      </c>
    </row>
    <row r="18" customFormat="false" ht="15" hidden="false" customHeight="true" outlineLevel="0" collapsed="false">
      <c r="A18" s="39" t="s">
        <v>161</v>
      </c>
      <c r="B18" s="39" t="s">
        <v>377</v>
      </c>
      <c r="C18" s="39" t="s">
        <v>378</v>
      </c>
      <c r="D18" s="39" t="s">
        <v>71</v>
      </c>
      <c r="E18" s="39" t="n">
        <v>-1</v>
      </c>
      <c r="F18" s="39" t="s">
        <v>388</v>
      </c>
    </row>
    <row r="19" customFormat="false" ht="15" hidden="false" customHeight="true" outlineLevel="0" collapsed="false">
      <c r="A19" s="39" t="s">
        <v>173</v>
      </c>
      <c r="B19" s="39" t="s">
        <v>377</v>
      </c>
      <c r="C19" s="39" t="s">
        <v>378</v>
      </c>
      <c r="D19" s="39" t="s">
        <v>71</v>
      </c>
      <c r="E19" s="39" t="n">
        <v>-1</v>
      </c>
      <c r="F19" s="39" t="s">
        <v>389</v>
      </c>
    </row>
    <row r="20" customFormat="false" ht="15" hidden="false" customHeight="true" outlineLevel="0" collapsed="false">
      <c r="A20" s="39" t="s">
        <v>390</v>
      </c>
      <c r="B20" s="39" t="s">
        <v>377</v>
      </c>
      <c r="C20" s="39" t="s">
        <v>378</v>
      </c>
      <c r="D20" s="39" t="s">
        <v>72</v>
      </c>
      <c r="E20" s="39" t="n">
        <v>-1</v>
      </c>
      <c r="F20" s="39" t="s">
        <v>391</v>
      </c>
    </row>
    <row r="21" customFormat="false" ht="15" hidden="false" customHeight="true" outlineLevel="0" collapsed="false">
      <c r="A21" s="39" t="s">
        <v>72</v>
      </c>
      <c r="B21" s="39" t="s">
        <v>377</v>
      </c>
      <c r="C21" s="39" t="s">
        <v>378</v>
      </c>
      <c r="D21" s="39" t="s">
        <v>72</v>
      </c>
      <c r="E21" s="39" t="n">
        <v>-1</v>
      </c>
      <c r="F21" s="39" t="s">
        <v>392</v>
      </c>
    </row>
    <row r="22" customFormat="false" ht="15" hidden="false" customHeight="true" outlineLevel="0" collapsed="false">
      <c r="A22" s="39" t="s">
        <v>170</v>
      </c>
      <c r="B22" s="39" t="s">
        <v>377</v>
      </c>
      <c r="C22" s="39" t="s">
        <v>393</v>
      </c>
      <c r="D22" s="39" t="s">
        <v>394</v>
      </c>
      <c r="E22" s="39" t="n">
        <v>-1</v>
      </c>
      <c r="F22" s="39" t="s">
        <v>395</v>
      </c>
    </row>
    <row r="23" customFormat="false" ht="15" hidden="false" customHeight="true" outlineLevel="0" collapsed="false">
      <c r="A23" s="39" t="s">
        <v>396</v>
      </c>
      <c r="B23" s="39" t="s">
        <v>377</v>
      </c>
      <c r="C23" s="39" t="s">
        <v>393</v>
      </c>
      <c r="D23" s="39" t="s">
        <v>394</v>
      </c>
      <c r="E23" s="39" t="n">
        <v>-1</v>
      </c>
      <c r="F23" s="39" t="s">
        <v>397</v>
      </c>
    </row>
    <row r="24" customFormat="false" ht="15" hidden="false" customHeight="true" outlineLevel="0" collapsed="false">
      <c r="A24" s="39" t="s">
        <v>153</v>
      </c>
      <c r="B24" s="39" t="s">
        <v>377</v>
      </c>
      <c r="C24" s="39" t="s">
        <v>398</v>
      </c>
      <c r="D24" s="39" t="s">
        <v>153</v>
      </c>
      <c r="E24" s="39" t="n">
        <v>-1</v>
      </c>
      <c r="F24" s="39" t="s">
        <v>399</v>
      </c>
    </row>
    <row r="25" customFormat="false" ht="15" hidden="false" customHeight="true" outlineLevel="0" collapsed="false">
      <c r="A25" s="39" t="s">
        <v>228</v>
      </c>
      <c r="B25" s="39" t="s">
        <v>400</v>
      </c>
      <c r="C25" s="39" t="s">
        <v>401</v>
      </c>
      <c r="D25" s="39" t="s">
        <v>402</v>
      </c>
      <c r="E25" s="39" t="n">
        <v>1</v>
      </c>
      <c r="F25" s="39" t="s">
        <v>403</v>
      </c>
    </row>
    <row r="26" customFormat="false" ht="15" hidden="false" customHeight="true" outlineLevel="0" collapsed="false">
      <c r="A26" s="39" t="s">
        <v>168</v>
      </c>
      <c r="B26" s="39" t="s">
        <v>400</v>
      </c>
      <c r="C26" s="39" t="s">
        <v>401</v>
      </c>
      <c r="D26" s="39" t="s">
        <v>402</v>
      </c>
      <c r="E26" s="39" t="n">
        <v>-1</v>
      </c>
      <c r="F26" s="39" t="s">
        <v>404</v>
      </c>
    </row>
    <row r="27" customFormat="false" ht="15" hidden="false" customHeight="true" outlineLevel="0" collapsed="false">
      <c r="A27" s="39" t="s">
        <v>146</v>
      </c>
      <c r="B27" s="39" t="s">
        <v>405</v>
      </c>
      <c r="C27" s="39" t="s">
        <v>401</v>
      </c>
      <c r="D27" s="39" t="s">
        <v>354</v>
      </c>
      <c r="E27" s="39" t="n">
        <v>1</v>
      </c>
      <c r="F27" s="39" t="s">
        <v>406</v>
      </c>
    </row>
    <row r="28" customFormat="false" ht="15" hidden="false" customHeight="true" outlineLevel="0" collapsed="false">
      <c r="A28" s="39" t="s">
        <v>143</v>
      </c>
      <c r="B28" s="39" t="s">
        <v>405</v>
      </c>
      <c r="C28" s="39" t="s">
        <v>401</v>
      </c>
      <c r="D28" s="39" t="s">
        <v>354</v>
      </c>
      <c r="E28" s="39" t="n">
        <v>-1</v>
      </c>
      <c r="F28" s="39" t="s">
        <v>407</v>
      </c>
    </row>
  </sheetData>
  <dataValidations count="2">
    <dataValidation allowBlank="true" errorStyle="stop" operator="between" showDropDown="false" showErrorMessage="false" showInputMessage="false" sqref="B5:B60" type="list">
      <formula1>Listes!$D$5:$D$20</formula1>
      <formula2>0</formula2>
    </dataValidation>
    <dataValidation allowBlank="true" errorStyle="stop" operator="between" showDropDown="false" showErrorMessage="false" showInputMessage="false" sqref="C5:C60" type="list">
      <formula1>Listes!$E$5:$E$20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8"/>
    <col collapsed="false" customWidth="true" hidden="false" outlineLevel="0" max="4" min="4" style="1" width="34"/>
    <col collapsed="false" customWidth="true" hidden="false" outlineLevel="0" max="5" min="5" style="1" width="14"/>
    <col collapsed="false" customWidth="true" hidden="false" outlineLevel="0" max="6" min="6" style="1" width="12"/>
    <col collapsed="false" customWidth="true" hidden="false" outlineLevel="0" max="7" min="7" style="1" width="10"/>
    <col collapsed="false" customWidth="true" hidden="false" outlineLevel="0" max="8" min="8" style="1" width="12"/>
    <col collapsed="false" customWidth="true" hidden="false" outlineLevel="0" max="9" min="9" style="1" width="13"/>
    <col collapsed="false" customWidth="true" hidden="false" outlineLevel="0" max="10" min="10" style="1" width="12"/>
    <col collapsed="false" customWidth="true" hidden="false" outlineLevel="0" max="11" min="11" style="1" width="18"/>
  </cols>
  <sheetData>
    <row r="1" customFormat="false" ht="19.5" hidden="false" customHeight="true" outlineLevel="0" collapsed="false">
      <c r="A1" s="2" t="s">
        <v>408</v>
      </c>
    </row>
    <row r="2" customFormat="false" ht="15" hidden="false" customHeight="true" outlineLevel="0" collapsed="false">
      <c r="A2" s="3" t="s">
        <v>409</v>
      </c>
    </row>
    <row r="4" customFormat="false" ht="30" hidden="false" customHeight="true" outlineLevel="0" collapsed="false">
      <c r="A4" s="16" t="s">
        <v>334</v>
      </c>
      <c r="B4" s="16" t="s">
        <v>57</v>
      </c>
      <c r="C4" s="16" t="s">
        <v>148</v>
      </c>
      <c r="D4" s="16" t="s">
        <v>116</v>
      </c>
      <c r="E4" s="16" t="s">
        <v>410</v>
      </c>
      <c r="F4" s="16" t="s">
        <v>411</v>
      </c>
      <c r="G4" s="16" t="s">
        <v>412</v>
      </c>
      <c r="H4" s="16" t="s">
        <v>413</v>
      </c>
      <c r="I4" s="16" t="s">
        <v>414</v>
      </c>
      <c r="J4" s="16" t="s">
        <v>415</v>
      </c>
      <c r="K4" s="16" t="s">
        <v>416</v>
      </c>
    </row>
    <row r="5" customFormat="false" ht="15" hidden="false" customHeight="true" outlineLevel="0" collapsed="false">
      <c r="A5" s="11" t="s">
        <v>417</v>
      </c>
      <c r="B5" s="11" t="s">
        <v>58</v>
      </c>
      <c r="C5" s="11" t="s">
        <v>418</v>
      </c>
      <c r="D5" s="11" t="s">
        <v>419</v>
      </c>
      <c r="E5" s="36" t="n">
        <v>170190</v>
      </c>
      <c r="F5" s="40" t="n">
        <v>0.015</v>
      </c>
      <c r="G5" s="41" t="n">
        <v>240</v>
      </c>
      <c r="H5" s="13" t="n">
        <v>43074</v>
      </c>
      <c r="I5" s="13" t="n">
        <v>50349</v>
      </c>
      <c r="J5" s="24" t="n">
        <v>20.08</v>
      </c>
      <c r="K5" s="21" t="n">
        <f aca="false">IF(A5="","",E5-SUMIFS(Échéancier!$F$5:$F$300,Échéancier!$A$5:$A$300,A5,Échéancier!$C$5:$C$300,"&lt;="&amp;Synthèse!$C$4))</f>
        <v>100571</v>
      </c>
    </row>
    <row r="6" customFormat="false" ht="15" hidden="false" customHeight="true" outlineLevel="0" collapsed="false">
      <c r="K6" s="21" t="str">
        <f aca="false">IF(A6="","",E6-SUMIFS(Échéancier!$F$5:$F$300,Échéancier!$A$5:$A$300,A6,Échéancier!$C$5:$C$300,"&lt;="&amp;Synthèse!$C$4))</f>
        <v/>
      </c>
    </row>
    <row r="7" customFormat="false" ht="15" hidden="false" customHeight="true" outlineLevel="0" collapsed="false">
      <c r="K7" s="21" t="str">
        <f aca="false">IF(A7="","",E7-SUMIFS(Échéancier!$F$5:$F$300,Échéancier!$A$5:$A$300,A7,Échéancier!$C$5:$C$300,"&lt;="&amp;Synthèse!$C$4))</f>
        <v/>
      </c>
    </row>
    <row r="8" customFormat="false" ht="15" hidden="false" customHeight="true" outlineLevel="0" collapsed="false">
      <c r="K8" s="21" t="str">
        <f aca="false">IF(A8="","",E8-SUMIFS(Échéancier!$F$5:$F$300,Échéancier!$A$5:$A$300,A8,Échéancier!$C$5:$C$300,"&lt;="&amp;Synthèse!$C$4))</f>
        <v/>
      </c>
    </row>
    <row r="9" customFormat="false" ht="15" hidden="false" customHeight="true" outlineLevel="0" collapsed="false">
      <c r="K9" s="21" t="str">
        <f aca="false">IF(A9="","",E9-SUMIFS(Échéancier!$F$5:$F$300,Échéancier!$A$5:$A$300,A9,Échéancier!$C$5:$C$300,"&lt;="&amp;Synthèse!$C$4))</f>
        <v/>
      </c>
    </row>
    <row r="10" customFormat="false" ht="15" hidden="false" customHeight="true" outlineLevel="0" collapsed="false">
      <c r="K10" s="21" t="str">
        <f aca="false">IF(A10="","",E10-SUMIFS(Échéancier!$F$5:$F$300,Échéancier!$A$5:$A$300,A10,Échéancier!$C$5:$C$300,"&lt;="&amp;Synthèse!$C$4))</f>
        <v/>
      </c>
    </row>
    <row r="11" customFormat="false" ht="15" hidden="false" customHeight="true" outlineLevel="0" collapsed="false">
      <c r="K11" s="21" t="str">
        <f aca="false">IF(A11="","",E11-SUMIFS(Échéancier!$F$5:$F$300,Échéancier!$A$5:$A$300,A11,Échéancier!$C$5:$C$300,"&lt;="&amp;Synthèse!$C$4))</f>
        <v/>
      </c>
    </row>
    <row r="12" customFormat="false" ht="15" hidden="false" customHeight="true" outlineLevel="0" collapsed="false">
      <c r="K12" s="21" t="str">
        <f aca="false">IF(A12="","",E12-SUMIFS(Échéancier!$F$5:$F$300,Échéancier!$A$5:$A$300,A12,Échéancier!$C$5:$C$300,"&lt;="&amp;Synthèse!$C$4))</f>
        <v/>
      </c>
    </row>
    <row r="13" customFormat="false" ht="15" hidden="false" customHeight="true" outlineLevel="0" collapsed="false">
      <c r="K13" s="21" t="str">
        <f aca="false">IF(A13="","",E13-SUMIFS(Échéancier!$F$5:$F$300,Échéancier!$A$5:$A$300,A13,Échéancier!$C$5:$C$300,"&lt;="&amp;Synthèse!$C$4))</f>
        <v/>
      </c>
    </row>
    <row r="14" customFormat="false" ht="15" hidden="false" customHeight="true" outlineLevel="0" collapsed="false">
      <c r="K14" s="21" t="str">
        <f aca="false">IF(A14="","",E14-SUMIFS(Échéancier!$F$5:$F$300,Échéancier!$A$5:$A$300,A14,Échéancier!$C$5:$C$300,"&lt;="&amp;Synthèse!$C$4))</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K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6"/>
    <col collapsed="false" customWidth="true" hidden="false" outlineLevel="0" max="3" min="3" style="1" width="11"/>
    <col collapsed="false" customWidth="true" hidden="false" outlineLevel="0" max="4" min="4" style="1" width="7"/>
    <col collapsed="false" customWidth="true" hidden="false" outlineLevel="0" max="5" min="5" style="1" width="16"/>
    <col collapsed="false" customWidth="true" hidden="false" outlineLevel="0" max="8" min="6" style="1" width="11"/>
    <col collapsed="false" customWidth="true" hidden="false" outlineLevel="0" max="9" min="9" style="1" width="13"/>
    <col collapsed="false" customWidth="true" hidden="false" outlineLevel="0" max="10" min="10" style="1" width="12"/>
    <col collapsed="false" customWidth="true" hidden="false" outlineLevel="0" max="11" min="11" style="1" width="10"/>
  </cols>
  <sheetData>
    <row r="1" customFormat="false" ht="19.5" hidden="false" customHeight="true" outlineLevel="0" collapsed="false">
      <c r="A1" s="2" t="s">
        <v>420</v>
      </c>
    </row>
    <row r="2" customFormat="false" ht="15" hidden="false" customHeight="true" outlineLevel="0" collapsed="false">
      <c r="A2" s="3" t="s">
        <v>421</v>
      </c>
    </row>
    <row r="4" customFormat="false" ht="30" hidden="false" customHeight="true" outlineLevel="0" collapsed="false">
      <c r="A4" s="16" t="s">
        <v>31</v>
      </c>
      <c r="B4" s="16" t="s">
        <v>422</v>
      </c>
      <c r="C4" s="16" t="s">
        <v>112</v>
      </c>
      <c r="D4" s="16" t="s">
        <v>113</v>
      </c>
      <c r="E4" s="16" t="s">
        <v>423</v>
      </c>
      <c r="F4" s="16" t="s">
        <v>424</v>
      </c>
      <c r="G4" s="16" t="s">
        <v>425</v>
      </c>
      <c r="H4" s="16" t="s">
        <v>426</v>
      </c>
      <c r="I4" s="16" t="s">
        <v>427</v>
      </c>
      <c r="J4" s="16" t="s">
        <v>57</v>
      </c>
      <c r="K4" s="16" t="s">
        <v>428</v>
      </c>
    </row>
    <row r="5" customFormat="false" ht="15" hidden="false" customHeight="true" outlineLevel="0" collapsed="false">
      <c r="A5" s="30" t="s">
        <v>417</v>
      </c>
      <c r="B5" s="30" t="n">
        <v>1</v>
      </c>
      <c r="C5" s="28" t="n">
        <v>43074</v>
      </c>
      <c r="D5" s="29" t="n">
        <f aca="false">IF(C5="","",YEAR(C5))</f>
        <v>2017</v>
      </c>
      <c r="E5" s="31" t="n">
        <v>170190</v>
      </c>
      <c r="F5" s="31" t="n">
        <v>608.51</v>
      </c>
      <c r="G5" s="31" t="n">
        <v>196.31</v>
      </c>
      <c r="H5" s="31" t="n">
        <v>18.75</v>
      </c>
      <c r="I5" s="33" t="n">
        <f aca="false">IF(C5="","",F5+G5+H5)</f>
        <v>823.57</v>
      </c>
      <c r="J5" s="32" t="str">
        <f aca="false">IF(A5="","",IFERROR(INDEX(Prêts!$B$5:$B$14,MATCH(A5,Prêts!$A$5:$A$14,0)),"?"))</f>
        <v>APPART-01</v>
      </c>
      <c r="K5" s="32" t="n">
        <f aca="false">IF(A5="",0,IF(C5&gt;=IFERROR(INDEX(Biens!$O$5:$O$30,MATCH(J5,Biens!$A$5:$A$30,0)),99999),1,0))</f>
        <v>0</v>
      </c>
    </row>
    <row r="6" customFormat="false" ht="15" hidden="false" customHeight="true" outlineLevel="0" collapsed="false">
      <c r="A6" s="30" t="s">
        <v>417</v>
      </c>
      <c r="B6" s="30" t="n">
        <v>2</v>
      </c>
      <c r="C6" s="28" t="n">
        <v>43105</v>
      </c>
      <c r="D6" s="29" t="n">
        <f aca="false">IF(C6="","",YEAR(C6))</f>
        <v>2018</v>
      </c>
      <c r="E6" s="31" t="n">
        <v>169581.49</v>
      </c>
      <c r="F6" s="31" t="n">
        <v>609.27</v>
      </c>
      <c r="G6" s="31" t="n">
        <v>211.97</v>
      </c>
      <c r="H6" s="31" t="n">
        <v>20.08</v>
      </c>
      <c r="I6" s="33" t="n">
        <f aca="false">IF(C6="","",F6+G6+H6)</f>
        <v>841.32</v>
      </c>
      <c r="J6" s="32" t="str">
        <f aca="false">IF(A6="","",IFERROR(INDEX(Prêts!$B$5:$B$14,MATCH(A6,Prêts!$A$5:$A$14,0)),"?"))</f>
        <v>APPART-01</v>
      </c>
      <c r="K6" s="32" t="n">
        <f aca="false">IF(A6="",0,IF(C6&gt;=IFERROR(INDEX(Biens!$O$5:$O$30,MATCH(J6,Biens!$A$5:$A$30,0)),99999),1,0))</f>
        <v>0</v>
      </c>
    </row>
    <row r="7" customFormat="false" ht="15" hidden="false" customHeight="true" outlineLevel="0" collapsed="false">
      <c r="A7" s="30" t="s">
        <v>417</v>
      </c>
      <c r="B7" s="30" t="n">
        <v>3</v>
      </c>
      <c r="C7" s="28" t="n">
        <v>43136</v>
      </c>
      <c r="D7" s="29" t="n">
        <f aca="false">IF(C7="","",YEAR(C7))</f>
        <v>2018</v>
      </c>
      <c r="E7" s="31" t="n">
        <v>168972.22</v>
      </c>
      <c r="F7" s="31" t="n">
        <v>610.03</v>
      </c>
      <c r="G7" s="31" t="n">
        <v>211.21</v>
      </c>
      <c r="H7" s="31" t="n">
        <v>20.08</v>
      </c>
      <c r="I7" s="33" t="n">
        <f aca="false">IF(C7="","",F7+G7+H7)</f>
        <v>841.32</v>
      </c>
      <c r="J7" s="32" t="str">
        <f aca="false">IF(A7="","",IFERROR(INDEX(Prêts!$B$5:$B$14,MATCH(A7,Prêts!$A$5:$A$14,0)),"?"))</f>
        <v>APPART-01</v>
      </c>
      <c r="K7" s="32" t="n">
        <f aca="false">IF(A7="",0,IF(C7&gt;=IFERROR(INDEX(Biens!$O$5:$O$30,MATCH(J7,Biens!$A$5:$A$30,0)),99999),1,0))</f>
        <v>0</v>
      </c>
    </row>
    <row r="8" customFormat="false" ht="15" hidden="false" customHeight="true" outlineLevel="0" collapsed="false">
      <c r="A8" s="30" t="s">
        <v>417</v>
      </c>
      <c r="B8" s="30" t="n">
        <v>4</v>
      </c>
      <c r="C8" s="28" t="n">
        <v>43164</v>
      </c>
      <c r="D8" s="29" t="n">
        <f aca="false">IF(C8="","",YEAR(C8))</f>
        <v>2018</v>
      </c>
      <c r="E8" s="31" t="n">
        <v>168362.19</v>
      </c>
      <c r="F8" s="31" t="n">
        <v>610.8</v>
      </c>
      <c r="G8" s="31" t="n">
        <v>210.45</v>
      </c>
      <c r="H8" s="31" t="n">
        <v>20.08</v>
      </c>
      <c r="I8" s="33" t="n">
        <f aca="false">IF(C8="","",F8+G8+H8)</f>
        <v>841.33</v>
      </c>
      <c r="J8" s="32" t="str">
        <f aca="false">IF(A8="","",IFERROR(INDEX(Prêts!$B$5:$B$14,MATCH(A8,Prêts!$A$5:$A$14,0)),"?"))</f>
        <v>APPART-01</v>
      </c>
      <c r="K8" s="32" t="n">
        <f aca="false">IF(A8="",0,IF(C8&gt;=IFERROR(INDEX(Biens!$O$5:$O$30,MATCH(J8,Biens!$A$5:$A$30,0)),99999),1,0))</f>
        <v>0</v>
      </c>
    </row>
    <row r="9" customFormat="false" ht="15" hidden="false" customHeight="true" outlineLevel="0" collapsed="false">
      <c r="A9" s="30" t="s">
        <v>417</v>
      </c>
      <c r="B9" s="30" t="n">
        <v>5</v>
      </c>
      <c r="C9" s="28" t="n">
        <v>43195</v>
      </c>
      <c r="D9" s="29" t="n">
        <f aca="false">IF(C9="","",YEAR(C9))</f>
        <v>2018</v>
      </c>
      <c r="E9" s="31" t="n">
        <v>167751.39</v>
      </c>
      <c r="F9" s="31" t="n">
        <v>611.56</v>
      </c>
      <c r="G9" s="31" t="n">
        <v>209.69</v>
      </c>
      <c r="H9" s="31" t="n">
        <v>20.08</v>
      </c>
      <c r="I9" s="33" t="n">
        <f aca="false">IF(C9="","",F9+G9+H9)</f>
        <v>841.33</v>
      </c>
      <c r="J9" s="32" t="str">
        <f aca="false">IF(A9="","",IFERROR(INDEX(Prêts!$B$5:$B$14,MATCH(A9,Prêts!$A$5:$A$14,0)),"?"))</f>
        <v>APPART-01</v>
      </c>
      <c r="K9" s="32" t="n">
        <f aca="false">IF(A9="",0,IF(C9&gt;=IFERROR(INDEX(Biens!$O$5:$O$30,MATCH(J9,Biens!$A$5:$A$30,0)),99999),1,0))</f>
        <v>0</v>
      </c>
    </row>
    <row r="10" customFormat="false" ht="15" hidden="false" customHeight="true" outlineLevel="0" collapsed="false">
      <c r="A10" s="30" t="s">
        <v>417</v>
      </c>
      <c r="B10" s="30" t="n">
        <v>6</v>
      </c>
      <c r="C10" s="28" t="n">
        <v>43225</v>
      </c>
      <c r="D10" s="29" t="n">
        <f aca="false">IF(C10="","",YEAR(C10))</f>
        <v>2018</v>
      </c>
      <c r="E10" s="31" t="n">
        <v>167139.83</v>
      </c>
      <c r="F10" s="31" t="n">
        <v>612.32</v>
      </c>
      <c r="G10" s="31" t="n">
        <v>208.92</v>
      </c>
      <c r="H10" s="31" t="n">
        <v>20.08</v>
      </c>
      <c r="I10" s="33" t="n">
        <f aca="false">IF(C10="","",F10+G10+H10)</f>
        <v>841.32</v>
      </c>
      <c r="J10" s="32" t="str">
        <f aca="false">IF(A10="","",IFERROR(INDEX(Prêts!$B$5:$B$14,MATCH(A10,Prêts!$A$5:$A$14,0)),"?"))</f>
        <v>APPART-01</v>
      </c>
      <c r="K10" s="32" t="n">
        <f aca="false">IF(A10="",0,IF(C10&gt;=IFERROR(INDEX(Biens!$O$5:$O$30,MATCH(J10,Biens!$A$5:$A$30,0)),99999),1,0))</f>
        <v>0</v>
      </c>
    </row>
    <row r="11" customFormat="false" ht="15" hidden="false" customHeight="true" outlineLevel="0" collapsed="false">
      <c r="A11" s="30" t="s">
        <v>417</v>
      </c>
      <c r="B11" s="30" t="n">
        <v>7</v>
      </c>
      <c r="C11" s="28" t="n">
        <v>43256</v>
      </c>
      <c r="D11" s="29" t="n">
        <f aca="false">IF(C11="","",YEAR(C11))</f>
        <v>2018</v>
      </c>
      <c r="E11" s="31" t="n">
        <v>166527.51</v>
      </c>
      <c r="F11" s="31" t="n">
        <v>613.08</v>
      </c>
      <c r="G11" s="31" t="n">
        <v>208.16</v>
      </c>
      <c r="H11" s="31" t="n">
        <v>20.08</v>
      </c>
      <c r="I11" s="33" t="n">
        <f aca="false">IF(C11="","",F11+G11+H11)</f>
        <v>841.32</v>
      </c>
      <c r="J11" s="32" t="str">
        <f aca="false">IF(A11="","",IFERROR(INDEX(Prêts!$B$5:$B$14,MATCH(A11,Prêts!$A$5:$A$14,0)),"?"))</f>
        <v>APPART-01</v>
      </c>
      <c r="K11" s="32" t="n">
        <f aca="false">IF(A11="",0,IF(C11&gt;=IFERROR(INDEX(Biens!$O$5:$O$30,MATCH(J11,Biens!$A$5:$A$30,0)),99999),1,0))</f>
        <v>0</v>
      </c>
    </row>
    <row r="12" customFormat="false" ht="15" hidden="false" customHeight="true" outlineLevel="0" collapsed="false">
      <c r="A12" s="30" t="s">
        <v>417</v>
      </c>
      <c r="B12" s="30" t="n">
        <v>8</v>
      </c>
      <c r="C12" s="28" t="n">
        <v>43286</v>
      </c>
      <c r="D12" s="29" t="n">
        <f aca="false">IF(C12="","",YEAR(C12))</f>
        <v>2018</v>
      </c>
      <c r="E12" s="31" t="n">
        <v>165914.43</v>
      </c>
      <c r="F12" s="31" t="n">
        <v>613.86</v>
      </c>
      <c r="G12" s="31" t="n">
        <v>207.39</v>
      </c>
      <c r="H12" s="31" t="n">
        <v>20.08</v>
      </c>
      <c r="I12" s="33" t="n">
        <f aca="false">IF(C12="","",F12+G12+H12)</f>
        <v>841.33</v>
      </c>
      <c r="J12" s="32" t="str">
        <f aca="false">IF(A12="","",IFERROR(INDEX(Prêts!$B$5:$B$14,MATCH(A12,Prêts!$A$5:$A$14,0)),"?"))</f>
        <v>APPART-01</v>
      </c>
      <c r="K12" s="32" t="n">
        <f aca="false">IF(A12="",0,IF(C12&gt;=IFERROR(INDEX(Biens!$O$5:$O$30,MATCH(J12,Biens!$A$5:$A$30,0)),99999),1,0))</f>
        <v>0</v>
      </c>
    </row>
    <row r="13" customFormat="false" ht="15" hidden="false" customHeight="true" outlineLevel="0" collapsed="false">
      <c r="A13" s="30" t="s">
        <v>417</v>
      </c>
      <c r="B13" s="30" t="n">
        <v>9</v>
      </c>
      <c r="C13" s="28" t="n">
        <v>43317</v>
      </c>
      <c r="D13" s="29" t="n">
        <f aca="false">IF(C13="","",YEAR(C13))</f>
        <v>2018</v>
      </c>
      <c r="E13" s="31" t="n">
        <v>165300.57</v>
      </c>
      <c r="F13" s="31" t="n">
        <v>614.62</v>
      </c>
      <c r="G13" s="31" t="n">
        <v>206.63</v>
      </c>
      <c r="H13" s="31" t="n">
        <v>20.08</v>
      </c>
      <c r="I13" s="33" t="n">
        <f aca="false">IF(C13="","",F13+G13+H13)</f>
        <v>841.33</v>
      </c>
      <c r="J13" s="32" t="str">
        <f aca="false">IF(A13="","",IFERROR(INDEX(Prêts!$B$5:$B$14,MATCH(A13,Prêts!$A$5:$A$14,0)),"?"))</f>
        <v>APPART-01</v>
      </c>
      <c r="K13" s="32" t="n">
        <f aca="false">IF(A13="",0,IF(C13&gt;=IFERROR(INDEX(Biens!$O$5:$O$30,MATCH(J13,Biens!$A$5:$A$30,0)),99999),1,0))</f>
        <v>0</v>
      </c>
    </row>
    <row r="14" customFormat="false" ht="15" hidden="false" customHeight="true" outlineLevel="0" collapsed="false">
      <c r="A14" s="30" t="s">
        <v>417</v>
      </c>
      <c r="B14" s="30" t="n">
        <v>10</v>
      </c>
      <c r="C14" s="28" t="n">
        <v>43348</v>
      </c>
      <c r="D14" s="29" t="n">
        <f aca="false">IF(C14="","",YEAR(C14))</f>
        <v>2018</v>
      </c>
      <c r="E14" s="31" t="n">
        <v>164685.95</v>
      </c>
      <c r="F14" s="31" t="n">
        <v>615.39</v>
      </c>
      <c r="G14" s="31" t="n">
        <v>205.86</v>
      </c>
      <c r="H14" s="31" t="n">
        <v>20.08</v>
      </c>
      <c r="I14" s="33" t="n">
        <f aca="false">IF(C14="","",F14+G14+H14)</f>
        <v>841.33</v>
      </c>
      <c r="J14" s="32" t="str">
        <f aca="false">IF(A14="","",IFERROR(INDEX(Prêts!$B$5:$B$14,MATCH(A14,Prêts!$A$5:$A$14,0)),"?"))</f>
        <v>APPART-01</v>
      </c>
      <c r="K14" s="32" t="n">
        <f aca="false">IF(A14="",0,IF(C14&gt;=IFERROR(INDEX(Biens!$O$5:$O$30,MATCH(J14,Biens!$A$5:$A$30,0)),99999),1,0))</f>
        <v>0</v>
      </c>
    </row>
    <row r="15" customFormat="false" ht="15" hidden="false" customHeight="true" outlineLevel="0" collapsed="false">
      <c r="A15" s="30" t="s">
        <v>417</v>
      </c>
      <c r="B15" s="30" t="n">
        <v>11</v>
      </c>
      <c r="C15" s="28" t="n">
        <v>43378</v>
      </c>
      <c r="D15" s="29" t="n">
        <f aca="false">IF(C15="","",YEAR(C15))</f>
        <v>2018</v>
      </c>
      <c r="E15" s="31" t="n">
        <v>164070.56</v>
      </c>
      <c r="F15" s="31" t="n">
        <v>616.16</v>
      </c>
      <c r="G15" s="31" t="n">
        <v>205.08</v>
      </c>
      <c r="H15" s="31" t="n">
        <v>20.08</v>
      </c>
      <c r="I15" s="33" t="n">
        <f aca="false">IF(C15="","",F15+G15+H15)</f>
        <v>841.32</v>
      </c>
      <c r="J15" s="32" t="str">
        <f aca="false">IF(A15="","",IFERROR(INDEX(Prêts!$B$5:$B$14,MATCH(A15,Prêts!$A$5:$A$14,0)),"?"))</f>
        <v>APPART-01</v>
      </c>
      <c r="K15" s="32" t="n">
        <f aca="false">IF(A15="",0,IF(C15&gt;=IFERROR(INDEX(Biens!$O$5:$O$30,MATCH(J15,Biens!$A$5:$A$30,0)),99999),1,0))</f>
        <v>0</v>
      </c>
    </row>
    <row r="16" customFormat="false" ht="15" hidden="false" customHeight="true" outlineLevel="0" collapsed="false">
      <c r="A16" s="30" t="s">
        <v>417</v>
      </c>
      <c r="B16" s="30" t="n">
        <v>12</v>
      </c>
      <c r="C16" s="28" t="n">
        <v>43409</v>
      </c>
      <c r="D16" s="29" t="n">
        <f aca="false">IF(C16="","",YEAR(C16))</f>
        <v>2018</v>
      </c>
      <c r="E16" s="31" t="n">
        <v>163454.4</v>
      </c>
      <c r="F16" s="31" t="n">
        <v>616.92</v>
      </c>
      <c r="G16" s="31" t="n">
        <v>204.32</v>
      </c>
      <c r="H16" s="31" t="n">
        <v>20.08</v>
      </c>
      <c r="I16" s="33" t="n">
        <f aca="false">IF(C16="","",F16+G16+H16)</f>
        <v>841.32</v>
      </c>
      <c r="J16" s="32" t="str">
        <f aca="false">IF(A16="","",IFERROR(INDEX(Prêts!$B$5:$B$14,MATCH(A16,Prêts!$A$5:$A$14,0)),"?"))</f>
        <v>APPART-01</v>
      </c>
      <c r="K16" s="32" t="n">
        <f aca="false">IF(A16="",0,IF(C16&gt;=IFERROR(INDEX(Biens!$O$5:$O$30,MATCH(J16,Biens!$A$5:$A$30,0)),99999),1,0))</f>
        <v>0</v>
      </c>
    </row>
    <row r="17" customFormat="false" ht="15" hidden="false" customHeight="true" outlineLevel="0" collapsed="false">
      <c r="A17" s="30" t="s">
        <v>417</v>
      </c>
      <c r="B17" s="30" t="n">
        <v>13</v>
      </c>
      <c r="C17" s="28" t="n">
        <v>43439</v>
      </c>
      <c r="D17" s="29" t="n">
        <f aca="false">IF(C17="","",YEAR(C17))</f>
        <v>2018</v>
      </c>
      <c r="E17" s="31" t="n">
        <v>162837.48</v>
      </c>
      <c r="F17" s="31" t="n">
        <v>617.7</v>
      </c>
      <c r="G17" s="31" t="n">
        <v>203.55</v>
      </c>
      <c r="H17" s="31" t="n">
        <v>20.08</v>
      </c>
      <c r="I17" s="33" t="n">
        <f aca="false">IF(C17="","",F17+G17+H17)</f>
        <v>841.33</v>
      </c>
      <c r="J17" s="32" t="str">
        <f aca="false">IF(A17="","",IFERROR(INDEX(Prêts!$B$5:$B$14,MATCH(A17,Prêts!$A$5:$A$14,0)),"?"))</f>
        <v>APPART-01</v>
      </c>
      <c r="K17" s="32" t="n">
        <f aca="false">IF(A17="",0,IF(C17&gt;=IFERROR(INDEX(Biens!$O$5:$O$30,MATCH(J17,Biens!$A$5:$A$30,0)),99999),1,0))</f>
        <v>0</v>
      </c>
    </row>
    <row r="18" customFormat="false" ht="15" hidden="false" customHeight="true" outlineLevel="0" collapsed="false">
      <c r="A18" s="30" t="s">
        <v>417</v>
      </c>
      <c r="B18" s="30" t="n">
        <v>14</v>
      </c>
      <c r="C18" s="28" t="n">
        <v>43470</v>
      </c>
      <c r="D18" s="29" t="n">
        <f aca="false">IF(C18="","",YEAR(C18))</f>
        <v>2019</v>
      </c>
      <c r="E18" s="31" t="n">
        <v>162219.78</v>
      </c>
      <c r="F18" s="31" t="n">
        <v>618.47</v>
      </c>
      <c r="G18" s="31" t="n">
        <v>202.78</v>
      </c>
      <c r="H18" s="31" t="n">
        <v>20.08</v>
      </c>
      <c r="I18" s="33" t="n">
        <f aca="false">IF(C18="","",F18+G18+H18)</f>
        <v>841.33</v>
      </c>
      <c r="J18" s="32" t="str">
        <f aca="false">IF(A18="","",IFERROR(INDEX(Prêts!$B$5:$B$14,MATCH(A18,Prêts!$A$5:$A$14,0)),"?"))</f>
        <v>APPART-01</v>
      </c>
      <c r="K18" s="32" t="n">
        <f aca="false">IF(A18="",0,IF(C18&gt;=IFERROR(INDEX(Biens!$O$5:$O$30,MATCH(J18,Biens!$A$5:$A$30,0)),99999),1,0))</f>
        <v>0</v>
      </c>
    </row>
    <row r="19" customFormat="false" ht="15" hidden="false" customHeight="true" outlineLevel="0" collapsed="false">
      <c r="A19" s="30" t="s">
        <v>417</v>
      </c>
      <c r="B19" s="30" t="n">
        <v>15</v>
      </c>
      <c r="C19" s="28" t="n">
        <v>43501</v>
      </c>
      <c r="D19" s="29" t="n">
        <f aca="false">IF(C19="","",YEAR(C19))</f>
        <v>2019</v>
      </c>
      <c r="E19" s="31" t="n">
        <v>161601.31</v>
      </c>
      <c r="F19" s="31" t="n">
        <v>619.24</v>
      </c>
      <c r="G19" s="31" t="n">
        <v>202.01</v>
      </c>
      <c r="H19" s="31" t="n">
        <v>20.08</v>
      </c>
      <c r="I19" s="33" t="n">
        <f aca="false">IF(C19="","",F19+G19+H19)</f>
        <v>841.33</v>
      </c>
      <c r="J19" s="32" t="str">
        <f aca="false">IF(A19="","",IFERROR(INDEX(Prêts!$B$5:$B$14,MATCH(A19,Prêts!$A$5:$A$14,0)),"?"))</f>
        <v>APPART-01</v>
      </c>
      <c r="K19" s="32" t="n">
        <f aca="false">IF(A19="",0,IF(C19&gt;=IFERROR(INDEX(Biens!$O$5:$O$30,MATCH(J19,Biens!$A$5:$A$30,0)),99999),1,0))</f>
        <v>0</v>
      </c>
    </row>
    <row r="20" customFormat="false" ht="15" hidden="false" customHeight="true" outlineLevel="0" collapsed="false">
      <c r="A20" s="30" t="s">
        <v>417</v>
      </c>
      <c r="B20" s="30" t="n">
        <v>16</v>
      </c>
      <c r="C20" s="28" t="n">
        <v>43529</v>
      </c>
      <c r="D20" s="29" t="n">
        <f aca="false">IF(C20="","",YEAR(C20))</f>
        <v>2019</v>
      </c>
      <c r="E20" s="31" t="n">
        <v>160982.07</v>
      </c>
      <c r="F20" s="31" t="n">
        <v>620.02</v>
      </c>
      <c r="G20" s="31" t="n">
        <v>201.22</v>
      </c>
      <c r="H20" s="31" t="n">
        <v>20.08</v>
      </c>
      <c r="I20" s="33" t="n">
        <f aca="false">IF(C20="","",F20+G20+H20)</f>
        <v>841.32</v>
      </c>
      <c r="J20" s="32" t="str">
        <f aca="false">IF(A20="","",IFERROR(INDEX(Prêts!$B$5:$B$14,MATCH(A20,Prêts!$A$5:$A$14,0)),"?"))</f>
        <v>APPART-01</v>
      </c>
      <c r="K20" s="32" t="n">
        <f aca="false">IF(A20="",0,IF(C20&gt;=IFERROR(INDEX(Biens!$O$5:$O$30,MATCH(J20,Biens!$A$5:$A$30,0)),99999),1,0))</f>
        <v>0</v>
      </c>
    </row>
    <row r="21" customFormat="false" ht="15" hidden="false" customHeight="true" outlineLevel="0" collapsed="false">
      <c r="A21" s="30" t="s">
        <v>417</v>
      </c>
      <c r="B21" s="30" t="n">
        <v>17</v>
      </c>
      <c r="C21" s="28" t="n">
        <v>43560</v>
      </c>
      <c r="D21" s="29" t="n">
        <f aca="false">IF(C21="","",YEAR(C21))</f>
        <v>2019</v>
      </c>
      <c r="E21" s="31" t="n">
        <v>160362.05</v>
      </c>
      <c r="F21" s="31" t="n">
        <v>620.79</v>
      </c>
      <c r="G21" s="31" t="n">
        <v>200.45</v>
      </c>
      <c r="H21" s="31" t="n">
        <v>20.08</v>
      </c>
      <c r="I21" s="33" t="n">
        <f aca="false">IF(C21="","",F21+G21+H21)</f>
        <v>841.32</v>
      </c>
      <c r="J21" s="32" t="str">
        <f aca="false">IF(A21="","",IFERROR(INDEX(Prêts!$B$5:$B$14,MATCH(A21,Prêts!$A$5:$A$14,0)),"?"))</f>
        <v>APPART-01</v>
      </c>
      <c r="K21" s="32" t="n">
        <f aca="false">IF(A21="",0,IF(C21&gt;=IFERROR(INDEX(Biens!$O$5:$O$30,MATCH(J21,Biens!$A$5:$A$30,0)),99999),1,0))</f>
        <v>0</v>
      </c>
    </row>
    <row r="22" customFormat="false" ht="15" hidden="false" customHeight="true" outlineLevel="0" collapsed="false">
      <c r="A22" s="30" t="s">
        <v>417</v>
      </c>
      <c r="B22" s="30" t="n">
        <v>18</v>
      </c>
      <c r="C22" s="28" t="n">
        <v>43590</v>
      </c>
      <c r="D22" s="29" t="n">
        <f aca="false">IF(C22="","",YEAR(C22))</f>
        <v>2019</v>
      </c>
      <c r="E22" s="31" t="n">
        <v>159741.25</v>
      </c>
      <c r="F22" s="31" t="n">
        <v>621.57</v>
      </c>
      <c r="G22" s="31" t="n">
        <v>199.68</v>
      </c>
      <c r="H22" s="31" t="n">
        <v>20.08</v>
      </c>
      <c r="I22" s="33" t="n">
        <f aca="false">IF(C22="","",F22+G22+H22)</f>
        <v>841.33</v>
      </c>
      <c r="J22" s="32" t="str">
        <f aca="false">IF(A22="","",IFERROR(INDEX(Prêts!$B$5:$B$14,MATCH(A22,Prêts!$A$5:$A$14,0)),"?"))</f>
        <v>APPART-01</v>
      </c>
      <c r="K22" s="32" t="n">
        <f aca="false">IF(A22="",0,IF(C22&gt;=IFERROR(INDEX(Biens!$O$5:$O$30,MATCH(J22,Biens!$A$5:$A$30,0)),99999),1,0))</f>
        <v>0</v>
      </c>
    </row>
    <row r="23" customFormat="false" ht="15" hidden="false" customHeight="true" outlineLevel="0" collapsed="false">
      <c r="A23" s="30" t="s">
        <v>417</v>
      </c>
      <c r="B23" s="30" t="n">
        <v>19</v>
      </c>
      <c r="C23" s="28" t="n">
        <v>43621</v>
      </c>
      <c r="D23" s="29" t="n">
        <f aca="false">IF(C23="","",YEAR(C23))</f>
        <v>2019</v>
      </c>
      <c r="E23" s="31" t="n">
        <v>159119.69</v>
      </c>
      <c r="F23" s="31" t="n">
        <v>622.35</v>
      </c>
      <c r="G23" s="31" t="n">
        <v>198.9</v>
      </c>
      <c r="H23" s="31" t="n">
        <v>20.08</v>
      </c>
      <c r="I23" s="33" t="n">
        <f aca="false">IF(C23="","",F23+G23+H23)</f>
        <v>841.33</v>
      </c>
      <c r="J23" s="32" t="str">
        <f aca="false">IF(A23="","",IFERROR(INDEX(Prêts!$B$5:$B$14,MATCH(A23,Prêts!$A$5:$A$14,0)),"?"))</f>
        <v>APPART-01</v>
      </c>
      <c r="K23" s="32" t="n">
        <f aca="false">IF(A23="",0,IF(C23&gt;=IFERROR(INDEX(Biens!$O$5:$O$30,MATCH(J23,Biens!$A$5:$A$30,0)),99999),1,0))</f>
        <v>0</v>
      </c>
    </row>
    <row r="24" customFormat="false" ht="15" hidden="false" customHeight="true" outlineLevel="0" collapsed="false">
      <c r="A24" s="30" t="s">
        <v>417</v>
      </c>
      <c r="B24" s="30" t="n">
        <v>20</v>
      </c>
      <c r="C24" s="28" t="n">
        <v>43651</v>
      </c>
      <c r="D24" s="29" t="n">
        <f aca="false">IF(C24="","",YEAR(C24))</f>
        <v>2019</v>
      </c>
      <c r="E24" s="31" t="n">
        <v>158497.34</v>
      </c>
      <c r="F24" s="31" t="n">
        <v>623.13</v>
      </c>
      <c r="G24" s="31" t="n">
        <v>198.12</v>
      </c>
      <c r="H24" s="31" t="n">
        <v>20.08</v>
      </c>
      <c r="I24" s="33" t="n">
        <f aca="false">IF(C24="","",F24+G24+H24)</f>
        <v>841.33</v>
      </c>
      <c r="J24" s="32" t="str">
        <f aca="false">IF(A24="","",IFERROR(INDEX(Prêts!$B$5:$B$14,MATCH(A24,Prêts!$A$5:$A$14,0)),"?"))</f>
        <v>APPART-01</v>
      </c>
      <c r="K24" s="32" t="n">
        <f aca="false">IF(A24="",0,IF(C24&gt;=IFERROR(INDEX(Biens!$O$5:$O$30,MATCH(J24,Biens!$A$5:$A$30,0)),99999),1,0))</f>
        <v>0</v>
      </c>
    </row>
    <row r="25" customFormat="false" ht="15" hidden="false" customHeight="true" outlineLevel="0" collapsed="false">
      <c r="A25" s="30" t="s">
        <v>417</v>
      </c>
      <c r="B25" s="30" t="n">
        <v>21</v>
      </c>
      <c r="C25" s="28" t="n">
        <v>43682</v>
      </c>
      <c r="D25" s="29" t="n">
        <f aca="false">IF(C25="","",YEAR(C25))</f>
        <v>2019</v>
      </c>
      <c r="E25" s="31" t="n">
        <v>157874.21</v>
      </c>
      <c r="F25" s="31" t="n">
        <v>623.9</v>
      </c>
      <c r="G25" s="31" t="n">
        <v>197.35</v>
      </c>
      <c r="H25" s="31" t="n">
        <v>20.08</v>
      </c>
      <c r="I25" s="33" t="n">
        <f aca="false">IF(C25="","",F25+G25+H25)</f>
        <v>841.33</v>
      </c>
      <c r="J25" s="32" t="str">
        <f aca="false">IF(A25="","",IFERROR(INDEX(Prêts!$B$5:$B$14,MATCH(A25,Prêts!$A$5:$A$14,0)),"?"))</f>
        <v>APPART-01</v>
      </c>
      <c r="K25" s="32" t="n">
        <f aca="false">IF(A25="",0,IF(C25&gt;=IFERROR(INDEX(Biens!$O$5:$O$30,MATCH(J25,Biens!$A$5:$A$30,0)),99999),1,0))</f>
        <v>0</v>
      </c>
    </row>
    <row r="26" customFormat="false" ht="15" hidden="false" customHeight="true" outlineLevel="0" collapsed="false">
      <c r="A26" s="30" t="s">
        <v>417</v>
      </c>
      <c r="B26" s="30" t="n">
        <v>22</v>
      </c>
      <c r="C26" s="28" t="n">
        <v>43713</v>
      </c>
      <c r="D26" s="29" t="n">
        <f aca="false">IF(C26="","",YEAR(C26))</f>
        <v>2019</v>
      </c>
      <c r="E26" s="31" t="n">
        <v>157250.31</v>
      </c>
      <c r="F26" s="31" t="n">
        <v>624.68</v>
      </c>
      <c r="G26" s="31" t="n">
        <v>196.56</v>
      </c>
      <c r="H26" s="31" t="n">
        <v>20.08</v>
      </c>
      <c r="I26" s="33" t="n">
        <f aca="false">IF(C26="","",F26+G26+H26)</f>
        <v>841.32</v>
      </c>
      <c r="J26" s="32" t="str">
        <f aca="false">IF(A26="","",IFERROR(INDEX(Prêts!$B$5:$B$14,MATCH(A26,Prêts!$A$5:$A$14,0)),"?"))</f>
        <v>APPART-01</v>
      </c>
      <c r="K26" s="32" t="n">
        <f aca="false">IF(A26="",0,IF(C26&gt;=IFERROR(INDEX(Biens!$O$5:$O$30,MATCH(J26,Biens!$A$5:$A$30,0)),99999),1,0))</f>
        <v>0</v>
      </c>
    </row>
    <row r="27" customFormat="false" ht="15" hidden="false" customHeight="true" outlineLevel="0" collapsed="false">
      <c r="A27" s="30" t="s">
        <v>417</v>
      </c>
      <c r="B27" s="30" t="n">
        <v>23</v>
      </c>
      <c r="C27" s="28" t="n">
        <v>43743</v>
      </c>
      <c r="D27" s="29" t="n">
        <f aca="false">IF(C27="","",YEAR(C27))</f>
        <v>2019</v>
      </c>
      <c r="E27" s="31" t="n">
        <v>156625.63</v>
      </c>
      <c r="F27" s="31" t="n">
        <v>625.46</v>
      </c>
      <c r="G27" s="31" t="n">
        <v>195.78</v>
      </c>
      <c r="H27" s="31" t="n">
        <v>20.08</v>
      </c>
      <c r="I27" s="33" t="n">
        <f aca="false">IF(C27="","",F27+G27+H27)</f>
        <v>841.32</v>
      </c>
      <c r="J27" s="32" t="str">
        <f aca="false">IF(A27="","",IFERROR(INDEX(Prêts!$B$5:$B$14,MATCH(A27,Prêts!$A$5:$A$14,0)),"?"))</f>
        <v>APPART-01</v>
      </c>
      <c r="K27" s="32" t="n">
        <f aca="false">IF(A27="",0,IF(C27&gt;=IFERROR(INDEX(Biens!$O$5:$O$30,MATCH(J27,Biens!$A$5:$A$30,0)),99999),1,0))</f>
        <v>0</v>
      </c>
    </row>
    <row r="28" customFormat="false" ht="15" hidden="false" customHeight="true" outlineLevel="0" collapsed="false">
      <c r="A28" s="30" t="s">
        <v>417</v>
      </c>
      <c r="B28" s="30" t="n">
        <v>24</v>
      </c>
      <c r="C28" s="28" t="n">
        <v>43774</v>
      </c>
      <c r="D28" s="29" t="n">
        <f aca="false">IF(C28="","",YEAR(C28))</f>
        <v>2019</v>
      </c>
      <c r="E28" s="31" t="n">
        <v>156000.17</v>
      </c>
      <c r="F28" s="31" t="n">
        <v>626.24</v>
      </c>
      <c r="G28" s="31" t="n">
        <v>195</v>
      </c>
      <c r="H28" s="31" t="n">
        <v>20.08</v>
      </c>
      <c r="I28" s="33" t="n">
        <f aca="false">IF(C28="","",F28+G28+H28)</f>
        <v>841.32</v>
      </c>
      <c r="J28" s="32" t="str">
        <f aca="false">IF(A28="","",IFERROR(INDEX(Prêts!$B$5:$B$14,MATCH(A28,Prêts!$A$5:$A$14,0)),"?"))</f>
        <v>APPART-01</v>
      </c>
      <c r="K28" s="32" t="n">
        <f aca="false">IF(A28="",0,IF(C28&gt;=IFERROR(INDEX(Biens!$O$5:$O$30,MATCH(J28,Biens!$A$5:$A$30,0)),99999),1,0))</f>
        <v>0</v>
      </c>
    </row>
    <row r="29" customFormat="false" ht="15" hidden="false" customHeight="true" outlineLevel="0" collapsed="false">
      <c r="A29" s="30" t="s">
        <v>417</v>
      </c>
      <c r="B29" s="30" t="n">
        <v>25</v>
      </c>
      <c r="C29" s="28" t="n">
        <v>43804</v>
      </c>
      <c r="D29" s="29" t="n">
        <f aca="false">IF(C29="","",YEAR(C29))</f>
        <v>2019</v>
      </c>
      <c r="E29" s="31" t="n">
        <v>155373.93</v>
      </c>
      <c r="F29" s="31" t="n">
        <v>627.02</v>
      </c>
      <c r="G29" s="31" t="n">
        <v>194.22</v>
      </c>
      <c r="H29" s="31" t="n">
        <v>20.08</v>
      </c>
      <c r="I29" s="33" t="n">
        <f aca="false">IF(C29="","",F29+G29+H29)</f>
        <v>841.32</v>
      </c>
      <c r="J29" s="32" t="str">
        <f aca="false">IF(A29="","",IFERROR(INDEX(Prêts!$B$5:$B$14,MATCH(A29,Prêts!$A$5:$A$14,0)),"?"))</f>
        <v>APPART-01</v>
      </c>
      <c r="K29" s="32" t="n">
        <f aca="false">IF(A29="",0,IF(C29&gt;=IFERROR(INDEX(Biens!$O$5:$O$30,MATCH(J29,Biens!$A$5:$A$30,0)),99999),1,0))</f>
        <v>0</v>
      </c>
    </row>
    <row r="30" customFormat="false" ht="15" hidden="false" customHeight="true" outlineLevel="0" collapsed="false">
      <c r="A30" s="30" t="s">
        <v>417</v>
      </c>
      <c r="B30" s="30" t="n">
        <v>26</v>
      </c>
      <c r="C30" s="28" t="n">
        <v>43835</v>
      </c>
      <c r="D30" s="29" t="n">
        <f aca="false">IF(C30="","",YEAR(C30))</f>
        <v>2020</v>
      </c>
      <c r="E30" s="31" t="n">
        <v>154746.9</v>
      </c>
      <c r="F30" s="31" t="n">
        <v>627.82</v>
      </c>
      <c r="G30" s="31" t="n">
        <v>193.43</v>
      </c>
      <c r="H30" s="31" t="n">
        <v>20.08</v>
      </c>
      <c r="I30" s="33" t="n">
        <f aca="false">IF(C30="","",F30+G30+H30)</f>
        <v>841.33</v>
      </c>
      <c r="J30" s="32" t="str">
        <f aca="false">IF(A30="","",IFERROR(INDEX(Prêts!$B$5:$B$14,MATCH(A30,Prêts!$A$5:$A$14,0)),"?"))</f>
        <v>APPART-01</v>
      </c>
      <c r="K30" s="32" t="n">
        <f aca="false">IF(A30="",0,IF(C30&gt;=IFERROR(INDEX(Biens!$O$5:$O$30,MATCH(J30,Biens!$A$5:$A$30,0)),99999),1,0))</f>
        <v>0</v>
      </c>
    </row>
    <row r="31" customFormat="false" ht="15" hidden="false" customHeight="true" outlineLevel="0" collapsed="false">
      <c r="A31" s="30" t="s">
        <v>417</v>
      </c>
      <c r="B31" s="30" t="n">
        <v>27</v>
      </c>
      <c r="C31" s="28" t="n">
        <v>43866</v>
      </c>
      <c r="D31" s="29" t="n">
        <f aca="false">IF(C31="","",YEAR(C31))</f>
        <v>2020</v>
      </c>
      <c r="E31" s="31" t="n">
        <v>154119.09</v>
      </c>
      <c r="F31" s="31" t="n">
        <v>628.6</v>
      </c>
      <c r="G31" s="31" t="n">
        <v>192.65</v>
      </c>
      <c r="H31" s="31" t="n">
        <v>20.08</v>
      </c>
      <c r="I31" s="33" t="n">
        <f aca="false">IF(C31="","",F31+G31+H31)</f>
        <v>841.33</v>
      </c>
      <c r="J31" s="32" t="str">
        <f aca="false">IF(A31="","",IFERROR(INDEX(Prêts!$B$5:$B$14,MATCH(A31,Prêts!$A$5:$A$14,0)),"?"))</f>
        <v>APPART-01</v>
      </c>
      <c r="K31" s="32" t="n">
        <f aca="false">IF(A31="",0,IF(C31&gt;=IFERROR(INDEX(Biens!$O$5:$O$30,MATCH(J31,Biens!$A$5:$A$30,0)),99999),1,0))</f>
        <v>0</v>
      </c>
    </row>
    <row r="32" customFormat="false" ht="15" hidden="false" customHeight="true" outlineLevel="0" collapsed="false">
      <c r="A32" s="30" t="s">
        <v>417</v>
      </c>
      <c r="B32" s="30" t="n">
        <v>28</v>
      </c>
      <c r="C32" s="28" t="n">
        <v>43895</v>
      </c>
      <c r="D32" s="29" t="n">
        <f aca="false">IF(C32="","",YEAR(C32))</f>
        <v>2020</v>
      </c>
      <c r="E32" s="31" t="n">
        <v>153490.49</v>
      </c>
      <c r="F32" s="31" t="n">
        <v>629.39</v>
      </c>
      <c r="G32" s="31" t="n">
        <v>191.86</v>
      </c>
      <c r="H32" s="31" t="n">
        <v>20.08</v>
      </c>
      <c r="I32" s="33" t="n">
        <f aca="false">IF(C32="","",F32+G32+H32)</f>
        <v>841.33</v>
      </c>
      <c r="J32" s="32" t="str">
        <f aca="false">IF(A32="","",IFERROR(INDEX(Prêts!$B$5:$B$14,MATCH(A32,Prêts!$A$5:$A$14,0)),"?"))</f>
        <v>APPART-01</v>
      </c>
      <c r="K32" s="32" t="n">
        <f aca="false">IF(A32="",0,IF(C32&gt;=IFERROR(INDEX(Biens!$O$5:$O$30,MATCH(J32,Biens!$A$5:$A$30,0)),99999),1,0))</f>
        <v>0</v>
      </c>
    </row>
    <row r="33" customFormat="false" ht="15" hidden="false" customHeight="true" outlineLevel="0" collapsed="false">
      <c r="A33" s="30" t="s">
        <v>417</v>
      </c>
      <c r="B33" s="30" t="n">
        <v>29</v>
      </c>
      <c r="C33" s="28" t="n">
        <v>43926</v>
      </c>
      <c r="D33" s="29" t="n">
        <f aca="false">IF(C33="","",YEAR(C33))</f>
        <v>2020</v>
      </c>
      <c r="E33" s="31" t="n">
        <v>152861.11</v>
      </c>
      <c r="F33" s="31" t="n">
        <v>630.17</v>
      </c>
      <c r="G33" s="31" t="n">
        <v>191.08</v>
      </c>
      <c r="H33" s="31" t="n">
        <v>20.08</v>
      </c>
      <c r="I33" s="33" t="n">
        <f aca="false">IF(C33="","",F33+G33+H33)</f>
        <v>841.33</v>
      </c>
      <c r="J33" s="32" t="str">
        <f aca="false">IF(A33="","",IFERROR(INDEX(Prêts!$B$5:$B$14,MATCH(A33,Prêts!$A$5:$A$14,0)),"?"))</f>
        <v>APPART-01</v>
      </c>
      <c r="K33" s="32" t="n">
        <f aca="false">IF(A33="",0,IF(C33&gt;=IFERROR(INDEX(Biens!$O$5:$O$30,MATCH(J33,Biens!$A$5:$A$30,0)),99999),1,0))</f>
        <v>0</v>
      </c>
    </row>
    <row r="34" customFormat="false" ht="15" hidden="false" customHeight="true" outlineLevel="0" collapsed="false">
      <c r="A34" s="30" t="s">
        <v>417</v>
      </c>
      <c r="B34" s="30" t="n">
        <v>30</v>
      </c>
      <c r="C34" s="28" t="n">
        <v>43956</v>
      </c>
      <c r="D34" s="29" t="n">
        <f aca="false">IF(C34="","",YEAR(C34))</f>
        <v>2020</v>
      </c>
      <c r="E34" s="31" t="n">
        <v>152230.94</v>
      </c>
      <c r="F34" s="31" t="n">
        <v>630.96</v>
      </c>
      <c r="G34" s="31" t="n">
        <v>190.29</v>
      </c>
      <c r="H34" s="31" t="n">
        <v>20.08</v>
      </c>
      <c r="I34" s="33" t="n">
        <f aca="false">IF(C34="","",F34+G34+H34)</f>
        <v>841.33</v>
      </c>
      <c r="J34" s="32" t="str">
        <f aca="false">IF(A34="","",IFERROR(INDEX(Prêts!$B$5:$B$14,MATCH(A34,Prêts!$A$5:$A$14,0)),"?"))</f>
        <v>APPART-01</v>
      </c>
      <c r="K34" s="32" t="n">
        <f aca="false">IF(A34="",0,IF(C34&gt;=IFERROR(INDEX(Biens!$O$5:$O$30,MATCH(J34,Biens!$A$5:$A$30,0)),99999),1,0))</f>
        <v>0</v>
      </c>
    </row>
    <row r="35" customFormat="false" ht="15" hidden="false" customHeight="true" outlineLevel="0" collapsed="false">
      <c r="A35" s="30" t="s">
        <v>417</v>
      </c>
      <c r="B35" s="30" t="n">
        <v>31</v>
      </c>
      <c r="C35" s="28" t="n">
        <v>43987</v>
      </c>
      <c r="D35" s="29" t="n">
        <f aca="false">IF(C35="","",YEAR(C35))</f>
        <v>2020</v>
      </c>
      <c r="E35" s="31" t="n">
        <v>151599.98</v>
      </c>
      <c r="F35" s="31" t="n">
        <v>631.75</v>
      </c>
      <c r="G35" s="31" t="n">
        <v>189.5</v>
      </c>
      <c r="H35" s="31" t="n">
        <v>20.08</v>
      </c>
      <c r="I35" s="33" t="n">
        <f aca="false">IF(C35="","",F35+G35+H35)</f>
        <v>841.33</v>
      </c>
      <c r="J35" s="32" t="str">
        <f aca="false">IF(A35="","",IFERROR(INDEX(Prêts!$B$5:$B$14,MATCH(A35,Prêts!$A$5:$A$14,0)),"?"))</f>
        <v>APPART-01</v>
      </c>
      <c r="K35" s="32" t="n">
        <f aca="false">IF(A35="",0,IF(C35&gt;=IFERROR(INDEX(Biens!$O$5:$O$30,MATCH(J35,Biens!$A$5:$A$30,0)),99999),1,0))</f>
        <v>0</v>
      </c>
    </row>
    <row r="36" customFormat="false" ht="15" hidden="false" customHeight="true" outlineLevel="0" collapsed="false">
      <c r="A36" s="30" t="s">
        <v>417</v>
      </c>
      <c r="B36" s="30" t="n">
        <v>32</v>
      </c>
      <c r="C36" s="28" t="n">
        <v>44017</v>
      </c>
      <c r="D36" s="29" t="n">
        <f aca="false">IF(C36="","",YEAR(C36))</f>
        <v>2020</v>
      </c>
      <c r="E36" s="31" t="n">
        <v>150968.23</v>
      </c>
      <c r="F36" s="31" t="n">
        <v>632.54</v>
      </c>
      <c r="G36" s="31" t="n">
        <v>188.71</v>
      </c>
      <c r="H36" s="31" t="n">
        <v>20.08</v>
      </c>
      <c r="I36" s="33" t="n">
        <f aca="false">IF(C36="","",F36+G36+H36)</f>
        <v>841.33</v>
      </c>
      <c r="J36" s="32" t="str">
        <f aca="false">IF(A36="","",IFERROR(INDEX(Prêts!$B$5:$B$14,MATCH(A36,Prêts!$A$5:$A$14,0)),"?"))</f>
        <v>APPART-01</v>
      </c>
      <c r="K36" s="32" t="n">
        <f aca="false">IF(A36="",0,IF(C36&gt;=IFERROR(INDEX(Biens!$O$5:$O$30,MATCH(J36,Biens!$A$5:$A$30,0)),99999),1,0))</f>
        <v>0</v>
      </c>
    </row>
    <row r="37" customFormat="false" ht="15" hidden="false" customHeight="true" outlineLevel="0" collapsed="false">
      <c r="A37" s="30" t="s">
        <v>417</v>
      </c>
      <c r="B37" s="30" t="n">
        <v>33</v>
      </c>
      <c r="C37" s="28" t="n">
        <v>44048</v>
      </c>
      <c r="D37" s="29" t="n">
        <f aca="false">IF(C37="","",YEAR(C37))</f>
        <v>2020</v>
      </c>
      <c r="E37" s="31" t="n">
        <v>150335.69</v>
      </c>
      <c r="F37" s="31" t="n">
        <v>633.33</v>
      </c>
      <c r="G37" s="31" t="n">
        <v>187.92</v>
      </c>
      <c r="H37" s="31" t="n">
        <v>20.08</v>
      </c>
      <c r="I37" s="33" t="n">
        <f aca="false">IF(C37="","",F37+G37+H37)</f>
        <v>841.33</v>
      </c>
      <c r="J37" s="32" t="str">
        <f aca="false">IF(A37="","",IFERROR(INDEX(Prêts!$B$5:$B$14,MATCH(A37,Prêts!$A$5:$A$14,0)),"?"))</f>
        <v>APPART-01</v>
      </c>
      <c r="K37" s="32" t="n">
        <f aca="false">IF(A37="",0,IF(C37&gt;=IFERROR(INDEX(Biens!$O$5:$O$30,MATCH(J37,Biens!$A$5:$A$30,0)),99999),1,0))</f>
        <v>0</v>
      </c>
    </row>
    <row r="38" customFormat="false" ht="15" hidden="false" customHeight="true" outlineLevel="0" collapsed="false">
      <c r="A38" s="30" t="s">
        <v>417</v>
      </c>
      <c r="B38" s="30" t="n">
        <v>34</v>
      </c>
      <c r="C38" s="28" t="n">
        <v>44079</v>
      </c>
      <c r="D38" s="29" t="n">
        <f aca="false">IF(C38="","",YEAR(C38))</f>
        <v>2020</v>
      </c>
      <c r="E38" s="31" t="n">
        <v>149702.36</v>
      </c>
      <c r="F38" s="31" t="n">
        <v>634.12</v>
      </c>
      <c r="G38" s="31" t="n">
        <v>187.13</v>
      </c>
      <c r="H38" s="31" t="n">
        <v>20.08</v>
      </c>
      <c r="I38" s="33" t="n">
        <f aca="false">IF(C38="","",F38+G38+H38)</f>
        <v>841.33</v>
      </c>
      <c r="J38" s="32" t="str">
        <f aca="false">IF(A38="","",IFERROR(INDEX(Prêts!$B$5:$B$14,MATCH(A38,Prêts!$A$5:$A$14,0)),"?"))</f>
        <v>APPART-01</v>
      </c>
      <c r="K38" s="32" t="n">
        <f aca="false">IF(A38="",0,IF(C38&gt;=IFERROR(INDEX(Biens!$O$5:$O$30,MATCH(J38,Biens!$A$5:$A$30,0)),99999),1,0))</f>
        <v>0</v>
      </c>
    </row>
    <row r="39" customFormat="false" ht="15" hidden="false" customHeight="true" outlineLevel="0" collapsed="false">
      <c r="A39" s="30" t="s">
        <v>417</v>
      </c>
      <c r="B39" s="30" t="n">
        <v>35</v>
      </c>
      <c r="C39" s="28" t="n">
        <v>44109</v>
      </c>
      <c r="D39" s="29" t="n">
        <f aca="false">IF(C39="","",YEAR(C39))</f>
        <v>2020</v>
      </c>
      <c r="E39" s="31" t="n">
        <v>149068.24</v>
      </c>
      <c r="F39" s="31" t="n">
        <v>634.91</v>
      </c>
      <c r="G39" s="31" t="n">
        <v>186.33</v>
      </c>
      <c r="H39" s="31" t="n">
        <v>20.08</v>
      </c>
      <c r="I39" s="33" t="n">
        <f aca="false">IF(C39="","",F39+G39+H39)</f>
        <v>841.32</v>
      </c>
      <c r="J39" s="32" t="str">
        <f aca="false">IF(A39="","",IFERROR(INDEX(Prêts!$B$5:$B$14,MATCH(A39,Prêts!$A$5:$A$14,0)),"?"))</f>
        <v>APPART-01</v>
      </c>
      <c r="K39" s="32" t="n">
        <f aca="false">IF(A39="",0,IF(C39&gt;=IFERROR(INDEX(Biens!$O$5:$O$30,MATCH(J39,Biens!$A$5:$A$30,0)),99999),1,0))</f>
        <v>0</v>
      </c>
    </row>
    <row r="40" customFormat="false" ht="15" hidden="false" customHeight="true" outlineLevel="0" collapsed="false">
      <c r="A40" s="30" t="s">
        <v>417</v>
      </c>
      <c r="B40" s="30" t="n">
        <v>36</v>
      </c>
      <c r="C40" s="28" t="n">
        <v>44140</v>
      </c>
      <c r="D40" s="29" t="n">
        <f aca="false">IF(C40="","",YEAR(C40))</f>
        <v>2020</v>
      </c>
      <c r="E40" s="31" t="n">
        <v>148433.33</v>
      </c>
      <c r="F40" s="31" t="n">
        <v>635.7</v>
      </c>
      <c r="G40" s="31" t="n">
        <v>185.54</v>
      </c>
      <c r="H40" s="31" t="n">
        <v>20.08</v>
      </c>
      <c r="I40" s="33" t="n">
        <f aca="false">IF(C40="","",F40+G40+H40)</f>
        <v>841.32</v>
      </c>
      <c r="J40" s="32" t="str">
        <f aca="false">IF(A40="","",IFERROR(INDEX(Prêts!$B$5:$B$14,MATCH(A40,Prêts!$A$5:$A$14,0)),"?"))</f>
        <v>APPART-01</v>
      </c>
      <c r="K40" s="32" t="n">
        <f aca="false">IF(A40="",0,IF(C40&gt;=IFERROR(INDEX(Biens!$O$5:$O$30,MATCH(J40,Biens!$A$5:$A$30,0)),99999),1,0))</f>
        <v>0</v>
      </c>
    </row>
    <row r="41" customFormat="false" ht="15" hidden="false" customHeight="true" outlineLevel="0" collapsed="false">
      <c r="A41" s="30" t="s">
        <v>417</v>
      </c>
      <c r="B41" s="30" t="n">
        <v>37</v>
      </c>
      <c r="C41" s="28" t="n">
        <v>44170</v>
      </c>
      <c r="D41" s="29" t="n">
        <f aca="false">IF(C41="","",YEAR(C41))</f>
        <v>2020</v>
      </c>
      <c r="E41" s="31" t="n">
        <v>147797.63</v>
      </c>
      <c r="F41" s="31" t="n">
        <v>636.5</v>
      </c>
      <c r="G41" s="31" t="n">
        <v>184.74</v>
      </c>
      <c r="H41" s="31" t="n">
        <v>20.08</v>
      </c>
      <c r="I41" s="33" t="n">
        <f aca="false">IF(C41="","",F41+G41+H41)</f>
        <v>841.32</v>
      </c>
      <c r="J41" s="32" t="str">
        <f aca="false">IF(A41="","",IFERROR(INDEX(Prêts!$B$5:$B$14,MATCH(A41,Prêts!$A$5:$A$14,0)),"?"))</f>
        <v>APPART-01</v>
      </c>
      <c r="K41" s="32" t="n">
        <f aca="false">IF(A41="",0,IF(C41&gt;=IFERROR(INDEX(Biens!$O$5:$O$30,MATCH(J41,Biens!$A$5:$A$30,0)),99999),1,0))</f>
        <v>0</v>
      </c>
    </row>
    <row r="42" customFormat="false" ht="15" hidden="false" customHeight="true" outlineLevel="0" collapsed="false">
      <c r="A42" s="30" t="s">
        <v>417</v>
      </c>
      <c r="B42" s="30" t="n">
        <v>38</v>
      </c>
      <c r="C42" s="28" t="n">
        <v>44201</v>
      </c>
      <c r="D42" s="29" t="n">
        <f aca="false">IF(C42="","",YEAR(C42))</f>
        <v>2021</v>
      </c>
      <c r="E42" s="31" t="n">
        <v>147161.13</v>
      </c>
      <c r="F42" s="31" t="n">
        <v>637.29</v>
      </c>
      <c r="G42" s="31" t="n">
        <v>183.95</v>
      </c>
      <c r="H42" s="31" t="n">
        <v>20.08</v>
      </c>
      <c r="I42" s="33" t="n">
        <f aca="false">IF(C42="","",F42+G42+H42)</f>
        <v>841.32</v>
      </c>
      <c r="J42" s="32" t="str">
        <f aca="false">IF(A42="","",IFERROR(INDEX(Prêts!$B$5:$B$14,MATCH(A42,Prêts!$A$5:$A$14,0)),"?"))</f>
        <v>APPART-01</v>
      </c>
      <c r="K42" s="32" t="n">
        <f aca="false">IF(A42="",0,IF(C42&gt;=IFERROR(INDEX(Biens!$O$5:$O$30,MATCH(J42,Biens!$A$5:$A$30,0)),99999),1,0))</f>
        <v>0</v>
      </c>
    </row>
    <row r="43" customFormat="false" ht="15" hidden="false" customHeight="true" outlineLevel="0" collapsed="false">
      <c r="A43" s="30" t="s">
        <v>417</v>
      </c>
      <c r="B43" s="30" t="n">
        <v>39</v>
      </c>
      <c r="C43" s="28" t="n">
        <v>44232</v>
      </c>
      <c r="D43" s="29" t="n">
        <f aca="false">IF(C43="","",YEAR(C43))</f>
        <v>2021</v>
      </c>
      <c r="E43" s="31" t="n">
        <v>146523.83</v>
      </c>
      <c r="F43" s="31" t="n">
        <v>638.09</v>
      </c>
      <c r="G43" s="31" t="n">
        <v>183.15</v>
      </c>
      <c r="H43" s="31" t="n">
        <v>20.08</v>
      </c>
      <c r="I43" s="33" t="n">
        <f aca="false">IF(C43="","",F43+G43+H43)</f>
        <v>841.32</v>
      </c>
      <c r="J43" s="32" t="str">
        <f aca="false">IF(A43="","",IFERROR(INDEX(Prêts!$B$5:$B$14,MATCH(A43,Prêts!$A$5:$A$14,0)),"?"))</f>
        <v>APPART-01</v>
      </c>
      <c r="K43" s="32" t="n">
        <f aca="false">IF(A43="",0,IF(C43&gt;=IFERROR(INDEX(Biens!$O$5:$O$30,MATCH(J43,Biens!$A$5:$A$30,0)),99999),1,0))</f>
        <v>0</v>
      </c>
    </row>
    <row r="44" customFormat="false" ht="15" hidden="false" customHeight="true" outlineLevel="0" collapsed="false">
      <c r="A44" s="30" t="s">
        <v>417</v>
      </c>
      <c r="B44" s="30" t="n">
        <v>40</v>
      </c>
      <c r="C44" s="28" t="n">
        <v>44260</v>
      </c>
      <c r="D44" s="29" t="n">
        <f aca="false">IF(C44="","",YEAR(C44))</f>
        <v>2021</v>
      </c>
      <c r="E44" s="31" t="n">
        <v>145885.74</v>
      </c>
      <c r="F44" s="31" t="n">
        <v>638.89</v>
      </c>
      <c r="G44" s="31" t="n">
        <v>182.35</v>
      </c>
      <c r="H44" s="31" t="n">
        <v>20.08</v>
      </c>
      <c r="I44" s="33" t="n">
        <f aca="false">IF(C44="","",F44+G44+H44)</f>
        <v>841.32</v>
      </c>
      <c r="J44" s="32" t="str">
        <f aca="false">IF(A44="","",IFERROR(INDEX(Prêts!$B$5:$B$14,MATCH(A44,Prêts!$A$5:$A$14,0)),"?"))</f>
        <v>APPART-01</v>
      </c>
      <c r="K44" s="32" t="n">
        <f aca="false">IF(A44="",0,IF(C44&gt;=IFERROR(INDEX(Biens!$O$5:$O$30,MATCH(J44,Biens!$A$5:$A$30,0)),99999),1,0))</f>
        <v>0</v>
      </c>
    </row>
    <row r="45" customFormat="false" ht="15" hidden="false" customHeight="true" outlineLevel="0" collapsed="false">
      <c r="A45" s="30" t="s">
        <v>417</v>
      </c>
      <c r="B45" s="30" t="n">
        <v>41</v>
      </c>
      <c r="C45" s="28" t="n">
        <v>44291</v>
      </c>
      <c r="D45" s="29" t="n">
        <f aca="false">IF(C45="","",YEAR(C45))</f>
        <v>2021</v>
      </c>
      <c r="E45" s="31" t="n">
        <v>145246.85</v>
      </c>
      <c r="F45" s="31" t="n">
        <v>639.69</v>
      </c>
      <c r="G45" s="31" t="n">
        <v>181.55</v>
      </c>
      <c r="H45" s="31" t="n">
        <v>20.08</v>
      </c>
      <c r="I45" s="33" t="n">
        <f aca="false">IF(C45="","",F45+G45+H45)</f>
        <v>841.32</v>
      </c>
      <c r="J45" s="32" t="str">
        <f aca="false">IF(A45="","",IFERROR(INDEX(Prêts!$B$5:$B$14,MATCH(A45,Prêts!$A$5:$A$14,0)),"?"))</f>
        <v>APPART-01</v>
      </c>
      <c r="K45" s="32" t="n">
        <f aca="false">IF(A45="",0,IF(C45&gt;=IFERROR(INDEX(Biens!$O$5:$O$30,MATCH(J45,Biens!$A$5:$A$30,0)),99999),1,0))</f>
        <v>0</v>
      </c>
    </row>
    <row r="46" customFormat="false" ht="15" hidden="false" customHeight="true" outlineLevel="0" collapsed="false">
      <c r="A46" s="30" t="s">
        <v>417</v>
      </c>
      <c r="B46" s="30" t="n">
        <v>42</v>
      </c>
      <c r="C46" s="28" t="n">
        <v>44321</v>
      </c>
      <c r="D46" s="29" t="n">
        <f aca="false">IF(C46="","",YEAR(C46))</f>
        <v>2021</v>
      </c>
      <c r="E46" s="31" t="n">
        <v>144607.16</v>
      </c>
      <c r="F46" s="31" t="n">
        <v>640.49</v>
      </c>
      <c r="G46" s="31" t="n">
        <v>180.75</v>
      </c>
      <c r="H46" s="31" t="n">
        <v>20.08</v>
      </c>
      <c r="I46" s="33" t="n">
        <f aca="false">IF(C46="","",F46+G46+H46)</f>
        <v>841.32</v>
      </c>
      <c r="J46" s="32" t="str">
        <f aca="false">IF(A46="","",IFERROR(INDEX(Prêts!$B$5:$B$14,MATCH(A46,Prêts!$A$5:$A$14,0)),"?"))</f>
        <v>APPART-01</v>
      </c>
      <c r="K46" s="32" t="n">
        <f aca="false">IF(A46="",0,IF(C46&gt;=IFERROR(INDEX(Biens!$O$5:$O$30,MATCH(J46,Biens!$A$5:$A$30,0)),99999),1,0))</f>
        <v>0</v>
      </c>
    </row>
    <row r="47" customFormat="false" ht="15" hidden="false" customHeight="true" outlineLevel="0" collapsed="false">
      <c r="A47" s="30" t="s">
        <v>417</v>
      </c>
      <c r="B47" s="30" t="n">
        <v>43</v>
      </c>
      <c r="C47" s="28" t="n">
        <v>44352</v>
      </c>
      <c r="D47" s="29" t="n">
        <f aca="false">IF(C47="","",YEAR(C47))</f>
        <v>2021</v>
      </c>
      <c r="E47" s="31" t="n">
        <v>143966.67</v>
      </c>
      <c r="F47" s="31" t="n">
        <v>641.29</v>
      </c>
      <c r="G47" s="31" t="n">
        <v>179.96</v>
      </c>
      <c r="H47" s="31" t="n">
        <v>20.08</v>
      </c>
      <c r="I47" s="33" t="n">
        <f aca="false">IF(C47="","",F47+G47+H47)</f>
        <v>841.33</v>
      </c>
      <c r="J47" s="32" t="str">
        <f aca="false">IF(A47="","",IFERROR(INDEX(Prêts!$B$5:$B$14,MATCH(A47,Prêts!$A$5:$A$14,0)),"?"))</f>
        <v>APPART-01</v>
      </c>
      <c r="K47" s="32" t="n">
        <f aca="false">IF(A47="",0,IF(C47&gt;=IFERROR(INDEX(Biens!$O$5:$O$30,MATCH(J47,Biens!$A$5:$A$30,0)),99999),1,0))</f>
        <v>0</v>
      </c>
    </row>
    <row r="48" customFormat="false" ht="15" hidden="false" customHeight="true" outlineLevel="0" collapsed="false">
      <c r="A48" s="30" t="s">
        <v>417</v>
      </c>
      <c r="B48" s="30" t="n">
        <v>44</v>
      </c>
      <c r="C48" s="28" t="n">
        <v>44382</v>
      </c>
      <c r="D48" s="29" t="n">
        <f aca="false">IF(C48="","",YEAR(C48))</f>
        <v>2021</v>
      </c>
      <c r="E48" s="31" t="n">
        <v>143325.38</v>
      </c>
      <c r="F48" s="31" t="n">
        <v>642.09</v>
      </c>
      <c r="G48" s="31" t="n">
        <v>179.16</v>
      </c>
      <c r="H48" s="31" t="n">
        <v>20.08</v>
      </c>
      <c r="I48" s="33" t="n">
        <f aca="false">IF(C48="","",F48+G48+H48)</f>
        <v>841.33</v>
      </c>
      <c r="J48" s="32" t="str">
        <f aca="false">IF(A48="","",IFERROR(INDEX(Prêts!$B$5:$B$14,MATCH(A48,Prêts!$A$5:$A$14,0)),"?"))</f>
        <v>APPART-01</v>
      </c>
      <c r="K48" s="32" t="n">
        <f aca="false">IF(A48="",0,IF(C48&gt;=IFERROR(INDEX(Biens!$O$5:$O$30,MATCH(J48,Biens!$A$5:$A$30,0)),99999),1,0))</f>
        <v>0</v>
      </c>
    </row>
    <row r="49" customFormat="false" ht="15" hidden="false" customHeight="true" outlineLevel="0" collapsed="false">
      <c r="A49" s="30" t="s">
        <v>417</v>
      </c>
      <c r="B49" s="30" t="n">
        <v>45</v>
      </c>
      <c r="C49" s="28" t="n">
        <v>44413</v>
      </c>
      <c r="D49" s="29" t="n">
        <f aca="false">IF(C49="","",YEAR(C49))</f>
        <v>2021</v>
      </c>
      <c r="E49" s="31" t="n">
        <v>142683.29</v>
      </c>
      <c r="F49" s="31" t="n">
        <v>642.89</v>
      </c>
      <c r="G49" s="31" t="n">
        <v>178.36</v>
      </c>
      <c r="H49" s="31" t="n">
        <v>20.08</v>
      </c>
      <c r="I49" s="33" t="n">
        <f aca="false">IF(C49="","",F49+G49+H49)</f>
        <v>841.33</v>
      </c>
      <c r="J49" s="32" t="str">
        <f aca="false">IF(A49="","",IFERROR(INDEX(Prêts!$B$5:$B$14,MATCH(A49,Prêts!$A$5:$A$14,0)),"?"))</f>
        <v>APPART-01</v>
      </c>
      <c r="K49" s="32" t="n">
        <f aca="false">IF(A49="",0,IF(C49&gt;=IFERROR(INDEX(Biens!$O$5:$O$30,MATCH(J49,Biens!$A$5:$A$30,0)),99999),1,0))</f>
        <v>0</v>
      </c>
    </row>
    <row r="50" customFormat="false" ht="15" hidden="false" customHeight="true" outlineLevel="0" collapsed="false">
      <c r="A50" s="30" t="s">
        <v>417</v>
      </c>
      <c r="B50" s="30" t="n">
        <v>46</v>
      </c>
      <c r="C50" s="28" t="n">
        <v>44444</v>
      </c>
      <c r="D50" s="29" t="n">
        <f aca="false">IF(C50="","",YEAR(C50))</f>
        <v>2021</v>
      </c>
      <c r="E50" s="31" t="n">
        <v>142040.4</v>
      </c>
      <c r="F50" s="31" t="n">
        <v>643.7</v>
      </c>
      <c r="G50" s="31" t="n">
        <v>177.55</v>
      </c>
      <c r="H50" s="31" t="n">
        <v>20.08</v>
      </c>
      <c r="I50" s="33" t="n">
        <f aca="false">IF(C50="","",F50+G50+H50)</f>
        <v>841.33</v>
      </c>
      <c r="J50" s="32" t="str">
        <f aca="false">IF(A50="","",IFERROR(INDEX(Prêts!$B$5:$B$14,MATCH(A50,Prêts!$A$5:$A$14,0)),"?"))</f>
        <v>APPART-01</v>
      </c>
      <c r="K50" s="32" t="n">
        <f aca="false">IF(A50="",0,IF(C50&gt;=IFERROR(INDEX(Biens!$O$5:$O$30,MATCH(J50,Biens!$A$5:$A$30,0)),99999),1,0))</f>
        <v>0</v>
      </c>
    </row>
    <row r="51" customFormat="false" ht="15" hidden="false" customHeight="true" outlineLevel="0" collapsed="false">
      <c r="A51" s="30" t="s">
        <v>417</v>
      </c>
      <c r="B51" s="30" t="n">
        <v>47</v>
      </c>
      <c r="C51" s="28" t="n">
        <v>44474</v>
      </c>
      <c r="D51" s="29" t="n">
        <f aca="false">IF(C51="","",YEAR(C51))</f>
        <v>2021</v>
      </c>
      <c r="E51" s="31" t="n">
        <v>141396.7</v>
      </c>
      <c r="F51" s="31" t="n">
        <v>644.5</v>
      </c>
      <c r="G51" s="31" t="n">
        <v>176.75</v>
      </c>
      <c r="H51" s="31" t="n">
        <v>20.08</v>
      </c>
      <c r="I51" s="33" t="n">
        <f aca="false">IF(C51="","",F51+G51+H51)</f>
        <v>841.33</v>
      </c>
      <c r="J51" s="32" t="str">
        <f aca="false">IF(A51="","",IFERROR(INDEX(Prêts!$B$5:$B$14,MATCH(A51,Prêts!$A$5:$A$14,0)),"?"))</f>
        <v>APPART-01</v>
      </c>
      <c r="K51" s="32" t="n">
        <f aca="false">IF(A51="",0,IF(C51&gt;=IFERROR(INDEX(Biens!$O$5:$O$30,MATCH(J51,Biens!$A$5:$A$30,0)),99999),1,0))</f>
        <v>0</v>
      </c>
    </row>
    <row r="52" customFormat="false" ht="15" hidden="false" customHeight="true" outlineLevel="0" collapsed="false">
      <c r="A52" s="30" t="s">
        <v>417</v>
      </c>
      <c r="B52" s="30" t="n">
        <v>48</v>
      </c>
      <c r="C52" s="28" t="n">
        <v>44505</v>
      </c>
      <c r="D52" s="29" t="n">
        <f aca="false">IF(C52="","",YEAR(C52))</f>
        <v>2021</v>
      </c>
      <c r="E52" s="31" t="n">
        <v>140752.2</v>
      </c>
      <c r="F52" s="31" t="n">
        <v>645.31</v>
      </c>
      <c r="G52" s="31" t="n">
        <v>175.94</v>
      </c>
      <c r="H52" s="31" t="n">
        <v>20.08</v>
      </c>
      <c r="I52" s="33" t="n">
        <f aca="false">IF(C52="","",F52+G52+H52)</f>
        <v>841.33</v>
      </c>
      <c r="J52" s="32" t="str">
        <f aca="false">IF(A52="","",IFERROR(INDEX(Prêts!$B$5:$B$14,MATCH(A52,Prêts!$A$5:$A$14,0)),"?"))</f>
        <v>APPART-01</v>
      </c>
      <c r="K52" s="32" t="n">
        <f aca="false">IF(A52="",0,IF(C52&gt;=IFERROR(INDEX(Biens!$O$5:$O$30,MATCH(J52,Biens!$A$5:$A$30,0)),99999),1,0))</f>
        <v>0</v>
      </c>
    </row>
    <row r="53" customFormat="false" ht="15" hidden="false" customHeight="true" outlineLevel="0" collapsed="false">
      <c r="A53" s="30" t="s">
        <v>417</v>
      </c>
      <c r="B53" s="30" t="n">
        <v>49</v>
      </c>
      <c r="C53" s="28" t="n">
        <v>44535</v>
      </c>
      <c r="D53" s="29" t="n">
        <f aca="false">IF(C53="","",YEAR(C53))</f>
        <v>2021</v>
      </c>
      <c r="E53" s="31" t="n">
        <v>140106.89</v>
      </c>
      <c r="F53" s="31" t="n">
        <v>646.11</v>
      </c>
      <c r="G53" s="31" t="n">
        <v>175.14</v>
      </c>
      <c r="H53" s="31" t="n">
        <v>20.08</v>
      </c>
      <c r="I53" s="33" t="n">
        <f aca="false">IF(C53="","",F53+G53+H53)</f>
        <v>841.33</v>
      </c>
      <c r="J53" s="32" t="str">
        <f aca="false">IF(A53="","",IFERROR(INDEX(Prêts!$B$5:$B$14,MATCH(A53,Prêts!$A$5:$A$14,0)),"?"))</f>
        <v>APPART-01</v>
      </c>
      <c r="K53" s="32" t="n">
        <f aca="false">IF(A53="",0,IF(C53&gt;=IFERROR(INDEX(Biens!$O$5:$O$30,MATCH(J53,Biens!$A$5:$A$30,0)),99999),1,0))</f>
        <v>0</v>
      </c>
    </row>
    <row r="54" customFormat="false" ht="15" hidden="false" customHeight="true" outlineLevel="0" collapsed="false">
      <c r="A54" s="30" t="s">
        <v>417</v>
      </c>
      <c r="B54" s="30" t="n">
        <v>50</v>
      </c>
      <c r="C54" s="28" t="n">
        <v>44566</v>
      </c>
      <c r="D54" s="29" t="n">
        <f aca="false">IF(C54="","",YEAR(C54))</f>
        <v>2022</v>
      </c>
      <c r="E54" s="31" t="n">
        <v>139460.78</v>
      </c>
      <c r="F54" s="31" t="n">
        <v>646.92</v>
      </c>
      <c r="G54" s="31" t="n">
        <v>174.33</v>
      </c>
      <c r="H54" s="31" t="n">
        <v>20.08</v>
      </c>
      <c r="I54" s="33" t="n">
        <f aca="false">IF(C54="","",F54+G54+H54)</f>
        <v>841.33</v>
      </c>
      <c r="J54" s="32" t="str">
        <f aca="false">IF(A54="","",IFERROR(INDEX(Prêts!$B$5:$B$14,MATCH(A54,Prêts!$A$5:$A$14,0)),"?"))</f>
        <v>APPART-01</v>
      </c>
      <c r="K54" s="32" t="n">
        <f aca="false">IF(A54="",0,IF(C54&gt;=IFERROR(INDEX(Biens!$O$5:$O$30,MATCH(J54,Biens!$A$5:$A$30,0)),99999),1,0))</f>
        <v>0</v>
      </c>
    </row>
    <row r="55" customFormat="false" ht="15" hidden="false" customHeight="true" outlineLevel="0" collapsed="false">
      <c r="A55" s="30" t="s">
        <v>417</v>
      </c>
      <c r="B55" s="30" t="n">
        <v>51</v>
      </c>
      <c r="C55" s="28" t="n">
        <v>44597</v>
      </c>
      <c r="D55" s="29" t="n">
        <f aca="false">IF(C55="","",YEAR(C55))</f>
        <v>2022</v>
      </c>
      <c r="E55" s="31" t="n">
        <v>138813.86</v>
      </c>
      <c r="F55" s="31" t="n">
        <v>647.73</v>
      </c>
      <c r="G55" s="31" t="n">
        <v>173.52</v>
      </c>
      <c r="H55" s="31" t="n">
        <v>20.08</v>
      </c>
      <c r="I55" s="33" t="n">
        <f aca="false">IF(C55="","",F55+G55+H55)</f>
        <v>841.33</v>
      </c>
      <c r="J55" s="32" t="str">
        <f aca="false">IF(A55="","",IFERROR(INDEX(Prêts!$B$5:$B$14,MATCH(A55,Prêts!$A$5:$A$14,0)),"?"))</f>
        <v>APPART-01</v>
      </c>
      <c r="K55" s="32" t="n">
        <f aca="false">IF(A55="",0,IF(C55&gt;=IFERROR(INDEX(Biens!$O$5:$O$30,MATCH(J55,Biens!$A$5:$A$30,0)),99999),1,0))</f>
        <v>0</v>
      </c>
    </row>
    <row r="56" customFormat="false" ht="15" hidden="false" customHeight="true" outlineLevel="0" collapsed="false">
      <c r="A56" s="30" t="s">
        <v>417</v>
      </c>
      <c r="B56" s="30" t="n">
        <v>52</v>
      </c>
      <c r="C56" s="28" t="n">
        <v>44625</v>
      </c>
      <c r="D56" s="29" t="n">
        <f aca="false">IF(C56="","",YEAR(C56))</f>
        <v>2022</v>
      </c>
      <c r="E56" s="31" t="n">
        <v>138166.14</v>
      </c>
      <c r="F56" s="31" t="n">
        <v>648.54</v>
      </c>
      <c r="G56" s="31" t="n">
        <v>172.71</v>
      </c>
      <c r="H56" s="31" t="n">
        <v>20.08</v>
      </c>
      <c r="I56" s="33" t="n">
        <f aca="false">IF(C56="","",F56+G56+H56)</f>
        <v>841.33</v>
      </c>
      <c r="J56" s="32" t="str">
        <f aca="false">IF(A56="","",IFERROR(INDEX(Prêts!$B$5:$B$14,MATCH(A56,Prêts!$A$5:$A$14,0)),"?"))</f>
        <v>APPART-01</v>
      </c>
      <c r="K56" s="32" t="n">
        <f aca="false">IF(A56="",0,IF(C56&gt;=IFERROR(INDEX(Biens!$O$5:$O$30,MATCH(J56,Biens!$A$5:$A$30,0)),99999),1,0))</f>
        <v>0</v>
      </c>
    </row>
    <row r="57" customFormat="false" ht="15" hidden="false" customHeight="true" outlineLevel="0" collapsed="false">
      <c r="A57" s="30" t="s">
        <v>417</v>
      </c>
      <c r="B57" s="30" t="n">
        <v>53</v>
      </c>
      <c r="C57" s="28" t="n">
        <v>44656</v>
      </c>
      <c r="D57" s="29" t="n">
        <f aca="false">IF(C57="","",YEAR(C57))</f>
        <v>2022</v>
      </c>
      <c r="E57" s="31" t="n">
        <v>137517.6</v>
      </c>
      <c r="F57" s="31" t="n">
        <v>649.34</v>
      </c>
      <c r="G57" s="31" t="n">
        <v>171.9</v>
      </c>
      <c r="H57" s="31" t="n">
        <v>20.08</v>
      </c>
      <c r="I57" s="33" t="n">
        <f aca="false">IF(C57="","",F57+G57+H57)</f>
        <v>841.32</v>
      </c>
      <c r="J57" s="32" t="str">
        <f aca="false">IF(A57="","",IFERROR(INDEX(Prêts!$B$5:$B$14,MATCH(A57,Prêts!$A$5:$A$14,0)),"?"))</f>
        <v>APPART-01</v>
      </c>
      <c r="K57" s="32" t="n">
        <f aca="false">IF(A57="",0,IF(C57&gt;=IFERROR(INDEX(Biens!$O$5:$O$30,MATCH(J57,Biens!$A$5:$A$30,0)),99999),1,0))</f>
        <v>0</v>
      </c>
    </row>
    <row r="58" customFormat="false" ht="15" hidden="false" customHeight="true" outlineLevel="0" collapsed="false">
      <c r="A58" s="30" t="s">
        <v>417</v>
      </c>
      <c r="B58" s="30" t="n">
        <v>54</v>
      </c>
      <c r="C58" s="28" t="n">
        <v>44686</v>
      </c>
      <c r="D58" s="29" t="n">
        <f aca="false">IF(C58="","",YEAR(C58))</f>
        <v>2022</v>
      </c>
      <c r="E58" s="31" t="n">
        <v>136868.26</v>
      </c>
      <c r="F58" s="31" t="n">
        <v>650.16</v>
      </c>
      <c r="G58" s="31" t="n">
        <v>171.08</v>
      </c>
      <c r="H58" s="31" t="n">
        <v>20.08</v>
      </c>
      <c r="I58" s="33" t="n">
        <f aca="false">IF(C58="","",F58+G58+H58)</f>
        <v>841.32</v>
      </c>
      <c r="J58" s="32" t="str">
        <f aca="false">IF(A58="","",IFERROR(INDEX(Prêts!$B$5:$B$14,MATCH(A58,Prêts!$A$5:$A$14,0)),"?"))</f>
        <v>APPART-01</v>
      </c>
      <c r="K58" s="32" t="n">
        <f aca="false">IF(A58="",0,IF(C58&gt;=IFERROR(INDEX(Biens!$O$5:$O$30,MATCH(J58,Biens!$A$5:$A$30,0)),99999),1,0))</f>
        <v>0</v>
      </c>
    </row>
    <row r="59" customFormat="false" ht="15" hidden="false" customHeight="true" outlineLevel="0" collapsed="false">
      <c r="A59" s="30" t="s">
        <v>417</v>
      </c>
      <c r="B59" s="30" t="n">
        <v>55</v>
      </c>
      <c r="C59" s="28" t="n">
        <v>44717</v>
      </c>
      <c r="D59" s="29" t="n">
        <f aca="false">IF(C59="","",YEAR(C59))</f>
        <v>2022</v>
      </c>
      <c r="E59" s="31" t="n">
        <v>136218.1</v>
      </c>
      <c r="F59" s="31" t="n">
        <v>650.97</v>
      </c>
      <c r="G59" s="31" t="n">
        <v>170.27</v>
      </c>
      <c r="H59" s="31" t="n">
        <v>20.08</v>
      </c>
      <c r="I59" s="33" t="n">
        <f aca="false">IF(C59="","",F59+G59+H59)</f>
        <v>841.32</v>
      </c>
      <c r="J59" s="32" t="str">
        <f aca="false">IF(A59="","",IFERROR(INDEX(Prêts!$B$5:$B$14,MATCH(A59,Prêts!$A$5:$A$14,0)),"?"))</f>
        <v>APPART-01</v>
      </c>
      <c r="K59" s="32" t="n">
        <f aca="false">IF(A59="",0,IF(C59&gt;=IFERROR(INDEX(Biens!$O$5:$O$30,MATCH(J59,Biens!$A$5:$A$30,0)),99999),1,0))</f>
        <v>0</v>
      </c>
    </row>
    <row r="60" customFormat="false" ht="15" hidden="false" customHeight="true" outlineLevel="0" collapsed="false">
      <c r="A60" s="30" t="s">
        <v>417</v>
      </c>
      <c r="B60" s="30" t="n">
        <v>56</v>
      </c>
      <c r="C60" s="28" t="n">
        <v>44747</v>
      </c>
      <c r="D60" s="29" t="n">
        <f aca="false">IF(C60="","",YEAR(C60))</f>
        <v>2022</v>
      </c>
      <c r="E60" s="31" t="n">
        <v>135567.12</v>
      </c>
      <c r="F60" s="31" t="n">
        <v>651.79</v>
      </c>
      <c r="G60" s="31" t="n">
        <v>169.46</v>
      </c>
      <c r="H60" s="31" t="n">
        <v>20.08</v>
      </c>
      <c r="I60" s="33" t="n">
        <f aca="false">IF(C60="","",F60+G60+H60)</f>
        <v>841.33</v>
      </c>
      <c r="J60" s="32" t="str">
        <f aca="false">IF(A60="","",IFERROR(INDEX(Prêts!$B$5:$B$14,MATCH(A60,Prêts!$A$5:$A$14,0)),"?"))</f>
        <v>APPART-01</v>
      </c>
      <c r="K60" s="32" t="n">
        <f aca="false">IF(A60="",0,IF(C60&gt;=IFERROR(INDEX(Biens!$O$5:$O$30,MATCH(J60,Biens!$A$5:$A$30,0)),99999),1,0))</f>
        <v>0</v>
      </c>
    </row>
    <row r="61" customFormat="false" ht="15" hidden="false" customHeight="true" outlineLevel="0" collapsed="false">
      <c r="A61" s="30" t="s">
        <v>417</v>
      </c>
      <c r="B61" s="30" t="n">
        <v>57</v>
      </c>
      <c r="C61" s="28" t="n">
        <v>44778</v>
      </c>
      <c r="D61" s="29" t="n">
        <f aca="false">IF(C61="","",YEAR(C61))</f>
        <v>2022</v>
      </c>
      <c r="E61" s="31" t="n">
        <v>134915.33</v>
      </c>
      <c r="F61" s="31" t="n">
        <v>652.6</v>
      </c>
      <c r="G61" s="31" t="n">
        <v>168.65</v>
      </c>
      <c r="H61" s="31" t="n">
        <v>20.08</v>
      </c>
      <c r="I61" s="33" t="n">
        <f aca="false">IF(C61="","",F61+G61+H61)</f>
        <v>841.33</v>
      </c>
      <c r="J61" s="32" t="str">
        <f aca="false">IF(A61="","",IFERROR(INDEX(Prêts!$B$5:$B$14,MATCH(A61,Prêts!$A$5:$A$14,0)),"?"))</f>
        <v>APPART-01</v>
      </c>
      <c r="K61" s="32" t="n">
        <f aca="false">IF(A61="",0,IF(C61&gt;=IFERROR(INDEX(Biens!$O$5:$O$30,MATCH(J61,Biens!$A$5:$A$30,0)),99999),1,0))</f>
        <v>0</v>
      </c>
    </row>
    <row r="62" customFormat="false" ht="15" hidden="false" customHeight="true" outlineLevel="0" collapsed="false">
      <c r="A62" s="30" t="s">
        <v>417</v>
      </c>
      <c r="B62" s="30" t="n">
        <v>58</v>
      </c>
      <c r="C62" s="28" t="n">
        <v>44809</v>
      </c>
      <c r="D62" s="29" t="n">
        <f aca="false">IF(C62="","",YEAR(C62))</f>
        <v>2022</v>
      </c>
      <c r="E62" s="31" t="n">
        <v>134262.73</v>
      </c>
      <c r="F62" s="31" t="n">
        <v>653.42</v>
      </c>
      <c r="G62" s="31" t="n">
        <v>167.83</v>
      </c>
      <c r="H62" s="31" t="n">
        <v>20.08</v>
      </c>
      <c r="I62" s="33" t="n">
        <f aca="false">IF(C62="","",F62+G62+H62)</f>
        <v>841.33</v>
      </c>
      <c r="J62" s="32" t="str">
        <f aca="false">IF(A62="","",IFERROR(INDEX(Prêts!$B$5:$B$14,MATCH(A62,Prêts!$A$5:$A$14,0)),"?"))</f>
        <v>APPART-01</v>
      </c>
      <c r="K62" s="32" t="n">
        <f aca="false">IF(A62="",0,IF(C62&gt;=IFERROR(INDEX(Biens!$O$5:$O$30,MATCH(J62,Biens!$A$5:$A$30,0)),99999),1,0))</f>
        <v>0</v>
      </c>
    </row>
    <row r="63" customFormat="false" ht="15" hidden="false" customHeight="true" outlineLevel="0" collapsed="false">
      <c r="A63" s="30" t="s">
        <v>417</v>
      </c>
      <c r="B63" s="30" t="n">
        <v>59</v>
      </c>
      <c r="C63" s="28" t="n">
        <v>44839</v>
      </c>
      <c r="D63" s="29" t="n">
        <f aca="false">IF(C63="","",YEAR(C63))</f>
        <v>2022</v>
      </c>
      <c r="E63" s="31" t="n">
        <v>133609.31</v>
      </c>
      <c r="F63" s="31" t="n">
        <v>654.24</v>
      </c>
      <c r="G63" s="31" t="n">
        <v>167.01</v>
      </c>
      <c r="H63" s="31" t="n">
        <v>20.08</v>
      </c>
      <c r="I63" s="33" t="n">
        <f aca="false">IF(C63="","",F63+G63+H63)</f>
        <v>841.33</v>
      </c>
      <c r="J63" s="32" t="str">
        <f aca="false">IF(A63="","",IFERROR(INDEX(Prêts!$B$5:$B$14,MATCH(A63,Prêts!$A$5:$A$14,0)),"?"))</f>
        <v>APPART-01</v>
      </c>
      <c r="K63" s="32" t="n">
        <f aca="false">IF(A63="",0,IF(C63&gt;=IFERROR(INDEX(Biens!$O$5:$O$30,MATCH(J63,Biens!$A$5:$A$30,0)),99999),1,0))</f>
        <v>0</v>
      </c>
    </row>
    <row r="64" customFormat="false" ht="15" hidden="false" customHeight="true" outlineLevel="0" collapsed="false">
      <c r="A64" s="30" t="s">
        <v>417</v>
      </c>
      <c r="B64" s="30" t="n">
        <v>60</v>
      </c>
      <c r="C64" s="28" t="n">
        <v>44870</v>
      </c>
      <c r="D64" s="29" t="n">
        <f aca="false">IF(C64="","",YEAR(C64))</f>
        <v>2022</v>
      </c>
      <c r="E64" s="31" t="n">
        <v>132955.08</v>
      </c>
      <c r="F64" s="31" t="n">
        <v>655.05</v>
      </c>
      <c r="G64" s="31" t="n">
        <v>166.19</v>
      </c>
      <c r="H64" s="31" t="n">
        <v>20.08</v>
      </c>
      <c r="I64" s="33" t="n">
        <f aca="false">IF(C64="","",F64+G64+H64)</f>
        <v>841.32</v>
      </c>
      <c r="J64" s="32" t="str">
        <f aca="false">IF(A64="","",IFERROR(INDEX(Prêts!$B$5:$B$14,MATCH(A64,Prêts!$A$5:$A$14,0)),"?"))</f>
        <v>APPART-01</v>
      </c>
      <c r="K64" s="32" t="n">
        <f aca="false">IF(A64="",0,IF(C64&gt;=IFERROR(INDEX(Biens!$O$5:$O$30,MATCH(J64,Biens!$A$5:$A$30,0)),99999),1,0))</f>
        <v>0</v>
      </c>
    </row>
    <row r="65" customFormat="false" ht="15" hidden="false" customHeight="true" outlineLevel="0" collapsed="false">
      <c r="A65" s="30" t="s">
        <v>417</v>
      </c>
      <c r="B65" s="30" t="n">
        <v>61</v>
      </c>
      <c r="C65" s="28" t="n">
        <v>44900</v>
      </c>
      <c r="D65" s="29" t="n">
        <f aca="false">IF(C65="","",YEAR(C65))</f>
        <v>2022</v>
      </c>
      <c r="E65" s="31" t="n">
        <v>132300.02</v>
      </c>
      <c r="F65" s="31" t="n">
        <v>655.87</v>
      </c>
      <c r="G65" s="31" t="n">
        <v>165.37</v>
      </c>
      <c r="H65" s="31" t="n">
        <v>20.08</v>
      </c>
      <c r="I65" s="33" t="n">
        <f aca="false">IF(C65="","",F65+G65+H65)</f>
        <v>841.32</v>
      </c>
      <c r="J65" s="32" t="str">
        <f aca="false">IF(A65="","",IFERROR(INDEX(Prêts!$B$5:$B$14,MATCH(A65,Prêts!$A$5:$A$14,0)),"?"))</f>
        <v>APPART-01</v>
      </c>
      <c r="K65" s="32" t="n">
        <f aca="false">IF(A65="",0,IF(C65&gt;=IFERROR(INDEX(Biens!$O$5:$O$30,MATCH(J65,Biens!$A$5:$A$30,0)),99999),1,0))</f>
        <v>0</v>
      </c>
    </row>
    <row r="66" customFormat="false" ht="15" hidden="false" customHeight="true" outlineLevel="0" collapsed="false">
      <c r="A66" s="30" t="s">
        <v>417</v>
      </c>
      <c r="B66" s="30" t="n">
        <v>62</v>
      </c>
      <c r="C66" s="28" t="n">
        <v>44931</v>
      </c>
      <c r="D66" s="29" t="n">
        <f aca="false">IF(C66="","",YEAR(C66))</f>
        <v>2023</v>
      </c>
      <c r="E66" s="31" t="n">
        <v>131644.15</v>
      </c>
      <c r="F66" s="31" t="n">
        <v>656.69</v>
      </c>
      <c r="G66" s="31" t="n">
        <v>164.55</v>
      </c>
      <c r="H66" s="31" t="n">
        <v>20.08</v>
      </c>
      <c r="I66" s="33" t="n">
        <f aca="false">IF(C66="","",F66+G66+H66)</f>
        <v>841.32</v>
      </c>
      <c r="J66" s="32" t="str">
        <f aca="false">IF(A66="","",IFERROR(INDEX(Prêts!$B$5:$B$14,MATCH(A66,Prêts!$A$5:$A$14,0)),"?"))</f>
        <v>APPART-01</v>
      </c>
      <c r="K66" s="32" t="n">
        <f aca="false">IF(A66="",0,IF(C66&gt;=IFERROR(INDEX(Biens!$O$5:$O$30,MATCH(J66,Biens!$A$5:$A$30,0)),99999),1,0))</f>
        <v>0</v>
      </c>
    </row>
    <row r="67" customFormat="false" ht="15" hidden="false" customHeight="true" outlineLevel="0" collapsed="false">
      <c r="A67" s="30" t="s">
        <v>417</v>
      </c>
      <c r="B67" s="30" t="n">
        <v>63</v>
      </c>
      <c r="C67" s="28" t="n">
        <v>44962</v>
      </c>
      <c r="D67" s="29" t="n">
        <f aca="false">IF(C67="","",YEAR(C67))</f>
        <v>2023</v>
      </c>
      <c r="E67" s="31" t="n">
        <v>130987.46</v>
      </c>
      <c r="F67" s="31" t="n">
        <v>657.51</v>
      </c>
      <c r="G67" s="31" t="n">
        <v>163.74</v>
      </c>
      <c r="H67" s="31" t="n">
        <v>20.08</v>
      </c>
      <c r="I67" s="33" t="n">
        <f aca="false">IF(C67="","",F67+G67+H67)</f>
        <v>841.33</v>
      </c>
      <c r="J67" s="32" t="str">
        <f aca="false">IF(A67="","",IFERROR(INDEX(Prêts!$B$5:$B$14,MATCH(A67,Prêts!$A$5:$A$14,0)),"?"))</f>
        <v>APPART-01</v>
      </c>
      <c r="K67" s="32" t="n">
        <f aca="false">IF(A67="",0,IF(C67&gt;=IFERROR(INDEX(Biens!$O$5:$O$30,MATCH(J67,Biens!$A$5:$A$30,0)),99999),1,0))</f>
        <v>0</v>
      </c>
    </row>
    <row r="68" customFormat="false" ht="15" hidden="false" customHeight="true" outlineLevel="0" collapsed="false">
      <c r="A68" s="30" t="s">
        <v>417</v>
      </c>
      <c r="B68" s="30" t="n">
        <v>64</v>
      </c>
      <c r="C68" s="28" t="n">
        <v>44990</v>
      </c>
      <c r="D68" s="29" t="n">
        <f aca="false">IF(C68="","",YEAR(C68))</f>
        <v>2023</v>
      </c>
      <c r="E68" s="31" t="n">
        <v>130329.95</v>
      </c>
      <c r="F68" s="31" t="n">
        <v>658.34</v>
      </c>
      <c r="G68" s="31" t="n">
        <v>162.91</v>
      </c>
      <c r="H68" s="31" t="n">
        <v>20.08</v>
      </c>
      <c r="I68" s="33" t="n">
        <f aca="false">IF(C68="","",F68+G68+H68)</f>
        <v>841.33</v>
      </c>
      <c r="J68" s="32" t="str">
        <f aca="false">IF(A68="","",IFERROR(INDEX(Prêts!$B$5:$B$14,MATCH(A68,Prêts!$A$5:$A$14,0)),"?"))</f>
        <v>APPART-01</v>
      </c>
      <c r="K68" s="32" t="n">
        <f aca="false">IF(A68="",0,IF(C68&gt;=IFERROR(INDEX(Biens!$O$5:$O$30,MATCH(J68,Biens!$A$5:$A$30,0)),99999),1,0))</f>
        <v>0</v>
      </c>
    </row>
    <row r="69" customFormat="false" ht="15" hidden="false" customHeight="true" outlineLevel="0" collapsed="false">
      <c r="A69" s="30" t="s">
        <v>417</v>
      </c>
      <c r="B69" s="30" t="n">
        <v>65</v>
      </c>
      <c r="C69" s="28" t="n">
        <v>45021</v>
      </c>
      <c r="D69" s="29" t="n">
        <f aca="false">IF(C69="","",YEAR(C69))</f>
        <v>2023</v>
      </c>
      <c r="E69" s="31" t="n">
        <v>129671.61</v>
      </c>
      <c r="F69" s="31" t="n">
        <v>659.16</v>
      </c>
      <c r="G69" s="31" t="n">
        <v>162.09</v>
      </c>
      <c r="H69" s="31" t="n">
        <v>20.08</v>
      </c>
      <c r="I69" s="33" t="n">
        <f aca="false">IF(C69="","",F69+G69+H69)</f>
        <v>841.33</v>
      </c>
      <c r="J69" s="32" t="str">
        <f aca="false">IF(A69="","",IFERROR(INDEX(Prêts!$B$5:$B$14,MATCH(A69,Prêts!$A$5:$A$14,0)),"?"))</f>
        <v>APPART-01</v>
      </c>
      <c r="K69" s="32" t="n">
        <f aca="false">IF(A69="",0,IF(C69&gt;=IFERROR(INDEX(Biens!$O$5:$O$30,MATCH(J69,Biens!$A$5:$A$30,0)),99999),1,0))</f>
        <v>0</v>
      </c>
    </row>
    <row r="70" customFormat="false" ht="15" hidden="false" customHeight="true" outlineLevel="0" collapsed="false">
      <c r="A70" s="30" t="s">
        <v>417</v>
      </c>
      <c r="B70" s="30" t="n">
        <v>66</v>
      </c>
      <c r="C70" s="28" t="n">
        <v>45051</v>
      </c>
      <c r="D70" s="29" t="n">
        <f aca="false">IF(C70="","",YEAR(C70))</f>
        <v>2023</v>
      </c>
      <c r="E70" s="31" t="n">
        <v>129012.46</v>
      </c>
      <c r="F70" s="31" t="n">
        <v>659.98</v>
      </c>
      <c r="G70" s="31" t="n">
        <v>161.26</v>
      </c>
      <c r="H70" s="31" t="n">
        <v>20.08</v>
      </c>
      <c r="I70" s="33" t="n">
        <f aca="false">IF(C70="","",F70+G70+H70)</f>
        <v>841.32</v>
      </c>
      <c r="J70" s="32" t="str">
        <f aca="false">IF(A70="","",IFERROR(INDEX(Prêts!$B$5:$B$14,MATCH(A70,Prêts!$A$5:$A$14,0)),"?"))</f>
        <v>APPART-01</v>
      </c>
      <c r="K70" s="32" t="n">
        <f aca="false">IF(A70="",0,IF(C70&gt;=IFERROR(INDEX(Biens!$O$5:$O$30,MATCH(J70,Biens!$A$5:$A$30,0)),99999),1,0))</f>
        <v>0</v>
      </c>
    </row>
    <row r="71" customFormat="false" ht="15" hidden="false" customHeight="true" outlineLevel="0" collapsed="false">
      <c r="A71" s="30" t="s">
        <v>417</v>
      </c>
      <c r="B71" s="30" t="n">
        <v>67</v>
      </c>
      <c r="C71" s="28" t="n">
        <v>45082</v>
      </c>
      <c r="D71" s="29" t="n">
        <f aca="false">IF(C71="","",YEAR(C71))</f>
        <v>2023</v>
      </c>
      <c r="E71" s="31" t="n">
        <v>128352.47</v>
      </c>
      <c r="F71" s="31" t="n">
        <v>660.8</v>
      </c>
      <c r="G71" s="31" t="n">
        <v>160.44</v>
      </c>
      <c r="H71" s="31" t="n">
        <v>20.08</v>
      </c>
      <c r="I71" s="33" t="n">
        <f aca="false">IF(C71="","",F71+G71+H71)</f>
        <v>841.32</v>
      </c>
      <c r="J71" s="32" t="str">
        <f aca="false">IF(A71="","",IFERROR(INDEX(Prêts!$B$5:$B$14,MATCH(A71,Prêts!$A$5:$A$14,0)),"?"))</f>
        <v>APPART-01</v>
      </c>
      <c r="K71" s="32" t="n">
        <f aca="false">IF(A71="",0,IF(C71&gt;=IFERROR(INDEX(Biens!$O$5:$O$30,MATCH(J71,Biens!$A$5:$A$30,0)),99999),1,0))</f>
        <v>0</v>
      </c>
    </row>
    <row r="72" customFormat="false" ht="15" hidden="false" customHeight="true" outlineLevel="0" collapsed="false">
      <c r="A72" s="30" t="s">
        <v>417</v>
      </c>
      <c r="B72" s="30" t="n">
        <v>68</v>
      </c>
      <c r="C72" s="28" t="n">
        <v>45112</v>
      </c>
      <c r="D72" s="29" t="n">
        <f aca="false">IF(C72="","",YEAR(C72))</f>
        <v>2023</v>
      </c>
      <c r="E72" s="31" t="n">
        <v>127691.67</v>
      </c>
      <c r="F72" s="31" t="n">
        <v>661.63</v>
      </c>
      <c r="G72" s="31" t="n">
        <v>159.62</v>
      </c>
      <c r="H72" s="31" t="n">
        <v>20.08</v>
      </c>
      <c r="I72" s="33" t="n">
        <f aca="false">IF(C72="","",F72+G72+H72)</f>
        <v>841.33</v>
      </c>
      <c r="J72" s="32" t="str">
        <f aca="false">IF(A72="","",IFERROR(INDEX(Prêts!$B$5:$B$14,MATCH(A72,Prêts!$A$5:$A$14,0)),"?"))</f>
        <v>APPART-01</v>
      </c>
      <c r="K72" s="32" t="n">
        <f aca="false">IF(A72="",0,IF(C72&gt;=IFERROR(INDEX(Biens!$O$5:$O$30,MATCH(J72,Biens!$A$5:$A$30,0)),99999),1,0))</f>
        <v>0</v>
      </c>
    </row>
    <row r="73" customFormat="false" ht="15" hidden="false" customHeight="true" outlineLevel="0" collapsed="false">
      <c r="A73" s="30" t="s">
        <v>417</v>
      </c>
      <c r="B73" s="30" t="n">
        <v>69</v>
      </c>
      <c r="C73" s="28" t="n">
        <v>45143</v>
      </c>
      <c r="D73" s="29" t="n">
        <f aca="false">IF(C73="","",YEAR(C73))</f>
        <v>2023</v>
      </c>
      <c r="E73" s="31" t="n">
        <v>127030.04</v>
      </c>
      <c r="F73" s="31" t="n">
        <v>662.46</v>
      </c>
      <c r="G73" s="31" t="n">
        <v>158.79</v>
      </c>
      <c r="H73" s="31" t="n">
        <v>20.08</v>
      </c>
      <c r="I73" s="33" t="n">
        <f aca="false">IF(C73="","",F73+G73+H73)</f>
        <v>841.33</v>
      </c>
      <c r="J73" s="32" t="str">
        <f aca="false">IF(A73="","",IFERROR(INDEX(Prêts!$B$5:$B$14,MATCH(A73,Prêts!$A$5:$A$14,0)),"?"))</f>
        <v>APPART-01</v>
      </c>
      <c r="K73" s="32" t="n">
        <f aca="false">IF(A73="",0,IF(C73&gt;=IFERROR(INDEX(Biens!$O$5:$O$30,MATCH(J73,Biens!$A$5:$A$30,0)),99999),1,0))</f>
        <v>0</v>
      </c>
    </row>
    <row r="74" customFormat="false" ht="15" hidden="false" customHeight="true" outlineLevel="0" collapsed="false">
      <c r="A74" s="30" t="s">
        <v>417</v>
      </c>
      <c r="B74" s="30" t="n">
        <v>70</v>
      </c>
      <c r="C74" s="28" t="n">
        <v>45174</v>
      </c>
      <c r="D74" s="29" t="n">
        <f aca="false">IF(C74="","",YEAR(C74))</f>
        <v>2023</v>
      </c>
      <c r="E74" s="31" t="n">
        <v>126367.58</v>
      </c>
      <c r="F74" s="31" t="n">
        <v>663.29</v>
      </c>
      <c r="G74" s="31" t="n">
        <v>157.96</v>
      </c>
      <c r="H74" s="31" t="n">
        <v>20.08</v>
      </c>
      <c r="I74" s="33" t="n">
        <f aca="false">IF(C74="","",F74+G74+H74)</f>
        <v>841.33</v>
      </c>
      <c r="J74" s="32" t="str">
        <f aca="false">IF(A74="","",IFERROR(INDEX(Prêts!$B$5:$B$14,MATCH(A74,Prêts!$A$5:$A$14,0)),"?"))</f>
        <v>APPART-01</v>
      </c>
      <c r="K74" s="32" t="n">
        <f aca="false">IF(A74="",0,IF(C74&gt;=IFERROR(INDEX(Biens!$O$5:$O$30,MATCH(J74,Biens!$A$5:$A$30,0)),99999),1,0))</f>
        <v>0</v>
      </c>
    </row>
    <row r="75" customFormat="false" ht="15" hidden="false" customHeight="true" outlineLevel="0" collapsed="false">
      <c r="A75" s="30" t="s">
        <v>417</v>
      </c>
      <c r="B75" s="30" t="n">
        <v>71</v>
      </c>
      <c r="C75" s="28" t="n">
        <v>45204</v>
      </c>
      <c r="D75" s="29" t="n">
        <f aca="false">IF(C75="","",YEAR(C75))</f>
        <v>2023</v>
      </c>
      <c r="E75" s="31" t="n">
        <v>125704.3</v>
      </c>
      <c r="F75" s="31" t="n">
        <v>664.11</v>
      </c>
      <c r="G75" s="31" t="n">
        <v>157.13</v>
      </c>
      <c r="H75" s="31" t="n">
        <v>20.08</v>
      </c>
      <c r="I75" s="33" t="n">
        <f aca="false">IF(C75="","",F75+G75+H75)</f>
        <v>841.32</v>
      </c>
      <c r="J75" s="32" t="str">
        <f aca="false">IF(A75="","",IFERROR(INDEX(Prêts!$B$5:$B$14,MATCH(A75,Prêts!$A$5:$A$14,0)),"?"))</f>
        <v>APPART-01</v>
      </c>
      <c r="K75" s="32" t="n">
        <f aca="false">IF(A75="",0,IF(C75&gt;=IFERROR(INDEX(Biens!$O$5:$O$30,MATCH(J75,Biens!$A$5:$A$30,0)),99999),1,0))</f>
        <v>0</v>
      </c>
    </row>
    <row r="76" customFormat="false" ht="15" hidden="false" customHeight="true" outlineLevel="0" collapsed="false">
      <c r="A76" s="30" t="s">
        <v>417</v>
      </c>
      <c r="B76" s="30" t="n">
        <v>72</v>
      </c>
      <c r="C76" s="28" t="n">
        <v>45235</v>
      </c>
      <c r="D76" s="29" t="n">
        <f aca="false">IF(C76="","",YEAR(C76))</f>
        <v>2023</v>
      </c>
      <c r="E76" s="31" t="n">
        <v>125040.18</v>
      </c>
      <c r="F76" s="31" t="n">
        <v>664.95</v>
      </c>
      <c r="G76" s="31" t="n">
        <v>156.3</v>
      </c>
      <c r="H76" s="31" t="n">
        <v>20.08</v>
      </c>
      <c r="I76" s="33" t="n">
        <f aca="false">IF(C76="","",F76+G76+H76)</f>
        <v>841.33</v>
      </c>
      <c r="J76" s="32" t="str">
        <f aca="false">IF(A76="","",IFERROR(INDEX(Prêts!$B$5:$B$14,MATCH(A76,Prêts!$A$5:$A$14,0)),"?"))</f>
        <v>APPART-01</v>
      </c>
      <c r="K76" s="32" t="n">
        <f aca="false">IF(A76="",0,IF(C76&gt;=IFERROR(INDEX(Biens!$O$5:$O$30,MATCH(J76,Biens!$A$5:$A$30,0)),99999),1,0))</f>
        <v>0</v>
      </c>
    </row>
    <row r="77" customFormat="false" ht="15" hidden="false" customHeight="true" outlineLevel="0" collapsed="false">
      <c r="A77" s="30" t="s">
        <v>417</v>
      </c>
      <c r="B77" s="30" t="n">
        <v>73</v>
      </c>
      <c r="C77" s="28" t="n">
        <v>45265</v>
      </c>
      <c r="D77" s="29" t="n">
        <f aca="false">IF(C77="","",YEAR(C77))</f>
        <v>2023</v>
      </c>
      <c r="E77" s="31" t="n">
        <v>124375.23</v>
      </c>
      <c r="F77" s="31" t="n">
        <v>665.78</v>
      </c>
      <c r="G77" s="31" t="n">
        <v>155.47</v>
      </c>
      <c r="H77" s="31" t="n">
        <v>20.08</v>
      </c>
      <c r="I77" s="33" t="n">
        <f aca="false">IF(C77="","",F77+G77+H77)</f>
        <v>841.33</v>
      </c>
      <c r="J77" s="32" t="str">
        <f aca="false">IF(A77="","",IFERROR(INDEX(Prêts!$B$5:$B$14,MATCH(A77,Prêts!$A$5:$A$14,0)),"?"))</f>
        <v>APPART-01</v>
      </c>
      <c r="K77" s="32" t="n">
        <f aca="false">IF(A77="",0,IF(C77&gt;=IFERROR(INDEX(Biens!$O$5:$O$30,MATCH(J77,Biens!$A$5:$A$30,0)),99999),1,0))</f>
        <v>0</v>
      </c>
    </row>
    <row r="78" customFormat="false" ht="15" hidden="false" customHeight="true" outlineLevel="0" collapsed="false">
      <c r="A78" s="30" t="s">
        <v>417</v>
      </c>
      <c r="B78" s="30" t="n">
        <v>74</v>
      </c>
      <c r="C78" s="28" t="n">
        <v>45296</v>
      </c>
      <c r="D78" s="29" t="n">
        <f aca="false">IF(C78="","",YEAR(C78))</f>
        <v>2024</v>
      </c>
      <c r="E78" s="31" t="n">
        <v>123709.46</v>
      </c>
      <c r="F78" s="31" t="n">
        <v>666.61</v>
      </c>
      <c r="G78" s="31" t="n">
        <v>154.64</v>
      </c>
      <c r="H78" s="31" t="n">
        <v>20.08</v>
      </c>
      <c r="I78" s="33" t="n">
        <f aca="false">IF(C78="","",F78+G78+H78)</f>
        <v>841.33</v>
      </c>
      <c r="J78" s="32" t="str">
        <f aca="false">IF(A78="","",IFERROR(INDEX(Prêts!$B$5:$B$14,MATCH(A78,Prêts!$A$5:$A$14,0)),"?"))</f>
        <v>APPART-01</v>
      </c>
      <c r="K78" s="32" t="n">
        <f aca="false">IF(A78="",0,IF(C78&gt;=IFERROR(INDEX(Biens!$O$5:$O$30,MATCH(J78,Biens!$A$5:$A$30,0)),99999),1,0))</f>
        <v>0</v>
      </c>
    </row>
    <row r="79" customFormat="false" ht="15" hidden="false" customHeight="true" outlineLevel="0" collapsed="false">
      <c r="A79" s="30" t="s">
        <v>417</v>
      </c>
      <c r="B79" s="30" t="n">
        <v>75</v>
      </c>
      <c r="C79" s="28" t="n">
        <v>45327</v>
      </c>
      <c r="D79" s="29" t="n">
        <f aca="false">IF(C79="","",YEAR(C79))</f>
        <v>2024</v>
      </c>
      <c r="E79" s="31" t="n">
        <v>123042.85</v>
      </c>
      <c r="F79" s="31" t="n">
        <v>667.44</v>
      </c>
      <c r="G79" s="31" t="n">
        <v>153.8</v>
      </c>
      <c r="H79" s="31" t="n">
        <v>20.08</v>
      </c>
      <c r="I79" s="33" t="n">
        <f aca="false">IF(C79="","",F79+G79+H79)</f>
        <v>841.32</v>
      </c>
      <c r="J79" s="32" t="str">
        <f aca="false">IF(A79="","",IFERROR(INDEX(Prêts!$B$5:$B$14,MATCH(A79,Prêts!$A$5:$A$14,0)),"?"))</f>
        <v>APPART-01</v>
      </c>
      <c r="K79" s="32" t="n">
        <f aca="false">IF(A79="",0,IF(C79&gt;=IFERROR(INDEX(Biens!$O$5:$O$30,MATCH(J79,Biens!$A$5:$A$30,0)),99999),1,0))</f>
        <v>0</v>
      </c>
    </row>
    <row r="80" customFormat="false" ht="15" hidden="false" customHeight="true" outlineLevel="0" collapsed="false">
      <c r="A80" s="30" t="s">
        <v>417</v>
      </c>
      <c r="B80" s="30" t="n">
        <v>76</v>
      </c>
      <c r="C80" s="28" t="n">
        <v>45356</v>
      </c>
      <c r="D80" s="29" t="n">
        <f aca="false">IF(C80="","",YEAR(C80))</f>
        <v>2024</v>
      </c>
      <c r="E80" s="31" t="n">
        <v>122375.41</v>
      </c>
      <c r="F80" s="31" t="n">
        <v>668.28</v>
      </c>
      <c r="G80" s="31" t="n">
        <v>152.97</v>
      </c>
      <c r="H80" s="31" t="n">
        <v>20.08</v>
      </c>
      <c r="I80" s="33" t="n">
        <f aca="false">IF(C80="","",F80+G80+H80)</f>
        <v>841.33</v>
      </c>
      <c r="J80" s="32" t="str">
        <f aca="false">IF(A80="","",IFERROR(INDEX(Prêts!$B$5:$B$14,MATCH(A80,Prêts!$A$5:$A$14,0)),"?"))</f>
        <v>APPART-01</v>
      </c>
      <c r="K80" s="32" t="n">
        <f aca="false">IF(A80="",0,IF(C80&gt;=IFERROR(INDEX(Biens!$O$5:$O$30,MATCH(J80,Biens!$A$5:$A$30,0)),99999),1,0))</f>
        <v>0</v>
      </c>
    </row>
    <row r="81" customFormat="false" ht="15" hidden="false" customHeight="true" outlineLevel="0" collapsed="false">
      <c r="A81" s="30" t="s">
        <v>417</v>
      </c>
      <c r="B81" s="30" t="n">
        <v>77</v>
      </c>
      <c r="C81" s="28" t="n">
        <v>45387</v>
      </c>
      <c r="D81" s="29" t="n">
        <f aca="false">IF(C81="","",YEAR(C81))</f>
        <v>2024</v>
      </c>
      <c r="E81" s="31" t="n">
        <v>121707.13</v>
      </c>
      <c r="F81" s="31" t="n">
        <v>669.12</v>
      </c>
      <c r="G81" s="31" t="n">
        <v>152.13</v>
      </c>
      <c r="H81" s="31" t="n">
        <v>20.08</v>
      </c>
      <c r="I81" s="33" t="n">
        <f aca="false">IF(C81="","",F81+G81+H81)</f>
        <v>841.33</v>
      </c>
      <c r="J81" s="32" t="str">
        <f aca="false">IF(A81="","",IFERROR(INDEX(Prêts!$B$5:$B$14,MATCH(A81,Prêts!$A$5:$A$14,0)),"?"))</f>
        <v>APPART-01</v>
      </c>
      <c r="K81" s="32" t="n">
        <f aca="false">IF(A81="",0,IF(C81&gt;=IFERROR(INDEX(Biens!$O$5:$O$30,MATCH(J81,Biens!$A$5:$A$30,0)),99999),1,0))</f>
        <v>0</v>
      </c>
    </row>
    <row r="82" customFormat="false" ht="15" hidden="false" customHeight="true" outlineLevel="0" collapsed="false">
      <c r="A82" s="30" t="s">
        <v>417</v>
      </c>
      <c r="B82" s="30" t="n">
        <v>78</v>
      </c>
      <c r="C82" s="28" t="n">
        <v>45417</v>
      </c>
      <c r="D82" s="29" t="n">
        <f aca="false">IF(C82="","",YEAR(C82))</f>
        <v>2024</v>
      </c>
      <c r="E82" s="31" t="n">
        <v>121038.01</v>
      </c>
      <c r="F82" s="31" t="n">
        <v>669.94</v>
      </c>
      <c r="G82" s="31" t="n">
        <v>151.3</v>
      </c>
      <c r="H82" s="31" t="n">
        <v>20.08</v>
      </c>
      <c r="I82" s="33" t="n">
        <f aca="false">IF(C82="","",F82+G82+H82)</f>
        <v>841.32</v>
      </c>
      <c r="J82" s="32" t="str">
        <f aca="false">IF(A82="","",IFERROR(INDEX(Prêts!$B$5:$B$14,MATCH(A82,Prêts!$A$5:$A$14,0)),"?"))</f>
        <v>APPART-01</v>
      </c>
      <c r="K82" s="32" t="n">
        <f aca="false">IF(A82="",0,IF(C82&gt;=IFERROR(INDEX(Biens!$O$5:$O$30,MATCH(J82,Biens!$A$5:$A$30,0)),99999),1,0))</f>
        <v>0</v>
      </c>
    </row>
    <row r="83" customFormat="false" ht="15" hidden="false" customHeight="true" outlineLevel="0" collapsed="false">
      <c r="A83" s="30" t="s">
        <v>417</v>
      </c>
      <c r="B83" s="30" t="n">
        <v>79</v>
      </c>
      <c r="C83" s="28" t="n">
        <v>45448</v>
      </c>
      <c r="D83" s="29" t="n">
        <f aca="false">IF(C83="","",YEAR(C83))</f>
        <v>2024</v>
      </c>
      <c r="E83" s="31" t="n">
        <v>120368.07</v>
      </c>
      <c r="F83" s="31" t="n">
        <v>670.78</v>
      </c>
      <c r="G83" s="31" t="n">
        <v>150.46</v>
      </c>
      <c r="H83" s="31" t="n">
        <v>20.08</v>
      </c>
      <c r="I83" s="33" t="n">
        <f aca="false">IF(C83="","",F83+G83+H83)</f>
        <v>841.32</v>
      </c>
      <c r="J83" s="32" t="str">
        <f aca="false">IF(A83="","",IFERROR(INDEX(Prêts!$B$5:$B$14,MATCH(A83,Prêts!$A$5:$A$14,0)),"?"))</f>
        <v>APPART-01</v>
      </c>
      <c r="K83" s="32" t="n">
        <f aca="false">IF(A83="",0,IF(C83&gt;=IFERROR(INDEX(Biens!$O$5:$O$30,MATCH(J83,Biens!$A$5:$A$30,0)),99999),1,0))</f>
        <v>1</v>
      </c>
    </row>
    <row r="84" customFormat="false" ht="15" hidden="false" customHeight="true" outlineLevel="0" collapsed="false">
      <c r="A84" s="30" t="s">
        <v>417</v>
      </c>
      <c r="B84" s="30" t="n">
        <v>80</v>
      </c>
      <c r="C84" s="28" t="n">
        <v>45478</v>
      </c>
      <c r="D84" s="29" t="n">
        <f aca="false">IF(C84="","",YEAR(C84))</f>
        <v>2024</v>
      </c>
      <c r="E84" s="31" t="n">
        <v>119697.29</v>
      </c>
      <c r="F84" s="31" t="n">
        <v>671.63</v>
      </c>
      <c r="G84" s="31" t="n">
        <v>149.62</v>
      </c>
      <c r="H84" s="31" t="n">
        <v>20.08</v>
      </c>
      <c r="I84" s="33" t="n">
        <f aca="false">IF(C84="","",F84+G84+H84)</f>
        <v>841.33</v>
      </c>
      <c r="J84" s="32" t="str">
        <f aca="false">IF(A84="","",IFERROR(INDEX(Prêts!$B$5:$B$14,MATCH(A84,Prêts!$A$5:$A$14,0)),"?"))</f>
        <v>APPART-01</v>
      </c>
      <c r="K84" s="32" t="n">
        <f aca="false">IF(A84="",0,IF(C84&gt;=IFERROR(INDEX(Biens!$O$5:$O$30,MATCH(J84,Biens!$A$5:$A$30,0)),99999),1,0))</f>
        <v>1</v>
      </c>
    </row>
    <row r="85" customFormat="false" ht="15" hidden="false" customHeight="true" outlineLevel="0" collapsed="false">
      <c r="A85" s="30" t="s">
        <v>417</v>
      </c>
      <c r="B85" s="30" t="n">
        <v>81</v>
      </c>
      <c r="C85" s="28" t="n">
        <v>45509</v>
      </c>
      <c r="D85" s="29" t="n">
        <f aca="false">IF(C85="","",YEAR(C85))</f>
        <v>2024</v>
      </c>
      <c r="E85" s="31" t="n">
        <v>119025.66</v>
      </c>
      <c r="F85" s="31" t="n">
        <v>672.46</v>
      </c>
      <c r="G85" s="31" t="n">
        <v>148.78</v>
      </c>
      <c r="H85" s="31" t="n">
        <v>20.08</v>
      </c>
      <c r="I85" s="33" t="n">
        <f aca="false">IF(C85="","",F85+G85+H85)</f>
        <v>841.32</v>
      </c>
      <c r="J85" s="32" t="str">
        <f aca="false">IF(A85="","",IFERROR(INDEX(Prêts!$B$5:$B$14,MATCH(A85,Prêts!$A$5:$A$14,0)),"?"))</f>
        <v>APPART-01</v>
      </c>
      <c r="K85" s="32" t="n">
        <f aca="false">IF(A85="",0,IF(C85&gt;=IFERROR(INDEX(Biens!$O$5:$O$30,MATCH(J85,Biens!$A$5:$A$30,0)),99999),1,0))</f>
        <v>1</v>
      </c>
    </row>
    <row r="86" customFormat="false" ht="15" hidden="false" customHeight="true" outlineLevel="0" collapsed="false">
      <c r="A86" s="30" t="s">
        <v>417</v>
      </c>
      <c r="B86" s="30" t="n">
        <v>82</v>
      </c>
      <c r="C86" s="28" t="n">
        <v>45540</v>
      </c>
      <c r="D86" s="29" t="n">
        <f aca="false">IF(C86="","",YEAR(C86))</f>
        <v>2024</v>
      </c>
      <c r="E86" s="31" t="n">
        <v>118353.2</v>
      </c>
      <c r="F86" s="31" t="n">
        <v>673.3</v>
      </c>
      <c r="G86" s="31" t="n">
        <v>147.94</v>
      </c>
      <c r="H86" s="31" t="n">
        <v>20.08</v>
      </c>
      <c r="I86" s="33" t="n">
        <f aca="false">IF(C86="","",F86+G86+H86)</f>
        <v>841.32</v>
      </c>
      <c r="J86" s="32" t="str">
        <f aca="false">IF(A86="","",IFERROR(INDEX(Prêts!$B$5:$B$14,MATCH(A86,Prêts!$A$5:$A$14,0)),"?"))</f>
        <v>APPART-01</v>
      </c>
      <c r="K86" s="32" t="n">
        <f aca="false">IF(A86="",0,IF(C86&gt;=IFERROR(INDEX(Biens!$O$5:$O$30,MATCH(J86,Biens!$A$5:$A$30,0)),99999),1,0))</f>
        <v>1</v>
      </c>
    </row>
    <row r="87" customFormat="false" ht="15" hidden="false" customHeight="true" outlineLevel="0" collapsed="false">
      <c r="A87" s="30" t="s">
        <v>417</v>
      </c>
      <c r="B87" s="30" t="n">
        <v>83</v>
      </c>
      <c r="C87" s="28" t="n">
        <v>45570</v>
      </c>
      <c r="D87" s="29" t="n">
        <f aca="false">IF(C87="","",YEAR(C87))</f>
        <v>2024</v>
      </c>
      <c r="E87" s="31" t="n">
        <v>117679.89</v>
      </c>
      <c r="F87" s="31" t="n">
        <v>674.15</v>
      </c>
      <c r="G87" s="31" t="n">
        <v>147.1</v>
      </c>
      <c r="H87" s="31" t="n">
        <v>20.08</v>
      </c>
      <c r="I87" s="33" t="n">
        <f aca="false">IF(C87="","",F87+G87+H87)</f>
        <v>841.33</v>
      </c>
      <c r="J87" s="32" t="str">
        <f aca="false">IF(A87="","",IFERROR(INDEX(Prêts!$B$5:$B$14,MATCH(A87,Prêts!$A$5:$A$14,0)),"?"))</f>
        <v>APPART-01</v>
      </c>
      <c r="K87" s="32" t="n">
        <f aca="false">IF(A87="",0,IF(C87&gt;=IFERROR(INDEX(Biens!$O$5:$O$30,MATCH(J87,Biens!$A$5:$A$30,0)),99999),1,0))</f>
        <v>1</v>
      </c>
    </row>
    <row r="88" customFormat="false" ht="15" hidden="false" customHeight="true" outlineLevel="0" collapsed="false">
      <c r="A88" s="30" t="s">
        <v>417</v>
      </c>
      <c r="B88" s="30" t="n">
        <v>84</v>
      </c>
      <c r="C88" s="28" t="n">
        <v>45601</v>
      </c>
      <c r="D88" s="29" t="n">
        <f aca="false">IF(C88="","",YEAR(C88))</f>
        <v>2024</v>
      </c>
      <c r="E88" s="31" t="n">
        <v>117005.75</v>
      </c>
      <c r="F88" s="31" t="n">
        <v>674.98</v>
      </c>
      <c r="G88" s="31" t="n">
        <v>146.26</v>
      </c>
      <c r="H88" s="31" t="n">
        <v>20.08</v>
      </c>
      <c r="I88" s="33" t="n">
        <f aca="false">IF(C88="","",F88+G88+H88)</f>
        <v>841.32</v>
      </c>
      <c r="J88" s="32" t="str">
        <f aca="false">IF(A88="","",IFERROR(INDEX(Prêts!$B$5:$B$14,MATCH(A88,Prêts!$A$5:$A$14,0)),"?"))</f>
        <v>APPART-01</v>
      </c>
      <c r="K88" s="32" t="n">
        <f aca="false">IF(A88="",0,IF(C88&gt;=IFERROR(INDEX(Biens!$O$5:$O$30,MATCH(J88,Biens!$A$5:$A$30,0)),99999),1,0))</f>
        <v>1</v>
      </c>
    </row>
    <row r="89" customFormat="false" ht="15" hidden="false" customHeight="true" outlineLevel="0" collapsed="false">
      <c r="A89" s="30" t="s">
        <v>417</v>
      </c>
      <c r="B89" s="30" t="n">
        <v>85</v>
      </c>
      <c r="C89" s="28" t="n">
        <v>45631</v>
      </c>
      <c r="D89" s="29" t="n">
        <f aca="false">IF(C89="","",YEAR(C89))</f>
        <v>2024</v>
      </c>
      <c r="E89" s="31" t="n">
        <v>116330.76</v>
      </c>
      <c r="F89" s="31" t="n">
        <v>675.83</v>
      </c>
      <c r="G89" s="31" t="n">
        <v>145.41</v>
      </c>
      <c r="H89" s="31" t="n">
        <v>20.08</v>
      </c>
      <c r="I89" s="33" t="n">
        <f aca="false">IF(C89="","",F89+G89+H89)</f>
        <v>841.32</v>
      </c>
      <c r="J89" s="32" t="str">
        <f aca="false">IF(A89="","",IFERROR(INDEX(Prêts!$B$5:$B$14,MATCH(A89,Prêts!$A$5:$A$14,0)),"?"))</f>
        <v>APPART-01</v>
      </c>
      <c r="K89" s="32" t="n">
        <f aca="false">IF(A89="",0,IF(C89&gt;=IFERROR(INDEX(Biens!$O$5:$O$30,MATCH(J89,Biens!$A$5:$A$30,0)),99999),1,0))</f>
        <v>1</v>
      </c>
    </row>
    <row r="90" customFormat="false" ht="15" hidden="false" customHeight="true" outlineLevel="0" collapsed="false">
      <c r="A90" s="30" t="s">
        <v>417</v>
      </c>
      <c r="B90" s="30" t="n">
        <v>86</v>
      </c>
      <c r="C90" s="28" t="n">
        <v>45662</v>
      </c>
      <c r="D90" s="29" t="n">
        <f aca="false">IF(C90="","",YEAR(C90))</f>
        <v>2025</v>
      </c>
      <c r="E90" s="31" t="n">
        <v>115654.93</v>
      </c>
      <c r="F90" s="31" t="n">
        <v>676.68</v>
      </c>
      <c r="G90" s="31" t="n">
        <v>144.57</v>
      </c>
      <c r="H90" s="31" t="n">
        <v>20.08</v>
      </c>
      <c r="I90" s="33" t="n">
        <f aca="false">IF(C90="","",F90+G90+H90)</f>
        <v>841.33</v>
      </c>
      <c r="J90" s="32" t="str">
        <f aca="false">IF(A90="","",IFERROR(INDEX(Prêts!$B$5:$B$14,MATCH(A90,Prêts!$A$5:$A$14,0)),"?"))</f>
        <v>APPART-01</v>
      </c>
      <c r="K90" s="32" t="n">
        <f aca="false">IF(A90="",0,IF(C90&gt;=IFERROR(INDEX(Biens!$O$5:$O$30,MATCH(J90,Biens!$A$5:$A$30,0)),99999),1,0))</f>
        <v>1</v>
      </c>
    </row>
    <row r="91" customFormat="false" ht="15" hidden="false" customHeight="true" outlineLevel="0" collapsed="false">
      <c r="A91" s="30" t="s">
        <v>417</v>
      </c>
      <c r="B91" s="30" t="n">
        <v>87</v>
      </c>
      <c r="C91" s="28" t="n">
        <v>45693</v>
      </c>
      <c r="D91" s="29" t="n">
        <f aca="false">IF(C91="","",YEAR(C91))</f>
        <v>2025</v>
      </c>
      <c r="E91" s="31" t="n">
        <v>114978.25</v>
      </c>
      <c r="F91" s="31" t="n">
        <v>677.52</v>
      </c>
      <c r="G91" s="31" t="n">
        <v>143.72</v>
      </c>
      <c r="H91" s="31" t="n">
        <v>20.08</v>
      </c>
      <c r="I91" s="33" t="n">
        <f aca="false">IF(C91="","",F91+G91+H91)</f>
        <v>841.32</v>
      </c>
      <c r="J91" s="32" t="str">
        <f aca="false">IF(A91="","",IFERROR(INDEX(Prêts!$B$5:$B$14,MATCH(A91,Prêts!$A$5:$A$14,0)),"?"))</f>
        <v>APPART-01</v>
      </c>
      <c r="K91" s="32" t="n">
        <f aca="false">IF(A91="",0,IF(C91&gt;=IFERROR(INDEX(Biens!$O$5:$O$30,MATCH(J91,Biens!$A$5:$A$30,0)),99999),1,0))</f>
        <v>1</v>
      </c>
    </row>
    <row r="92" customFormat="false" ht="15" hidden="false" customHeight="true" outlineLevel="0" collapsed="false">
      <c r="A92" s="30" t="s">
        <v>417</v>
      </c>
      <c r="B92" s="30" t="n">
        <v>88</v>
      </c>
      <c r="C92" s="28" t="n">
        <v>45721</v>
      </c>
      <c r="D92" s="29" t="n">
        <f aca="false">IF(C92="","",YEAR(C92))</f>
        <v>2025</v>
      </c>
      <c r="E92" s="31" t="n">
        <v>114300.73</v>
      </c>
      <c r="F92" s="31" t="n">
        <v>678.37</v>
      </c>
      <c r="G92" s="31" t="n">
        <v>142.88</v>
      </c>
      <c r="H92" s="31" t="n">
        <v>20.08</v>
      </c>
      <c r="I92" s="33" t="n">
        <f aca="false">IF(C92="","",F92+G92+H92)</f>
        <v>841.33</v>
      </c>
      <c r="J92" s="32" t="str">
        <f aca="false">IF(A92="","",IFERROR(INDEX(Prêts!$B$5:$B$14,MATCH(A92,Prêts!$A$5:$A$14,0)),"?"))</f>
        <v>APPART-01</v>
      </c>
      <c r="K92" s="32" t="n">
        <f aca="false">IF(A92="",0,IF(C92&gt;=IFERROR(INDEX(Biens!$O$5:$O$30,MATCH(J92,Biens!$A$5:$A$30,0)),99999),1,0))</f>
        <v>1</v>
      </c>
    </row>
    <row r="93" customFormat="false" ht="15" hidden="false" customHeight="true" outlineLevel="0" collapsed="false">
      <c r="A93" s="30" t="s">
        <v>417</v>
      </c>
      <c r="B93" s="30" t="n">
        <v>89</v>
      </c>
      <c r="C93" s="28" t="n">
        <v>45752</v>
      </c>
      <c r="D93" s="29" t="n">
        <f aca="false">IF(C93="","",YEAR(C93))</f>
        <v>2025</v>
      </c>
      <c r="E93" s="31" t="n">
        <v>113622.36</v>
      </c>
      <c r="F93" s="31" t="n">
        <v>679.22</v>
      </c>
      <c r="G93" s="31" t="n">
        <v>142.03</v>
      </c>
      <c r="H93" s="31" t="n">
        <v>20.08</v>
      </c>
      <c r="I93" s="33" t="n">
        <f aca="false">IF(C93="","",F93+G93+H93)</f>
        <v>841.33</v>
      </c>
      <c r="J93" s="32" t="str">
        <f aca="false">IF(A93="","",IFERROR(INDEX(Prêts!$B$5:$B$14,MATCH(A93,Prêts!$A$5:$A$14,0)),"?"))</f>
        <v>APPART-01</v>
      </c>
      <c r="K93" s="32" t="n">
        <f aca="false">IF(A93="",0,IF(C93&gt;=IFERROR(INDEX(Biens!$O$5:$O$30,MATCH(J93,Biens!$A$5:$A$30,0)),99999),1,0))</f>
        <v>1</v>
      </c>
    </row>
    <row r="94" customFormat="false" ht="15" hidden="false" customHeight="true" outlineLevel="0" collapsed="false">
      <c r="A94" s="30" t="s">
        <v>417</v>
      </c>
      <c r="B94" s="30" t="n">
        <v>90</v>
      </c>
      <c r="C94" s="28" t="n">
        <v>45782</v>
      </c>
      <c r="D94" s="29" t="n">
        <f aca="false">IF(C94="","",YEAR(C94))</f>
        <v>2025</v>
      </c>
      <c r="E94" s="31" t="n">
        <v>112943.14</v>
      </c>
      <c r="F94" s="31" t="n">
        <v>680.06</v>
      </c>
      <c r="G94" s="31" t="n">
        <v>141.18</v>
      </c>
      <c r="H94" s="31" t="n">
        <v>20.08</v>
      </c>
      <c r="I94" s="33" t="n">
        <f aca="false">IF(C94="","",F94+G94+H94)</f>
        <v>841.32</v>
      </c>
      <c r="J94" s="32" t="str">
        <f aca="false">IF(A94="","",IFERROR(INDEX(Prêts!$B$5:$B$14,MATCH(A94,Prêts!$A$5:$A$14,0)),"?"))</f>
        <v>APPART-01</v>
      </c>
      <c r="K94" s="32" t="n">
        <f aca="false">IF(A94="",0,IF(C94&gt;=IFERROR(INDEX(Biens!$O$5:$O$30,MATCH(J94,Biens!$A$5:$A$30,0)),99999),1,0))</f>
        <v>1</v>
      </c>
    </row>
    <row r="95" customFormat="false" ht="15" hidden="false" customHeight="true" outlineLevel="0" collapsed="false">
      <c r="A95" s="30" t="s">
        <v>417</v>
      </c>
      <c r="B95" s="30" t="n">
        <v>91</v>
      </c>
      <c r="C95" s="28" t="n">
        <v>45813</v>
      </c>
      <c r="D95" s="29" t="n">
        <f aca="false">IF(C95="","",YEAR(C95))</f>
        <v>2025</v>
      </c>
      <c r="E95" s="31" t="n">
        <v>112263.08</v>
      </c>
      <c r="F95" s="31" t="n">
        <v>680.92</v>
      </c>
      <c r="G95" s="31" t="n">
        <v>140.33</v>
      </c>
      <c r="H95" s="31" t="n">
        <v>20.08</v>
      </c>
      <c r="I95" s="33" t="n">
        <f aca="false">IF(C95="","",F95+G95+H95)</f>
        <v>841.33</v>
      </c>
      <c r="J95" s="32" t="str">
        <f aca="false">IF(A95="","",IFERROR(INDEX(Prêts!$B$5:$B$14,MATCH(A95,Prêts!$A$5:$A$14,0)),"?"))</f>
        <v>APPART-01</v>
      </c>
      <c r="K95" s="32" t="n">
        <f aca="false">IF(A95="",0,IF(C95&gt;=IFERROR(INDEX(Biens!$O$5:$O$30,MATCH(J95,Biens!$A$5:$A$30,0)),99999),1,0))</f>
        <v>1</v>
      </c>
    </row>
    <row r="96" customFormat="false" ht="15" hidden="false" customHeight="true" outlineLevel="0" collapsed="false">
      <c r="A96" s="30" t="s">
        <v>417</v>
      </c>
      <c r="B96" s="30" t="n">
        <v>92</v>
      </c>
      <c r="C96" s="28" t="n">
        <v>45843</v>
      </c>
      <c r="D96" s="29" t="n">
        <f aca="false">IF(C96="","",YEAR(C96))</f>
        <v>2025</v>
      </c>
      <c r="E96" s="31" t="n">
        <v>111582.16</v>
      </c>
      <c r="F96" s="31" t="n">
        <v>681.76</v>
      </c>
      <c r="G96" s="31" t="n">
        <v>139.48</v>
      </c>
      <c r="H96" s="31" t="n">
        <v>20.08</v>
      </c>
      <c r="I96" s="33" t="n">
        <f aca="false">IF(C96="","",F96+G96+H96)</f>
        <v>841.32</v>
      </c>
      <c r="J96" s="32" t="str">
        <f aca="false">IF(A96="","",IFERROR(INDEX(Prêts!$B$5:$B$14,MATCH(A96,Prêts!$A$5:$A$14,0)),"?"))</f>
        <v>APPART-01</v>
      </c>
      <c r="K96" s="32" t="n">
        <f aca="false">IF(A96="",0,IF(C96&gt;=IFERROR(INDEX(Biens!$O$5:$O$30,MATCH(J96,Biens!$A$5:$A$30,0)),99999),1,0))</f>
        <v>1</v>
      </c>
    </row>
    <row r="97" customFormat="false" ht="15" hidden="false" customHeight="true" outlineLevel="0" collapsed="false">
      <c r="A97" s="30" t="s">
        <v>417</v>
      </c>
      <c r="B97" s="30" t="n">
        <v>93</v>
      </c>
      <c r="C97" s="28" t="n">
        <v>45874</v>
      </c>
      <c r="D97" s="29" t="n">
        <f aca="false">IF(C97="","",YEAR(C97))</f>
        <v>2025</v>
      </c>
      <c r="E97" s="31" t="n">
        <v>110900.4</v>
      </c>
      <c r="F97" s="31" t="n">
        <v>682.62</v>
      </c>
      <c r="G97" s="31" t="n">
        <v>138.63</v>
      </c>
      <c r="H97" s="31" t="n">
        <v>20.08</v>
      </c>
      <c r="I97" s="33" t="n">
        <f aca="false">IF(C97="","",F97+G97+H97)</f>
        <v>841.33</v>
      </c>
      <c r="J97" s="32" t="str">
        <f aca="false">IF(A97="","",IFERROR(INDEX(Prêts!$B$5:$B$14,MATCH(A97,Prêts!$A$5:$A$14,0)),"?"))</f>
        <v>APPART-01</v>
      </c>
      <c r="K97" s="32" t="n">
        <f aca="false">IF(A97="",0,IF(C97&gt;=IFERROR(INDEX(Biens!$O$5:$O$30,MATCH(J97,Biens!$A$5:$A$30,0)),99999),1,0))</f>
        <v>1</v>
      </c>
    </row>
    <row r="98" customFormat="false" ht="15" hidden="false" customHeight="true" outlineLevel="0" collapsed="false">
      <c r="A98" s="30" t="s">
        <v>417</v>
      </c>
      <c r="B98" s="30" t="n">
        <v>94</v>
      </c>
      <c r="C98" s="28" t="n">
        <v>45905</v>
      </c>
      <c r="D98" s="29" t="n">
        <f aca="false">IF(C98="","",YEAR(C98))</f>
        <v>2025</v>
      </c>
      <c r="E98" s="31" t="n">
        <v>110217.78</v>
      </c>
      <c r="F98" s="31" t="n">
        <v>683.48</v>
      </c>
      <c r="G98" s="31" t="n">
        <v>137.77</v>
      </c>
      <c r="H98" s="31" t="n">
        <v>20.08</v>
      </c>
      <c r="I98" s="33" t="n">
        <f aca="false">IF(C98="","",F98+G98+H98)</f>
        <v>841.33</v>
      </c>
      <c r="J98" s="32" t="str">
        <f aca="false">IF(A98="","",IFERROR(INDEX(Prêts!$B$5:$B$14,MATCH(A98,Prêts!$A$5:$A$14,0)),"?"))</f>
        <v>APPART-01</v>
      </c>
      <c r="K98" s="32" t="n">
        <f aca="false">IF(A98="",0,IF(C98&gt;=IFERROR(INDEX(Biens!$O$5:$O$30,MATCH(J98,Biens!$A$5:$A$30,0)),99999),1,0))</f>
        <v>1</v>
      </c>
    </row>
    <row r="99" customFormat="false" ht="15" hidden="false" customHeight="true" outlineLevel="0" collapsed="false">
      <c r="A99" s="30" t="s">
        <v>417</v>
      </c>
      <c r="B99" s="30" t="n">
        <v>95</v>
      </c>
      <c r="C99" s="28" t="n">
        <v>45935</v>
      </c>
      <c r="D99" s="29" t="n">
        <f aca="false">IF(C99="","",YEAR(C99))</f>
        <v>2025</v>
      </c>
      <c r="E99" s="31" t="n">
        <v>109534.3</v>
      </c>
      <c r="F99" s="31" t="n">
        <v>684.33</v>
      </c>
      <c r="G99" s="31" t="n">
        <v>136.91</v>
      </c>
      <c r="H99" s="31" t="n">
        <v>20.08</v>
      </c>
      <c r="I99" s="33" t="n">
        <f aca="false">IF(C99="","",F99+G99+H99)</f>
        <v>841.32</v>
      </c>
      <c r="J99" s="32" t="str">
        <f aca="false">IF(A99="","",IFERROR(INDEX(Prêts!$B$5:$B$14,MATCH(A99,Prêts!$A$5:$A$14,0)),"?"))</f>
        <v>APPART-01</v>
      </c>
      <c r="K99" s="32" t="n">
        <f aca="false">IF(A99="",0,IF(C99&gt;=IFERROR(INDEX(Biens!$O$5:$O$30,MATCH(J99,Biens!$A$5:$A$30,0)),99999),1,0))</f>
        <v>1</v>
      </c>
    </row>
    <row r="100" customFormat="false" ht="15" hidden="false" customHeight="true" outlineLevel="0" collapsed="false">
      <c r="A100" s="30" t="s">
        <v>417</v>
      </c>
      <c r="B100" s="30" t="n">
        <v>96</v>
      </c>
      <c r="C100" s="28" t="n">
        <v>45966</v>
      </c>
      <c r="D100" s="29" t="n">
        <f aca="false">IF(C100="","",YEAR(C100))</f>
        <v>2025</v>
      </c>
      <c r="E100" s="31" t="n">
        <v>108849.97</v>
      </c>
      <c r="F100" s="31" t="n">
        <v>685.19</v>
      </c>
      <c r="G100" s="31" t="n">
        <v>136.06</v>
      </c>
      <c r="H100" s="31" t="n">
        <v>20.08</v>
      </c>
      <c r="I100" s="33" t="n">
        <f aca="false">IF(C100="","",F100+G100+H100)</f>
        <v>841.33</v>
      </c>
      <c r="J100" s="32" t="str">
        <f aca="false">IF(A100="","",IFERROR(INDEX(Prêts!$B$5:$B$14,MATCH(A100,Prêts!$A$5:$A$14,0)),"?"))</f>
        <v>APPART-01</v>
      </c>
      <c r="K100" s="32" t="n">
        <f aca="false">IF(A100="",0,IF(C100&gt;=IFERROR(INDEX(Biens!$O$5:$O$30,MATCH(J100,Biens!$A$5:$A$30,0)),99999),1,0))</f>
        <v>1</v>
      </c>
    </row>
    <row r="101" customFormat="false" ht="15" hidden="false" customHeight="true" outlineLevel="0" collapsed="false">
      <c r="A101" s="30" t="s">
        <v>417</v>
      </c>
      <c r="B101" s="30" t="n">
        <v>97</v>
      </c>
      <c r="C101" s="28" t="n">
        <v>45996</v>
      </c>
      <c r="D101" s="29" t="n">
        <f aca="false">IF(C101="","",YEAR(C101))</f>
        <v>2025</v>
      </c>
      <c r="E101" s="31" t="n">
        <v>108164.78</v>
      </c>
      <c r="F101" s="31" t="n">
        <v>686.04</v>
      </c>
      <c r="G101" s="31" t="n">
        <v>135.2</v>
      </c>
      <c r="H101" s="31" t="n">
        <v>20.08</v>
      </c>
      <c r="I101" s="33" t="n">
        <f aca="false">IF(C101="","",F101+G101+H101)</f>
        <v>841.32</v>
      </c>
      <c r="J101" s="32" t="str">
        <f aca="false">IF(A101="","",IFERROR(INDEX(Prêts!$B$5:$B$14,MATCH(A101,Prêts!$A$5:$A$14,0)),"?"))</f>
        <v>APPART-01</v>
      </c>
      <c r="K101" s="32" t="n">
        <f aca="false">IF(A101="",0,IF(C101&gt;=IFERROR(INDEX(Biens!$O$5:$O$30,MATCH(J101,Biens!$A$5:$A$30,0)),99999),1,0))</f>
        <v>1</v>
      </c>
    </row>
    <row r="102" customFormat="false" ht="15" hidden="false" customHeight="true" outlineLevel="0" collapsed="false">
      <c r="A102" s="30" t="s">
        <v>417</v>
      </c>
      <c r="B102" s="30" t="n">
        <v>98</v>
      </c>
      <c r="C102" s="28" t="n">
        <v>46027</v>
      </c>
      <c r="D102" s="29" t="n">
        <f aca="false">IF(C102="","",YEAR(C102))</f>
        <v>2026</v>
      </c>
      <c r="E102" s="31" t="n">
        <v>107478.74</v>
      </c>
      <c r="F102" s="31" t="n">
        <v>686.9</v>
      </c>
      <c r="G102" s="31" t="n">
        <v>134.35</v>
      </c>
      <c r="H102" s="31" t="n">
        <v>20.08</v>
      </c>
      <c r="I102" s="33" t="n">
        <f aca="false">IF(C102="","",F102+G102+H102)</f>
        <v>841.33</v>
      </c>
      <c r="J102" s="32" t="str">
        <f aca="false">IF(A102="","",IFERROR(INDEX(Prêts!$B$5:$B$14,MATCH(A102,Prêts!$A$5:$A$14,0)),"?"))</f>
        <v>APPART-01</v>
      </c>
      <c r="K102" s="32" t="n">
        <f aca="false">IF(A102="",0,IF(C102&gt;=IFERROR(INDEX(Biens!$O$5:$O$30,MATCH(J102,Biens!$A$5:$A$30,0)),99999),1,0))</f>
        <v>1</v>
      </c>
    </row>
    <row r="103" customFormat="false" ht="15" hidden="false" customHeight="true" outlineLevel="0" collapsed="false">
      <c r="A103" s="30" t="s">
        <v>417</v>
      </c>
      <c r="B103" s="30" t="n">
        <v>99</v>
      </c>
      <c r="C103" s="28" t="n">
        <v>46058</v>
      </c>
      <c r="D103" s="29" t="n">
        <f aca="false">IF(C103="","",YEAR(C103))</f>
        <v>2026</v>
      </c>
      <c r="E103" s="31" t="n">
        <v>106791.84</v>
      </c>
      <c r="F103" s="31" t="n">
        <v>687.75</v>
      </c>
      <c r="G103" s="31" t="n">
        <v>133.49</v>
      </c>
      <c r="H103" s="31" t="n">
        <v>20.08</v>
      </c>
      <c r="I103" s="33" t="n">
        <f aca="false">IF(C103="","",F103+G103+H103)</f>
        <v>841.32</v>
      </c>
      <c r="J103" s="32" t="str">
        <f aca="false">IF(A103="","",IFERROR(INDEX(Prêts!$B$5:$B$14,MATCH(A103,Prêts!$A$5:$A$14,0)),"?"))</f>
        <v>APPART-01</v>
      </c>
      <c r="K103" s="32" t="n">
        <f aca="false">IF(A103="",0,IF(C103&gt;=IFERROR(INDEX(Biens!$O$5:$O$30,MATCH(J103,Biens!$A$5:$A$30,0)),99999),1,0))</f>
        <v>1</v>
      </c>
    </row>
    <row r="104" customFormat="false" ht="15" hidden="false" customHeight="true" outlineLevel="0" collapsed="false">
      <c r="A104" s="30" t="s">
        <v>417</v>
      </c>
      <c r="B104" s="30" t="n">
        <v>100</v>
      </c>
      <c r="C104" s="28" t="n">
        <v>46086</v>
      </c>
      <c r="D104" s="29" t="n">
        <f aca="false">IF(C104="","",YEAR(C104))</f>
        <v>2026</v>
      </c>
      <c r="E104" s="31" t="n">
        <v>106104.09</v>
      </c>
      <c r="F104" s="31" t="n">
        <v>688.62</v>
      </c>
      <c r="G104" s="31" t="n">
        <v>132.63</v>
      </c>
      <c r="H104" s="31" t="n">
        <v>20.08</v>
      </c>
      <c r="I104" s="33" t="n">
        <f aca="false">IF(C104="","",F104+G104+H104)</f>
        <v>841.33</v>
      </c>
      <c r="J104" s="32" t="str">
        <f aca="false">IF(A104="","",IFERROR(INDEX(Prêts!$B$5:$B$14,MATCH(A104,Prêts!$A$5:$A$14,0)),"?"))</f>
        <v>APPART-01</v>
      </c>
      <c r="K104" s="32" t="n">
        <f aca="false">IF(A104="",0,IF(C104&gt;=IFERROR(INDEX(Biens!$O$5:$O$30,MATCH(J104,Biens!$A$5:$A$30,0)),99999),1,0))</f>
        <v>1</v>
      </c>
    </row>
    <row r="105" customFormat="false" ht="15" hidden="false" customHeight="true" outlineLevel="0" collapsed="false">
      <c r="A105" s="30" t="s">
        <v>417</v>
      </c>
      <c r="B105" s="30" t="n">
        <v>101</v>
      </c>
      <c r="C105" s="28" t="n">
        <v>46117</v>
      </c>
      <c r="D105" s="29" t="n">
        <f aca="false">IF(C105="","",YEAR(C105))</f>
        <v>2026</v>
      </c>
      <c r="E105" s="31" t="n">
        <v>105415.47</v>
      </c>
      <c r="F105" s="31" t="n">
        <v>689.47</v>
      </c>
      <c r="G105" s="31" t="n">
        <v>131.77</v>
      </c>
      <c r="H105" s="31" t="n">
        <v>20.08</v>
      </c>
      <c r="I105" s="33" t="n">
        <f aca="false">IF(C105="","",F105+G105+H105)</f>
        <v>841.32</v>
      </c>
      <c r="J105" s="32" t="str">
        <f aca="false">IF(A105="","",IFERROR(INDEX(Prêts!$B$5:$B$14,MATCH(A105,Prêts!$A$5:$A$14,0)),"?"))</f>
        <v>APPART-01</v>
      </c>
      <c r="K105" s="32" t="n">
        <f aca="false">IF(A105="",0,IF(C105&gt;=IFERROR(INDEX(Biens!$O$5:$O$30,MATCH(J105,Biens!$A$5:$A$30,0)),99999),1,0))</f>
        <v>1</v>
      </c>
    </row>
    <row r="106" customFormat="false" ht="15" hidden="false" customHeight="true" outlineLevel="0" collapsed="false">
      <c r="A106" s="30" t="s">
        <v>417</v>
      </c>
      <c r="B106" s="30" t="n">
        <v>102</v>
      </c>
      <c r="C106" s="28" t="n">
        <v>46147</v>
      </c>
      <c r="D106" s="29" t="n">
        <f aca="false">IF(C106="","",YEAR(C106))</f>
        <v>2026</v>
      </c>
      <c r="E106" s="31" t="n">
        <v>104726</v>
      </c>
      <c r="F106" s="31" t="n">
        <v>690.34</v>
      </c>
      <c r="G106" s="31" t="n">
        <v>130.91</v>
      </c>
      <c r="H106" s="31" t="n">
        <v>20.08</v>
      </c>
      <c r="I106" s="33" t="n">
        <f aca="false">IF(C106="","",F106+G106+H106)</f>
        <v>841.33</v>
      </c>
      <c r="J106" s="32" t="str">
        <f aca="false">IF(A106="","",IFERROR(INDEX(Prêts!$B$5:$B$14,MATCH(A106,Prêts!$A$5:$A$14,0)),"?"))</f>
        <v>APPART-01</v>
      </c>
      <c r="K106" s="32" t="n">
        <f aca="false">IF(A106="",0,IF(C106&gt;=IFERROR(INDEX(Biens!$O$5:$O$30,MATCH(J106,Biens!$A$5:$A$30,0)),99999),1,0))</f>
        <v>1</v>
      </c>
    </row>
    <row r="107" customFormat="false" ht="15" hidden="false" customHeight="true" outlineLevel="0" collapsed="false">
      <c r="A107" s="30" t="s">
        <v>417</v>
      </c>
      <c r="B107" s="30" t="n">
        <v>103</v>
      </c>
      <c r="C107" s="28" t="n">
        <v>46178</v>
      </c>
      <c r="D107" s="29" t="n">
        <f aca="false">IF(C107="","",YEAR(C107))</f>
        <v>2026</v>
      </c>
      <c r="E107" s="31" t="n">
        <v>104035.66</v>
      </c>
      <c r="F107" s="31" t="n">
        <v>691.2</v>
      </c>
      <c r="G107" s="31" t="n">
        <v>130.04</v>
      </c>
      <c r="H107" s="31" t="n">
        <v>20.08</v>
      </c>
      <c r="I107" s="33" t="n">
        <f aca="false">IF(C107="","",F107+G107+H107)</f>
        <v>841.32</v>
      </c>
      <c r="J107" s="32" t="str">
        <f aca="false">IF(A107="","",IFERROR(INDEX(Prêts!$B$5:$B$14,MATCH(A107,Prêts!$A$5:$A$14,0)),"?"))</f>
        <v>APPART-01</v>
      </c>
      <c r="K107" s="32" t="n">
        <f aca="false">IF(A107="",0,IF(C107&gt;=IFERROR(INDEX(Biens!$O$5:$O$30,MATCH(J107,Biens!$A$5:$A$30,0)),99999),1,0))</f>
        <v>1</v>
      </c>
    </row>
    <row r="108" customFormat="false" ht="15" hidden="false" customHeight="true" outlineLevel="0" collapsed="false">
      <c r="A108" s="30" t="s">
        <v>417</v>
      </c>
      <c r="B108" s="30" t="n">
        <v>104</v>
      </c>
      <c r="C108" s="28" t="n">
        <v>46208</v>
      </c>
      <c r="D108" s="29" t="n">
        <f aca="false">IF(C108="","",YEAR(C108))</f>
        <v>2026</v>
      </c>
      <c r="E108" s="31" t="n">
        <v>103344.46</v>
      </c>
      <c r="F108" s="31" t="n">
        <v>692.07</v>
      </c>
      <c r="G108" s="31" t="n">
        <v>129.18</v>
      </c>
      <c r="H108" s="31" t="n">
        <v>20.08</v>
      </c>
      <c r="I108" s="33" t="n">
        <f aca="false">IF(C108="","",F108+G108+H108)</f>
        <v>841.33</v>
      </c>
      <c r="J108" s="32" t="str">
        <f aca="false">IF(A108="","",IFERROR(INDEX(Prêts!$B$5:$B$14,MATCH(A108,Prêts!$A$5:$A$14,0)),"?"))</f>
        <v>APPART-01</v>
      </c>
      <c r="K108" s="32" t="n">
        <f aca="false">IF(A108="",0,IF(C108&gt;=IFERROR(INDEX(Biens!$O$5:$O$30,MATCH(J108,Biens!$A$5:$A$30,0)),99999),1,0))</f>
        <v>1</v>
      </c>
    </row>
    <row r="109" customFormat="false" ht="15" hidden="false" customHeight="true" outlineLevel="0" collapsed="false">
      <c r="A109" s="30" t="s">
        <v>417</v>
      </c>
      <c r="B109" s="30" t="n">
        <v>105</v>
      </c>
      <c r="C109" s="28" t="n">
        <v>46239</v>
      </c>
      <c r="D109" s="29" t="n">
        <f aca="false">IF(C109="","",YEAR(C109))</f>
        <v>2026</v>
      </c>
      <c r="E109" s="31" t="n">
        <v>102652.39</v>
      </c>
      <c r="F109" s="31" t="n">
        <v>692.93</v>
      </c>
      <c r="G109" s="31" t="n">
        <v>128.31</v>
      </c>
      <c r="H109" s="31" t="n">
        <v>20.08</v>
      </c>
      <c r="I109" s="33" t="n">
        <f aca="false">IF(C109="","",F109+G109+H109)</f>
        <v>841.32</v>
      </c>
      <c r="J109" s="32" t="str">
        <f aca="false">IF(A109="","",IFERROR(INDEX(Prêts!$B$5:$B$14,MATCH(A109,Prêts!$A$5:$A$14,0)),"?"))</f>
        <v>APPART-01</v>
      </c>
      <c r="K109" s="32" t="n">
        <f aca="false">IF(A109="",0,IF(C109&gt;=IFERROR(INDEX(Biens!$O$5:$O$30,MATCH(J109,Biens!$A$5:$A$30,0)),99999),1,0))</f>
        <v>1</v>
      </c>
    </row>
    <row r="110" customFormat="false" ht="15" hidden="false" customHeight="true" outlineLevel="0" collapsed="false">
      <c r="A110" s="30" t="s">
        <v>417</v>
      </c>
      <c r="B110" s="30" t="n">
        <v>106</v>
      </c>
      <c r="C110" s="28" t="n">
        <v>46270</v>
      </c>
      <c r="D110" s="29" t="n">
        <f aca="false">IF(C110="","",YEAR(C110))</f>
        <v>2026</v>
      </c>
      <c r="E110" s="31" t="n">
        <v>101959.45</v>
      </c>
      <c r="F110" s="31" t="n">
        <v>693.8</v>
      </c>
      <c r="G110" s="31" t="n">
        <v>127.45</v>
      </c>
      <c r="H110" s="31" t="n">
        <v>20.08</v>
      </c>
      <c r="I110" s="33" t="n">
        <f aca="false">IF(C110="","",F110+G110+H110)</f>
        <v>841.33</v>
      </c>
      <c r="J110" s="32" t="str">
        <f aca="false">IF(A110="","",IFERROR(INDEX(Prêts!$B$5:$B$14,MATCH(A110,Prêts!$A$5:$A$14,0)),"?"))</f>
        <v>APPART-01</v>
      </c>
      <c r="K110" s="32" t="n">
        <f aca="false">IF(A110="",0,IF(C110&gt;=IFERROR(INDEX(Biens!$O$5:$O$30,MATCH(J110,Biens!$A$5:$A$30,0)),99999),1,0))</f>
        <v>1</v>
      </c>
    </row>
    <row r="111" customFormat="false" ht="15" hidden="false" customHeight="true" outlineLevel="0" collapsed="false">
      <c r="A111" s="30" t="s">
        <v>417</v>
      </c>
      <c r="B111" s="30" t="n">
        <v>107</v>
      </c>
      <c r="C111" s="28" t="n">
        <v>46300</v>
      </c>
      <c r="D111" s="29" t="n">
        <f aca="false">IF(C111="","",YEAR(C111))</f>
        <v>2026</v>
      </c>
      <c r="E111" s="31" t="n">
        <v>101265.65</v>
      </c>
      <c r="F111" s="31" t="n">
        <v>694.66</v>
      </c>
      <c r="G111" s="31" t="n">
        <v>126.58</v>
      </c>
      <c r="H111" s="31" t="n">
        <v>20.08</v>
      </c>
      <c r="I111" s="33" t="n">
        <f aca="false">IF(C111="","",F111+G111+H111)</f>
        <v>841.32</v>
      </c>
      <c r="J111" s="32" t="str">
        <f aca="false">IF(A111="","",IFERROR(INDEX(Prêts!$B$5:$B$14,MATCH(A111,Prêts!$A$5:$A$14,0)),"?"))</f>
        <v>APPART-01</v>
      </c>
      <c r="K111" s="32" t="n">
        <f aca="false">IF(A111="",0,IF(C111&gt;=IFERROR(INDEX(Biens!$O$5:$O$30,MATCH(J111,Biens!$A$5:$A$30,0)),99999),1,0))</f>
        <v>1</v>
      </c>
    </row>
    <row r="112" customFormat="false" ht="15" hidden="false" customHeight="true" outlineLevel="0" collapsed="false">
      <c r="A112" s="30" t="s">
        <v>417</v>
      </c>
      <c r="B112" s="30" t="n">
        <v>108</v>
      </c>
      <c r="C112" s="28" t="n">
        <v>46331</v>
      </c>
      <c r="D112" s="29" t="n">
        <f aca="false">IF(C112="","",YEAR(C112))</f>
        <v>2026</v>
      </c>
      <c r="E112" s="31" t="n">
        <v>100570.99</v>
      </c>
      <c r="F112" s="31" t="n">
        <v>695.53</v>
      </c>
      <c r="G112" s="31" t="n">
        <v>125.72</v>
      </c>
      <c r="H112" s="31" t="n">
        <v>20.08</v>
      </c>
      <c r="I112" s="33" t="n">
        <f aca="false">IF(C112="","",F112+G112+H112)</f>
        <v>841.33</v>
      </c>
      <c r="J112" s="32" t="str">
        <f aca="false">IF(A112="","",IFERROR(INDEX(Prêts!$B$5:$B$14,MATCH(A112,Prêts!$A$5:$A$14,0)),"?"))</f>
        <v>APPART-01</v>
      </c>
      <c r="K112" s="32" t="n">
        <f aca="false">IF(A112="",0,IF(C112&gt;=IFERROR(INDEX(Biens!$O$5:$O$30,MATCH(J112,Biens!$A$5:$A$30,0)),99999),1,0))</f>
        <v>1</v>
      </c>
    </row>
    <row r="113" customFormat="false" ht="15" hidden="false" customHeight="true" outlineLevel="0" collapsed="false">
      <c r="A113" s="30" t="s">
        <v>417</v>
      </c>
      <c r="B113" s="30" t="n">
        <v>109</v>
      </c>
      <c r="C113" s="28" t="n">
        <v>46361</v>
      </c>
      <c r="D113" s="29" t="n">
        <f aca="false">IF(C113="","",YEAR(C113))</f>
        <v>2026</v>
      </c>
      <c r="E113" s="31" t="n">
        <v>99875.46</v>
      </c>
      <c r="F113" s="31" t="n">
        <v>696.4</v>
      </c>
      <c r="G113" s="31" t="n">
        <v>124.84</v>
      </c>
      <c r="H113" s="31" t="n">
        <v>20.08</v>
      </c>
      <c r="I113" s="33" t="n">
        <f aca="false">IF(C113="","",F113+G113+H113)</f>
        <v>841.32</v>
      </c>
      <c r="J113" s="32" t="str">
        <f aca="false">IF(A113="","",IFERROR(INDEX(Prêts!$B$5:$B$14,MATCH(A113,Prêts!$A$5:$A$14,0)),"?"))</f>
        <v>APPART-01</v>
      </c>
      <c r="K113" s="32" t="n">
        <f aca="false">IF(A113="",0,IF(C113&gt;=IFERROR(INDEX(Biens!$O$5:$O$30,MATCH(J113,Biens!$A$5:$A$30,0)),99999),1,0))</f>
        <v>1</v>
      </c>
    </row>
    <row r="114" customFormat="false" ht="15" hidden="false" customHeight="true" outlineLevel="0" collapsed="false">
      <c r="A114" s="30" t="s">
        <v>417</v>
      </c>
      <c r="B114" s="30" t="n">
        <v>110</v>
      </c>
      <c r="C114" s="28" t="n">
        <v>46392</v>
      </c>
      <c r="D114" s="29" t="n">
        <f aca="false">IF(C114="","",YEAR(C114))</f>
        <v>2027</v>
      </c>
      <c r="E114" s="31" t="n">
        <v>99179.06</v>
      </c>
      <c r="F114" s="31" t="n">
        <v>697.27</v>
      </c>
      <c r="G114" s="31" t="n">
        <v>123.98</v>
      </c>
      <c r="H114" s="31" t="n">
        <v>20.08</v>
      </c>
      <c r="I114" s="33" t="n">
        <f aca="false">IF(C114="","",F114+G114+H114)</f>
        <v>841.33</v>
      </c>
      <c r="J114" s="32" t="str">
        <f aca="false">IF(A114="","",IFERROR(INDEX(Prêts!$B$5:$B$14,MATCH(A114,Prêts!$A$5:$A$14,0)),"?"))</f>
        <v>APPART-01</v>
      </c>
      <c r="K114" s="32" t="n">
        <f aca="false">IF(A114="",0,IF(C114&gt;=IFERROR(INDEX(Biens!$O$5:$O$30,MATCH(J114,Biens!$A$5:$A$30,0)),99999),1,0))</f>
        <v>1</v>
      </c>
    </row>
    <row r="115" customFormat="false" ht="15" hidden="false" customHeight="true" outlineLevel="0" collapsed="false">
      <c r="A115" s="30" t="s">
        <v>417</v>
      </c>
      <c r="B115" s="30" t="n">
        <v>111</v>
      </c>
      <c r="C115" s="28" t="n">
        <v>46423</v>
      </c>
      <c r="D115" s="29" t="n">
        <f aca="false">IF(C115="","",YEAR(C115))</f>
        <v>2027</v>
      </c>
      <c r="E115" s="31" t="n">
        <v>98481.79</v>
      </c>
      <c r="F115" s="31" t="n">
        <v>698.14</v>
      </c>
      <c r="G115" s="31" t="n">
        <v>123.1</v>
      </c>
      <c r="H115" s="31" t="n">
        <v>20.08</v>
      </c>
      <c r="I115" s="33" t="n">
        <f aca="false">IF(C115="","",F115+G115+H115)</f>
        <v>841.32</v>
      </c>
      <c r="J115" s="32" t="str">
        <f aca="false">IF(A115="","",IFERROR(INDEX(Prêts!$B$5:$B$14,MATCH(A115,Prêts!$A$5:$A$14,0)),"?"))</f>
        <v>APPART-01</v>
      </c>
      <c r="K115" s="32" t="n">
        <f aca="false">IF(A115="",0,IF(C115&gt;=IFERROR(INDEX(Biens!$O$5:$O$30,MATCH(J115,Biens!$A$5:$A$30,0)),99999),1,0))</f>
        <v>1</v>
      </c>
    </row>
    <row r="116" customFormat="false" ht="15" hidden="false" customHeight="true" outlineLevel="0" collapsed="false">
      <c r="A116" s="30" t="s">
        <v>417</v>
      </c>
      <c r="B116" s="30" t="n">
        <v>112</v>
      </c>
      <c r="C116" s="28" t="n">
        <v>46451</v>
      </c>
      <c r="D116" s="29" t="n">
        <f aca="false">IF(C116="","",YEAR(C116))</f>
        <v>2027</v>
      </c>
      <c r="E116" s="31" t="n">
        <v>97783.65</v>
      </c>
      <c r="F116" s="31" t="n">
        <v>699.02</v>
      </c>
      <c r="G116" s="31" t="n">
        <v>122.23</v>
      </c>
      <c r="H116" s="31" t="n">
        <v>20.08</v>
      </c>
      <c r="I116" s="33" t="n">
        <f aca="false">IF(C116="","",F116+G116+H116)</f>
        <v>841.33</v>
      </c>
      <c r="J116" s="32" t="str">
        <f aca="false">IF(A116="","",IFERROR(INDEX(Prêts!$B$5:$B$14,MATCH(A116,Prêts!$A$5:$A$14,0)),"?"))</f>
        <v>APPART-01</v>
      </c>
      <c r="K116" s="32" t="n">
        <f aca="false">IF(A116="",0,IF(C116&gt;=IFERROR(INDEX(Biens!$O$5:$O$30,MATCH(J116,Biens!$A$5:$A$30,0)),99999),1,0))</f>
        <v>1</v>
      </c>
    </row>
    <row r="117" customFormat="false" ht="15" hidden="false" customHeight="true" outlineLevel="0" collapsed="false">
      <c r="A117" s="30" t="s">
        <v>417</v>
      </c>
      <c r="B117" s="30" t="n">
        <v>113</v>
      </c>
      <c r="C117" s="28" t="n">
        <v>46482</v>
      </c>
      <c r="D117" s="29" t="n">
        <f aca="false">IF(C117="","",YEAR(C117))</f>
        <v>2027</v>
      </c>
      <c r="E117" s="31" t="n">
        <v>97084.63</v>
      </c>
      <c r="F117" s="31" t="n">
        <v>699.89</v>
      </c>
      <c r="G117" s="31" t="n">
        <v>121.36</v>
      </c>
      <c r="H117" s="31" t="n">
        <v>20.08</v>
      </c>
      <c r="I117" s="33" t="n">
        <f aca="false">IF(C117="","",F117+G117+H117)</f>
        <v>841.33</v>
      </c>
      <c r="J117" s="32" t="str">
        <f aca="false">IF(A117="","",IFERROR(INDEX(Prêts!$B$5:$B$14,MATCH(A117,Prêts!$A$5:$A$14,0)),"?"))</f>
        <v>APPART-01</v>
      </c>
      <c r="K117" s="32" t="n">
        <f aca="false">IF(A117="",0,IF(C117&gt;=IFERROR(INDEX(Biens!$O$5:$O$30,MATCH(J117,Biens!$A$5:$A$30,0)),99999),1,0))</f>
        <v>1</v>
      </c>
    </row>
    <row r="118" customFormat="false" ht="15" hidden="false" customHeight="true" outlineLevel="0" collapsed="false">
      <c r="A118" s="30" t="s">
        <v>417</v>
      </c>
      <c r="B118" s="30" t="n">
        <v>114</v>
      </c>
      <c r="C118" s="28" t="n">
        <v>46512</v>
      </c>
      <c r="D118" s="29" t="n">
        <f aca="false">IF(C118="","",YEAR(C118))</f>
        <v>2027</v>
      </c>
      <c r="E118" s="31" t="n">
        <v>96384.74</v>
      </c>
      <c r="F118" s="31" t="n">
        <v>700.76</v>
      </c>
      <c r="G118" s="31" t="n">
        <v>120.48</v>
      </c>
      <c r="H118" s="31" t="n">
        <v>20.08</v>
      </c>
      <c r="I118" s="33" t="n">
        <f aca="false">IF(C118="","",F118+G118+H118)</f>
        <v>841.32</v>
      </c>
      <c r="J118" s="32" t="str">
        <f aca="false">IF(A118="","",IFERROR(INDEX(Prêts!$B$5:$B$14,MATCH(A118,Prêts!$A$5:$A$14,0)),"?"))</f>
        <v>APPART-01</v>
      </c>
      <c r="K118" s="32" t="n">
        <f aca="false">IF(A118="",0,IF(C118&gt;=IFERROR(INDEX(Biens!$O$5:$O$30,MATCH(J118,Biens!$A$5:$A$30,0)),99999),1,0))</f>
        <v>1</v>
      </c>
    </row>
    <row r="119" customFormat="false" ht="15" hidden="false" customHeight="true" outlineLevel="0" collapsed="false">
      <c r="A119" s="30" t="s">
        <v>417</v>
      </c>
      <c r="B119" s="30" t="n">
        <v>115</v>
      </c>
      <c r="C119" s="28" t="n">
        <v>46543</v>
      </c>
      <c r="D119" s="29" t="n">
        <f aca="false">IF(C119="","",YEAR(C119))</f>
        <v>2027</v>
      </c>
      <c r="E119" s="31" t="n">
        <v>95683.98</v>
      </c>
      <c r="F119" s="31" t="n">
        <v>701.64</v>
      </c>
      <c r="G119" s="31" t="n">
        <v>119.61</v>
      </c>
      <c r="H119" s="31" t="n">
        <v>20.08</v>
      </c>
      <c r="I119" s="33" t="n">
        <f aca="false">IF(C119="","",F119+G119+H119)</f>
        <v>841.33</v>
      </c>
      <c r="J119" s="32" t="str">
        <f aca="false">IF(A119="","",IFERROR(INDEX(Prêts!$B$5:$B$14,MATCH(A119,Prêts!$A$5:$A$14,0)),"?"))</f>
        <v>APPART-01</v>
      </c>
      <c r="K119" s="32" t="n">
        <f aca="false">IF(A119="",0,IF(C119&gt;=IFERROR(INDEX(Biens!$O$5:$O$30,MATCH(J119,Biens!$A$5:$A$30,0)),99999),1,0))</f>
        <v>1</v>
      </c>
    </row>
    <row r="120" customFormat="false" ht="15" hidden="false" customHeight="true" outlineLevel="0" collapsed="false">
      <c r="A120" s="30" t="s">
        <v>417</v>
      </c>
      <c r="B120" s="30" t="n">
        <v>116</v>
      </c>
      <c r="C120" s="28" t="n">
        <v>46573</v>
      </c>
      <c r="D120" s="29" t="n">
        <f aca="false">IF(C120="","",YEAR(C120))</f>
        <v>2027</v>
      </c>
      <c r="E120" s="31" t="n">
        <v>94982.34</v>
      </c>
      <c r="F120" s="31" t="n">
        <v>702.52</v>
      </c>
      <c r="G120" s="31" t="n">
        <v>118.72</v>
      </c>
      <c r="H120" s="31" t="n">
        <v>20.08</v>
      </c>
      <c r="I120" s="33" t="n">
        <f aca="false">IF(C120="","",F120+G120+H120)</f>
        <v>841.32</v>
      </c>
      <c r="J120" s="32" t="str">
        <f aca="false">IF(A120="","",IFERROR(INDEX(Prêts!$B$5:$B$14,MATCH(A120,Prêts!$A$5:$A$14,0)),"?"))</f>
        <v>APPART-01</v>
      </c>
      <c r="K120" s="32" t="n">
        <f aca="false">IF(A120="",0,IF(C120&gt;=IFERROR(INDEX(Biens!$O$5:$O$30,MATCH(J120,Biens!$A$5:$A$30,0)),99999),1,0))</f>
        <v>1</v>
      </c>
    </row>
    <row r="121" customFormat="false" ht="15" hidden="false" customHeight="true" outlineLevel="0" collapsed="false">
      <c r="A121" s="30" t="s">
        <v>417</v>
      </c>
      <c r="B121" s="30" t="n">
        <v>117</v>
      </c>
      <c r="C121" s="28" t="n">
        <v>46604</v>
      </c>
      <c r="D121" s="29" t="n">
        <f aca="false">IF(C121="","",YEAR(C121))</f>
        <v>2027</v>
      </c>
      <c r="E121" s="31" t="n">
        <v>94279.82</v>
      </c>
      <c r="F121" s="31" t="n">
        <v>703.4</v>
      </c>
      <c r="G121" s="31" t="n">
        <v>117.85</v>
      </c>
      <c r="H121" s="31" t="n">
        <v>20.08</v>
      </c>
      <c r="I121" s="33" t="n">
        <f aca="false">IF(C121="","",F121+G121+H121)</f>
        <v>841.33</v>
      </c>
      <c r="J121" s="32" t="str">
        <f aca="false">IF(A121="","",IFERROR(INDEX(Prêts!$B$5:$B$14,MATCH(A121,Prêts!$A$5:$A$14,0)),"?"))</f>
        <v>APPART-01</v>
      </c>
      <c r="K121" s="32" t="n">
        <f aca="false">IF(A121="",0,IF(C121&gt;=IFERROR(INDEX(Biens!$O$5:$O$30,MATCH(J121,Biens!$A$5:$A$30,0)),99999),1,0))</f>
        <v>1</v>
      </c>
    </row>
    <row r="122" customFormat="false" ht="15" hidden="false" customHeight="true" outlineLevel="0" collapsed="false">
      <c r="A122" s="30" t="s">
        <v>417</v>
      </c>
      <c r="B122" s="30" t="n">
        <v>118</v>
      </c>
      <c r="C122" s="28" t="n">
        <v>46635</v>
      </c>
      <c r="D122" s="29" t="n">
        <f aca="false">IF(C122="","",YEAR(C122))</f>
        <v>2027</v>
      </c>
      <c r="E122" s="31" t="n">
        <v>93576.42</v>
      </c>
      <c r="F122" s="31" t="n">
        <v>704.28</v>
      </c>
      <c r="G122" s="31" t="n">
        <v>116.97</v>
      </c>
      <c r="H122" s="31" t="n">
        <v>20.08</v>
      </c>
      <c r="I122" s="33" t="n">
        <f aca="false">IF(C122="","",F122+G122+H122)</f>
        <v>841.33</v>
      </c>
      <c r="J122" s="32" t="str">
        <f aca="false">IF(A122="","",IFERROR(INDEX(Prêts!$B$5:$B$14,MATCH(A122,Prêts!$A$5:$A$14,0)),"?"))</f>
        <v>APPART-01</v>
      </c>
      <c r="K122" s="32" t="n">
        <f aca="false">IF(A122="",0,IF(C122&gt;=IFERROR(INDEX(Biens!$O$5:$O$30,MATCH(J122,Biens!$A$5:$A$30,0)),99999),1,0))</f>
        <v>1</v>
      </c>
    </row>
    <row r="123" customFormat="false" ht="15" hidden="false" customHeight="true" outlineLevel="0" collapsed="false">
      <c r="A123" s="30" t="s">
        <v>417</v>
      </c>
      <c r="B123" s="30" t="n">
        <v>119</v>
      </c>
      <c r="C123" s="28" t="n">
        <v>46665</v>
      </c>
      <c r="D123" s="29" t="n">
        <f aca="false">IF(C123="","",YEAR(C123))</f>
        <v>2027</v>
      </c>
      <c r="E123" s="31" t="n">
        <v>92872.14</v>
      </c>
      <c r="F123" s="31" t="n">
        <v>705.15</v>
      </c>
      <c r="G123" s="31" t="n">
        <v>116.09</v>
      </c>
      <c r="H123" s="31" t="n">
        <v>20.08</v>
      </c>
      <c r="I123" s="33" t="n">
        <f aca="false">IF(C123="","",F123+G123+H123)</f>
        <v>841.32</v>
      </c>
      <c r="J123" s="32" t="str">
        <f aca="false">IF(A123="","",IFERROR(INDEX(Prêts!$B$5:$B$14,MATCH(A123,Prêts!$A$5:$A$14,0)),"?"))</f>
        <v>APPART-01</v>
      </c>
      <c r="K123" s="32" t="n">
        <f aca="false">IF(A123="",0,IF(C123&gt;=IFERROR(INDEX(Biens!$O$5:$O$30,MATCH(J123,Biens!$A$5:$A$30,0)),99999),1,0))</f>
        <v>1</v>
      </c>
    </row>
    <row r="124" customFormat="false" ht="15" hidden="false" customHeight="true" outlineLevel="0" collapsed="false">
      <c r="A124" s="30" t="s">
        <v>417</v>
      </c>
      <c r="B124" s="30" t="n">
        <v>120</v>
      </c>
      <c r="C124" s="28" t="n">
        <v>46696</v>
      </c>
      <c r="D124" s="29" t="n">
        <f aca="false">IF(C124="","",YEAR(C124))</f>
        <v>2027</v>
      </c>
      <c r="E124" s="31" t="n">
        <v>92166.99</v>
      </c>
      <c r="F124" s="31" t="n">
        <v>706.04</v>
      </c>
      <c r="G124" s="31" t="n">
        <v>115.21</v>
      </c>
      <c r="H124" s="31" t="n">
        <v>20.08</v>
      </c>
      <c r="I124" s="33" t="n">
        <f aca="false">IF(C124="","",F124+G124+H124)</f>
        <v>841.33</v>
      </c>
      <c r="J124" s="32" t="str">
        <f aca="false">IF(A124="","",IFERROR(INDEX(Prêts!$B$5:$B$14,MATCH(A124,Prêts!$A$5:$A$14,0)),"?"))</f>
        <v>APPART-01</v>
      </c>
      <c r="K124" s="32" t="n">
        <f aca="false">IF(A124="",0,IF(C124&gt;=IFERROR(INDEX(Biens!$O$5:$O$30,MATCH(J124,Biens!$A$5:$A$30,0)),99999),1,0))</f>
        <v>1</v>
      </c>
    </row>
    <row r="125" customFormat="false" ht="15" hidden="false" customHeight="true" outlineLevel="0" collapsed="false">
      <c r="A125" s="30" t="s">
        <v>417</v>
      </c>
      <c r="B125" s="30" t="n">
        <v>121</v>
      </c>
      <c r="C125" s="28" t="n">
        <v>46726</v>
      </c>
      <c r="D125" s="29" t="n">
        <f aca="false">IF(C125="","",YEAR(C125))</f>
        <v>2027</v>
      </c>
      <c r="E125" s="31" t="n">
        <v>91460.95</v>
      </c>
      <c r="F125" s="31" t="n">
        <v>706.92</v>
      </c>
      <c r="G125" s="31" t="n">
        <v>114.32</v>
      </c>
      <c r="H125" s="31" t="n">
        <v>20.08</v>
      </c>
      <c r="I125" s="33" t="n">
        <f aca="false">IF(C125="","",F125+G125+H125)</f>
        <v>841.32</v>
      </c>
      <c r="J125" s="32" t="str">
        <f aca="false">IF(A125="","",IFERROR(INDEX(Prêts!$B$5:$B$14,MATCH(A125,Prêts!$A$5:$A$14,0)),"?"))</f>
        <v>APPART-01</v>
      </c>
      <c r="K125" s="32" t="n">
        <f aca="false">IF(A125="",0,IF(C125&gt;=IFERROR(INDEX(Biens!$O$5:$O$30,MATCH(J125,Biens!$A$5:$A$30,0)),99999),1,0))</f>
        <v>1</v>
      </c>
    </row>
    <row r="126" customFormat="false" ht="15" hidden="false" customHeight="true" outlineLevel="0" collapsed="false">
      <c r="A126" s="30" t="s">
        <v>417</v>
      </c>
      <c r="B126" s="30" t="n">
        <v>122</v>
      </c>
      <c r="C126" s="28" t="n">
        <v>46757</v>
      </c>
      <c r="D126" s="29" t="n">
        <f aca="false">IF(C126="","",YEAR(C126))</f>
        <v>2028</v>
      </c>
      <c r="E126" s="31" t="n">
        <v>90754.03</v>
      </c>
      <c r="F126" s="31" t="n">
        <v>707.8</v>
      </c>
      <c r="G126" s="31" t="n">
        <v>113.44</v>
      </c>
      <c r="H126" s="31" t="n">
        <v>20.08</v>
      </c>
      <c r="I126" s="33" t="n">
        <f aca="false">IF(C126="","",F126+G126+H126)</f>
        <v>841.32</v>
      </c>
      <c r="J126" s="32" t="str">
        <f aca="false">IF(A126="","",IFERROR(INDEX(Prêts!$B$5:$B$14,MATCH(A126,Prêts!$A$5:$A$14,0)),"?"))</f>
        <v>APPART-01</v>
      </c>
      <c r="K126" s="32" t="n">
        <f aca="false">IF(A126="",0,IF(C126&gt;=IFERROR(INDEX(Biens!$O$5:$O$30,MATCH(J126,Biens!$A$5:$A$30,0)),99999),1,0))</f>
        <v>1</v>
      </c>
    </row>
    <row r="127" customFormat="false" ht="15" hidden="false" customHeight="true" outlineLevel="0" collapsed="false">
      <c r="A127" s="30" t="s">
        <v>417</v>
      </c>
      <c r="B127" s="30" t="n">
        <v>123</v>
      </c>
      <c r="C127" s="28" t="n">
        <v>46788</v>
      </c>
      <c r="D127" s="29" t="n">
        <f aca="false">IF(C127="","",YEAR(C127))</f>
        <v>2028</v>
      </c>
      <c r="E127" s="31" t="n">
        <v>90046.23</v>
      </c>
      <c r="F127" s="31" t="n">
        <v>708.69</v>
      </c>
      <c r="G127" s="31" t="n">
        <v>112.56</v>
      </c>
      <c r="H127" s="31" t="n">
        <v>20.08</v>
      </c>
      <c r="I127" s="33" t="n">
        <f aca="false">IF(C127="","",F127+G127+H127)</f>
        <v>841.33</v>
      </c>
      <c r="J127" s="32" t="str">
        <f aca="false">IF(A127="","",IFERROR(INDEX(Prêts!$B$5:$B$14,MATCH(A127,Prêts!$A$5:$A$14,0)),"?"))</f>
        <v>APPART-01</v>
      </c>
      <c r="K127" s="32" t="n">
        <f aca="false">IF(A127="",0,IF(C127&gt;=IFERROR(INDEX(Biens!$O$5:$O$30,MATCH(J127,Biens!$A$5:$A$30,0)),99999),1,0))</f>
        <v>1</v>
      </c>
    </row>
    <row r="128" customFormat="false" ht="15" hidden="false" customHeight="true" outlineLevel="0" collapsed="false">
      <c r="A128" s="30" t="s">
        <v>417</v>
      </c>
      <c r="B128" s="30" t="n">
        <v>124</v>
      </c>
      <c r="C128" s="28" t="n">
        <v>46817</v>
      </c>
      <c r="D128" s="29" t="n">
        <f aca="false">IF(C128="","",YEAR(C128))</f>
        <v>2028</v>
      </c>
      <c r="E128" s="31" t="n">
        <v>89337.54</v>
      </c>
      <c r="F128" s="31" t="n">
        <v>709.57</v>
      </c>
      <c r="G128" s="31" t="n">
        <v>111.67</v>
      </c>
      <c r="H128" s="31" t="n">
        <v>20.08</v>
      </c>
      <c r="I128" s="33" t="n">
        <f aca="false">IF(C128="","",F128+G128+H128)</f>
        <v>841.32</v>
      </c>
      <c r="J128" s="32" t="str">
        <f aca="false">IF(A128="","",IFERROR(INDEX(Prêts!$B$5:$B$14,MATCH(A128,Prêts!$A$5:$A$14,0)),"?"))</f>
        <v>APPART-01</v>
      </c>
      <c r="K128" s="32" t="n">
        <f aca="false">IF(A128="",0,IF(C128&gt;=IFERROR(INDEX(Biens!$O$5:$O$30,MATCH(J128,Biens!$A$5:$A$30,0)),99999),1,0))</f>
        <v>1</v>
      </c>
    </row>
    <row r="129" customFormat="false" ht="15" hidden="false" customHeight="true" outlineLevel="0" collapsed="false">
      <c r="A129" s="30" t="s">
        <v>417</v>
      </c>
      <c r="B129" s="30" t="n">
        <v>125</v>
      </c>
      <c r="C129" s="28" t="n">
        <v>46848</v>
      </c>
      <c r="D129" s="29" t="n">
        <f aca="false">IF(C129="","",YEAR(C129))</f>
        <v>2028</v>
      </c>
      <c r="E129" s="31" t="n">
        <v>88627.97</v>
      </c>
      <c r="F129" s="31" t="n">
        <v>710.46</v>
      </c>
      <c r="G129" s="31" t="n">
        <v>110.78</v>
      </c>
      <c r="H129" s="31" t="n">
        <v>20.08</v>
      </c>
      <c r="I129" s="33" t="n">
        <f aca="false">IF(C129="","",F129+G129+H129)</f>
        <v>841.32</v>
      </c>
      <c r="J129" s="32" t="str">
        <f aca="false">IF(A129="","",IFERROR(INDEX(Prêts!$B$5:$B$14,MATCH(A129,Prêts!$A$5:$A$14,0)),"?"))</f>
        <v>APPART-01</v>
      </c>
      <c r="K129" s="32" t="n">
        <f aca="false">IF(A129="",0,IF(C129&gt;=IFERROR(INDEX(Biens!$O$5:$O$30,MATCH(J129,Biens!$A$5:$A$30,0)),99999),1,0))</f>
        <v>1</v>
      </c>
    </row>
    <row r="130" customFormat="false" ht="15" hidden="false" customHeight="true" outlineLevel="0" collapsed="false">
      <c r="A130" s="30" t="s">
        <v>417</v>
      </c>
      <c r="B130" s="30" t="n">
        <v>126</v>
      </c>
      <c r="C130" s="28" t="n">
        <v>46878</v>
      </c>
      <c r="D130" s="29" t="n">
        <f aca="false">IF(C130="","",YEAR(C130))</f>
        <v>2028</v>
      </c>
      <c r="E130" s="31" t="n">
        <v>87917.5</v>
      </c>
      <c r="F130" s="31" t="n">
        <v>711.35</v>
      </c>
      <c r="G130" s="31" t="n">
        <v>109.9</v>
      </c>
      <c r="H130" s="31" t="n">
        <v>20.08</v>
      </c>
      <c r="I130" s="33" t="n">
        <f aca="false">IF(C130="","",F130+G130+H130)</f>
        <v>841.33</v>
      </c>
      <c r="J130" s="32" t="str">
        <f aca="false">IF(A130="","",IFERROR(INDEX(Prêts!$B$5:$B$14,MATCH(A130,Prêts!$A$5:$A$14,0)),"?"))</f>
        <v>APPART-01</v>
      </c>
      <c r="K130" s="32" t="n">
        <f aca="false">IF(A130="",0,IF(C130&gt;=IFERROR(INDEX(Biens!$O$5:$O$30,MATCH(J130,Biens!$A$5:$A$30,0)),99999),1,0))</f>
        <v>1</v>
      </c>
    </row>
    <row r="131" customFormat="false" ht="15" hidden="false" customHeight="true" outlineLevel="0" collapsed="false">
      <c r="A131" s="30" t="s">
        <v>417</v>
      </c>
      <c r="B131" s="30" t="n">
        <v>127</v>
      </c>
      <c r="C131" s="28" t="n">
        <v>46909</v>
      </c>
      <c r="D131" s="29" t="n">
        <f aca="false">IF(C131="","",YEAR(C131))</f>
        <v>2028</v>
      </c>
      <c r="E131" s="31" t="n">
        <v>87206.16</v>
      </c>
      <c r="F131" s="31" t="n">
        <v>712.24</v>
      </c>
      <c r="G131" s="31" t="n">
        <v>109.01</v>
      </c>
      <c r="H131" s="31" t="n">
        <v>20.08</v>
      </c>
      <c r="I131" s="33" t="n">
        <f aca="false">IF(C131="","",F131+G131+H131)</f>
        <v>841.33</v>
      </c>
      <c r="J131" s="32" t="str">
        <f aca="false">IF(A131="","",IFERROR(INDEX(Prêts!$B$5:$B$14,MATCH(A131,Prêts!$A$5:$A$14,0)),"?"))</f>
        <v>APPART-01</v>
      </c>
      <c r="K131" s="32" t="n">
        <f aca="false">IF(A131="",0,IF(C131&gt;=IFERROR(INDEX(Biens!$O$5:$O$30,MATCH(J131,Biens!$A$5:$A$30,0)),99999),1,0))</f>
        <v>1</v>
      </c>
    </row>
    <row r="132" customFormat="false" ht="15" hidden="false" customHeight="true" outlineLevel="0" collapsed="false">
      <c r="A132" s="30" t="s">
        <v>417</v>
      </c>
      <c r="B132" s="30" t="n">
        <v>128</v>
      </c>
      <c r="C132" s="28" t="n">
        <v>46939</v>
      </c>
      <c r="D132" s="29" t="n">
        <f aca="false">IF(C132="","",YEAR(C132))</f>
        <v>2028</v>
      </c>
      <c r="E132" s="31" t="n">
        <v>86493.92</v>
      </c>
      <c r="F132" s="31" t="n">
        <v>713.12</v>
      </c>
      <c r="G132" s="31" t="n">
        <v>108.12</v>
      </c>
      <c r="H132" s="31" t="n">
        <v>20.08</v>
      </c>
      <c r="I132" s="33" t="n">
        <f aca="false">IF(C132="","",F132+G132+H132)</f>
        <v>841.32</v>
      </c>
      <c r="J132" s="32" t="str">
        <f aca="false">IF(A132="","",IFERROR(INDEX(Prêts!$B$5:$B$14,MATCH(A132,Prêts!$A$5:$A$14,0)),"?"))</f>
        <v>APPART-01</v>
      </c>
      <c r="K132" s="32" t="n">
        <f aca="false">IF(A132="",0,IF(C132&gt;=IFERROR(INDEX(Biens!$O$5:$O$30,MATCH(J132,Biens!$A$5:$A$30,0)),99999),1,0))</f>
        <v>1</v>
      </c>
    </row>
    <row r="133" customFormat="false" ht="15" hidden="false" customHeight="true" outlineLevel="0" collapsed="false">
      <c r="A133" s="30" t="s">
        <v>417</v>
      </c>
      <c r="B133" s="30" t="n">
        <v>129</v>
      </c>
      <c r="C133" s="28" t="n">
        <v>46970</v>
      </c>
      <c r="D133" s="29" t="n">
        <f aca="false">IF(C133="","",YEAR(C133))</f>
        <v>2028</v>
      </c>
      <c r="E133" s="31" t="n">
        <v>85780.79</v>
      </c>
      <c r="F133" s="31" t="n">
        <v>714.02</v>
      </c>
      <c r="G133" s="31" t="n">
        <v>107.23</v>
      </c>
      <c r="H133" s="31" t="n">
        <v>20.08</v>
      </c>
      <c r="I133" s="33" t="n">
        <f aca="false">IF(C133="","",F133+G133+H133)</f>
        <v>841.33</v>
      </c>
      <c r="J133" s="32" t="str">
        <f aca="false">IF(A133="","",IFERROR(INDEX(Prêts!$B$5:$B$14,MATCH(A133,Prêts!$A$5:$A$14,0)),"?"))</f>
        <v>APPART-01</v>
      </c>
      <c r="K133" s="32" t="n">
        <f aca="false">IF(A133="",0,IF(C133&gt;=IFERROR(INDEX(Biens!$O$5:$O$30,MATCH(J133,Biens!$A$5:$A$30,0)),99999),1,0))</f>
        <v>1</v>
      </c>
    </row>
    <row r="134" customFormat="false" ht="15" hidden="false" customHeight="true" outlineLevel="0" collapsed="false">
      <c r="A134" s="30" t="s">
        <v>417</v>
      </c>
      <c r="B134" s="30" t="n">
        <v>130</v>
      </c>
      <c r="C134" s="28" t="n">
        <v>47001</v>
      </c>
      <c r="D134" s="29" t="n">
        <f aca="false">IF(C134="","",YEAR(C134))</f>
        <v>2028</v>
      </c>
      <c r="E134" s="31" t="n">
        <v>85066.77</v>
      </c>
      <c r="F134" s="31" t="n">
        <v>714.91</v>
      </c>
      <c r="G134" s="31" t="n">
        <v>106.34</v>
      </c>
      <c r="H134" s="31" t="n">
        <v>20.08</v>
      </c>
      <c r="I134" s="33" t="n">
        <f aca="false">IF(C134="","",F134+G134+H134)</f>
        <v>841.33</v>
      </c>
      <c r="J134" s="32" t="str">
        <f aca="false">IF(A134="","",IFERROR(INDEX(Prêts!$B$5:$B$14,MATCH(A134,Prêts!$A$5:$A$14,0)),"?"))</f>
        <v>APPART-01</v>
      </c>
      <c r="K134" s="32" t="n">
        <f aca="false">IF(A134="",0,IF(C134&gt;=IFERROR(INDEX(Biens!$O$5:$O$30,MATCH(J134,Biens!$A$5:$A$30,0)),99999),1,0))</f>
        <v>1</v>
      </c>
    </row>
    <row r="135" customFormat="false" ht="15" hidden="false" customHeight="true" outlineLevel="0" collapsed="false">
      <c r="A135" s="30" t="s">
        <v>417</v>
      </c>
      <c r="B135" s="30" t="n">
        <v>131</v>
      </c>
      <c r="C135" s="28" t="n">
        <v>47031</v>
      </c>
      <c r="D135" s="29" t="n">
        <f aca="false">IF(C135="","",YEAR(C135))</f>
        <v>2028</v>
      </c>
      <c r="E135" s="31" t="n">
        <v>84351.86</v>
      </c>
      <c r="F135" s="31" t="n">
        <v>715.8</v>
      </c>
      <c r="G135" s="31" t="n">
        <v>105.44</v>
      </c>
      <c r="H135" s="31" t="n">
        <v>20.08</v>
      </c>
      <c r="I135" s="33" t="n">
        <f aca="false">IF(C135="","",F135+G135+H135)</f>
        <v>841.32</v>
      </c>
      <c r="J135" s="32" t="str">
        <f aca="false">IF(A135="","",IFERROR(INDEX(Prêts!$B$5:$B$14,MATCH(A135,Prêts!$A$5:$A$14,0)),"?"))</f>
        <v>APPART-01</v>
      </c>
      <c r="K135" s="32" t="n">
        <f aca="false">IF(A135="",0,IF(C135&gt;=IFERROR(INDEX(Biens!$O$5:$O$30,MATCH(J135,Biens!$A$5:$A$30,0)),99999),1,0))</f>
        <v>1</v>
      </c>
    </row>
    <row r="136" customFormat="false" ht="15" hidden="false" customHeight="true" outlineLevel="0" collapsed="false">
      <c r="A136" s="30" t="s">
        <v>417</v>
      </c>
      <c r="B136" s="30" t="n">
        <v>132</v>
      </c>
      <c r="C136" s="28" t="n">
        <v>47062</v>
      </c>
      <c r="D136" s="29" t="n">
        <f aca="false">IF(C136="","",YEAR(C136))</f>
        <v>2028</v>
      </c>
      <c r="E136" s="31" t="n">
        <v>83636.06</v>
      </c>
      <c r="F136" s="31" t="n">
        <v>716.7</v>
      </c>
      <c r="G136" s="31" t="n">
        <v>104.54</v>
      </c>
      <c r="H136" s="31" t="n">
        <v>20.08</v>
      </c>
      <c r="I136" s="33" t="n">
        <f aca="false">IF(C136="","",F136+G136+H136)</f>
        <v>841.32</v>
      </c>
      <c r="J136" s="32" t="str">
        <f aca="false">IF(A136="","",IFERROR(INDEX(Prêts!$B$5:$B$14,MATCH(A136,Prêts!$A$5:$A$14,0)),"?"))</f>
        <v>APPART-01</v>
      </c>
      <c r="K136" s="32" t="n">
        <f aca="false">IF(A136="",0,IF(C136&gt;=IFERROR(INDEX(Biens!$O$5:$O$30,MATCH(J136,Biens!$A$5:$A$30,0)),99999),1,0))</f>
        <v>1</v>
      </c>
    </row>
    <row r="137" customFormat="false" ht="15" hidden="false" customHeight="true" outlineLevel="0" collapsed="false">
      <c r="A137" s="30" t="s">
        <v>417</v>
      </c>
      <c r="B137" s="30" t="n">
        <v>133</v>
      </c>
      <c r="C137" s="28" t="n">
        <v>47092</v>
      </c>
      <c r="D137" s="29" t="n">
        <f aca="false">IF(C137="","",YEAR(C137))</f>
        <v>2028</v>
      </c>
      <c r="E137" s="31" t="n">
        <v>82919.36</v>
      </c>
      <c r="F137" s="31" t="n">
        <v>717.6</v>
      </c>
      <c r="G137" s="31" t="n">
        <v>103.65</v>
      </c>
      <c r="H137" s="31" t="n">
        <v>20.08</v>
      </c>
      <c r="I137" s="33" t="n">
        <f aca="false">IF(C137="","",F137+G137+H137)</f>
        <v>841.33</v>
      </c>
      <c r="J137" s="32" t="str">
        <f aca="false">IF(A137="","",IFERROR(INDEX(Prêts!$B$5:$B$14,MATCH(A137,Prêts!$A$5:$A$14,0)),"?"))</f>
        <v>APPART-01</v>
      </c>
      <c r="K137" s="32" t="n">
        <f aca="false">IF(A137="",0,IF(C137&gt;=IFERROR(INDEX(Biens!$O$5:$O$30,MATCH(J137,Biens!$A$5:$A$30,0)),99999),1,0))</f>
        <v>1</v>
      </c>
    </row>
    <row r="138" customFormat="false" ht="15" hidden="false" customHeight="true" outlineLevel="0" collapsed="false">
      <c r="A138" s="30" t="s">
        <v>417</v>
      </c>
      <c r="B138" s="30" t="n">
        <v>134</v>
      </c>
      <c r="C138" s="28" t="n">
        <v>47123</v>
      </c>
      <c r="D138" s="29" t="n">
        <f aca="false">IF(C138="","",YEAR(C138))</f>
        <v>2029</v>
      </c>
      <c r="E138" s="31" t="n">
        <v>82201.76</v>
      </c>
      <c r="F138" s="31" t="n">
        <v>718.49</v>
      </c>
      <c r="G138" s="31" t="n">
        <v>102.76</v>
      </c>
      <c r="H138" s="31" t="n">
        <v>20.08</v>
      </c>
      <c r="I138" s="33" t="n">
        <f aca="false">IF(C138="","",F138+G138+H138)</f>
        <v>841.33</v>
      </c>
      <c r="J138" s="32" t="str">
        <f aca="false">IF(A138="","",IFERROR(INDEX(Prêts!$B$5:$B$14,MATCH(A138,Prêts!$A$5:$A$14,0)),"?"))</f>
        <v>APPART-01</v>
      </c>
      <c r="K138" s="32" t="n">
        <f aca="false">IF(A138="",0,IF(C138&gt;=IFERROR(INDEX(Biens!$O$5:$O$30,MATCH(J138,Biens!$A$5:$A$30,0)),99999),1,0))</f>
        <v>1</v>
      </c>
    </row>
    <row r="139" customFormat="false" ht="15" hidden="false" customHeight="true" outlineLevel="0" collapsed="false">
      <c r="A139" s="30" t="s">
        <v>417</v>
      </c>
      <c r="B139" s="30" t="n">
        <v>135</v>
      </c>
      <c r="C139" s="28" t="n">
        <v>47154</v>
      </c>
      <c r="D139" s="29" t="n">
        <f aca="false">IF(C139="","",YEAR(C139))</f>
        <v>2029</v>
      </c>
      <c r="E139" s="31" t="n">
        <v>81483.27</v>
      </c>
      <c r="F139" s="31" t="n">
        <v>719.39</v>
      </c>
      <c r="G139" s="31" t="n">
        <v>101.85</v>
      </c>
      <c r="H139" s="31" t="n">
        <v>20.08</v>
      </c>
      <c r="I139" s="33" t="n">
        <f aca="false">IF(C139="","",F139+G139+H139)</f>
        <v>841.32</v>
      </c>
      <c r="J139" s="32" t="str">
        <f aca="false">IF(A139="","",IFERROR(INDEX(Prêts!$B$5:$B$14,MATCH(A139,Prêts!$A$5:$A$14,0)),"?"))</f>
        <v>APPART-01</v>
      </c>
      <c r="K139" s="32" t="n">
        <f aca="false">IF(A139="",0,IF(C139&gt;=IFERROR(INDEX(Biens!$O$5:$O$30,MATCH(J139,Biens!$A$5:$A$30,0)),99999),1,0))</f>
        <v>1</v>
      </c>
    </row>
    <row r="140" customFormat="false" ht="15" hidden="false" customHeight="true" outlineLevel="0" collapsed="false">
      <c r="A140" s="30" t="s">
        <v>417</v>
      </c>
      <c r="B140" s="30" t="n">
        <v>136</v>
      </c>
      <c r="C140" s="28" t="n">
        <v>47182</v>
      </c>
      <c r="D140" s="29" t="n">
        <f aca="false">IF(C140="","",YEAR(C140))</f>
        <v>2029</v>
      </c>
      <c r="E140" s="31" t="n">
        <v>80763.88</v>
      </c>
      <c r="F140" s="31" t="n">
        <v>720.29</v>
      </c>
      <c r="G140" s="31" t="n">
        <v>100.95</v>
      </c>
      <c r="H140" s="31" t="n">
        <v>20.08</v>
      </c>
      <c r="I140" s="33" t="n">
        <f aca="false">IF(C140="","",F140+G140+H140)</f>
        <v>841.32</v>
      </c>
      <c r="J140" s="32" t="str">
        <f aca="false">IF(A140="","",IFERROR(INDEX(Prêts!$B$5:$B$14,MATCH(A140,Prêts!$A$5:$A$14,0)),"?"))</f>
        <v>APPART-01</v>
      </c>
      <c r="K140" s="32" t="n">
        <f aca="false">IF(A140="",0,IF(C140&gt;=IFERROR(INDEX(Biens!$O$5:$O$30,MATCH(J140,Biens!$A$5:$A$30,0)),99999),1,0))</f>
        <v>1</v>
      </c>
    </row>
    <row r="141" customFormat="false" ht="15" hidden="false" customHeight="true" outlineLevel="0" collapsed="false">
      <c r="A141" s="30" t="s">
        <v>417</v>
      </c>
      <c r="B141" s="30" t="n">
        <v>137</v>
      </c>
      <c r="C141" s="28" t="n">
        <v>47213</v>
      </c>
      <c r="D141" s="29" t="n">
        <f aca="false">IF(C141="","",YEAR(C141))</f>
        <v>2029</v>
      </c>
      <c r="E141" s="31" t="n">
        <v>80043.58</v>
      </c>
      <c r="F141" s="31" t="n">
        <v>721.19</v>
      </c>
      <c r="G141" s="31" t="n">
        <v>100.06</v>
      </c>
      <c r="H141" s="31" t="n">
        <v>20.08</v>
      </c>
      <c r="I141" s="33" t="n">
        <f aca="false">IF(C141="","",F141+G141+H141)</f>
        <v>841.33</v>
      </c>
      <c r="J141" s="32" t="str">
        <f aca="false">IF(A141="","",IFERROR(INDEX(Prêts!$B$5:$B$14,MATCH(A141,Prêts!$A$5:$A$14,0)),"?"))</f>
        <v>APPART-01</v>
      </c>
      <c r="K141" s="32" t="n">
        <f aca="false">IF(A141="",0,IF(C141&gt;=IFERROR(INDEX(Biens!$O$5:$O$30,MATCH(J141,Biens!$A$5:$A$30,0)),99999),1,0))</f>
        <v>1</v>
      </c>
    </row>
    <row r="142" customFormat="false" ht="15" hidden="false" customHeight="true" outlineLevel="0" collapsed="false">
      <c r="A142" s="30" t="s">
        <v>417</v>
      </c>
      <c r="B142" s="30" t="n">
        <v>138</v>
      </c>
      <c r="C142" s="28" t="n">
        <v>47243</v>
      </c>
      <c r="D142" s="29" t="n">
        <f aca="false">IF(C142="","",YEAR(C142))</f>
        <v>2029</v>
      </c>
      <c r="E142" s="31" t="n">
        <v>79322.4</v>
      </c>
      <c r="F142" s="31" t="n">
        <v>722.09</v>
      </c>
      <c r="G142" s="31" t="n">
        <v>99.16</v>
      </c>
      <c r="H142" s="31" t="n">
        <v>20.08</v>
      </c>
      <c r="I142" s="33" t="n">
        <f aca="false">IF(C142="","",F142+G142+H142)</f>
        <v>841.33</v>
      </c>
      <c r="J142" s="32" t="str">
        <f aca="false">IF(A142="","",IFERROR(INDEX(Prêts!$B$5:$B$14,MATCH(A142,Prêts!$A$5:$A$14,0)),"?"))</f>
        <v>APPART-01</v>
      </c>
      <c r="K142" s="32" t="n">
        <f aca="false">IF(A142="",0,IF(C142&gt;=IFERROR(INDEX(Biens!$O$5:$O$30,MATCH(J142,Biens!$A$5:$A$30,0)),99999),1,0))</f>
        <v>1</v>
      </c>
    </row>
    <row r="143" customFormat="false" ht="15" hidden="false" customHeight="true" outlineLevel="0" collapsed="false">
      <c r="A143" s="30" t="s">
        <v>417</v>
      </c>
      <c r="B143" s="30" t="n">
        <v>139</v>
      </c>
      <c r="C143" s="28" t="n">
        <v>47274</v>
      </c>
      <c r="D143" s="29" t="n">
        <f aca="false">IF(C143="","",YEAR(C143))</f>
        <v>2029</v>
      </c>
      <c r="E143" s="31" t="n">
        <v>78600.31</v>
      </c>
      <c r="F143" s="31" t="n">
        <v>722.99</v>
      </c>
      <c r="G143" s="31" t="n">
        <v>98.25</v>
      </c>
      <c r="H143" s="31" t="n">
        <v>20.08</v>
      </c>
      <c r="I143" s="33" t="n">
        <f aca="false">IF(C143="","",F143+G143+H143)</f>
        <v>841.32</v>
      </c>
      <c r="J143" s="32" t="str">
        <f aca="false">IF(A143="","",IFERROR(INDEX(Prêts!$B$5:$B$14,MATCH(A143,Prêts!$A$5:$A$14,0)),"?"))</f>
        <v>APPART-01</v>
      </c>
      <c r="K143" s="32" t="n">
        <f aca="false">IF(A143="",0,IF(C143&gt;=IFERROR(INDEX(Biens!$O$5:$O$30,MATCH(J143,Biens!$A$5:$A$30,0)),99999),1,0))</f>
        <v>1</v>
      </c>
    </row>
    <row r="144" customFormat="false" ht="15" hidden="false" customHeight="true" outlineLevel="0" collapsed="false">
      <c r="A144" s="30" t="s">
        <v>417</v>
      </c>
      <c r="B144" s="30" t="n">
        <v>140</v>
      </c>
      <c r="C144" s="28" t="n">
        <v>47304</v>
      </c>
      <c r="D144" s="29" t="n">
        <f aca="false">IF(C144="","",YEAR(C144))</f>
        <v>2029</v>
      </c>
      <c r="E144" s="31" t="n">
        <v>77877.32</v>
      </c>
      <c r="F144" s="31" t="n">
        <v>723.9</v>
      </c>
      <c r="G144" s="31" t="n">
        <v>97.34</v>
      </c>
      <c r="H144" s="31" t="n">
        <v>20.08</v>
      </c>
      <c r="I144" s="33" t="n">
        <f aca="false">IF(C144="","",F144+G144+H144)</f>
        <v>841.32</v>
      </c>
      <c r="J144" s="32" t="str">
        <f aca="false">IF(A144="","",IFERROR(INDEX(Prêts!$B$5:$B$14,MATCH(A144,Prêts!$A$5:$A$14,0)),"?"))</f>
        <v>APPART-01</v>
      </c>
      <c r="K144" s="32" t="n">
        <f aca="false">IF(A144="",0,IF(C144&gt;=IFERROR(INDEX(Biens!$O$5:$O$30,MATCH(J144,Biens!$A$5:$A$30,0)),99999),1,0))</f>
        <v>1</v>
      </c>
    </row>
    <row r="145" customFormat="false" ht="15" hidden="false" customHeight="true" outlineLevel="0" collapsed="false">
      <c r="A145" s="30" t="s">
        <v>417</v>
      </c>
      <c r="B145" s="30" t="n">
        <v>141</v>
      </c>
      <c r="C145" s="28" t="n">
        <v>47335</v>
      </c>
      <c r="D145" s="29" t="n">
        <f aca="false">IF(C145="","",YEAR(C145))</f>
        <v>2029</v>
      </c>
      <c r="E145" s="31" t="n">
        <v>77153.41</v>
      </c>
      <c r="F145" s="31" t="n">
        <v>724.8</v>
      </c>
      <c r="G145" s="31" t="n">
        <v>96.44</v>
      </c>
      <c r="H145" s="31" t="n">
        <v>20.08</v>
      </c>
      <c r="I145" s="33" t="n">
        <f aca="false">IF(C145="","",F145+G145+H145)</f>
        <v>841.32</v>
      </c>
      <c r="J145" s="32" t="str">
        <f aca="false">IF(A145="","",IFERROR(INDEX(Prêts!$B$5:$B$14,MATCH(A145,Prêts!$A$5:$A$14,0)),"?"))</f>
        <v>APPART-01</v>
      </c>
      <c r="K145" s="32" t="n">
        <f aca="false">IF(A145="",0,IF(C145&gt;=IFERROR(INDEX(Biens!$O$5:$O$30,MATCH(J145,Biens!$A$5:$A$30,0)),99999),1,0))</f>
        <v>1</v>
      </c>
    </row>
    <row r="146" customFormat="false" ht="15" hidden="false" customHeight="true" outlineLevel="0" collapsed="false">
      <c r="A146" s="30" t="s">
        <v>417</v>
      </c>
      <c r="B146" s="30" t="n">
        <v>142</v>
      </c>
      <c r="C146" s="28" t="n">
        <v>47366</v>
      </c>
      <c r="D146" s="29" t="n">
        <f aca="false">IF(C146="","",YEAR(C146))</f>
        <v>2029</v>
      </c>
      <c r="E146" s="31" t="n">
        <v>76428.61</v>
      </c>
      <c r="F146" s="31" t="n">
        <v>725.71</v>
      </c>
      <c r="G146" s="31" t="n">
        <v>95.54</v>
      </c>
      <c r="H146" s="31" t="n">
        <v>20.08</v>
      </c>
      <c r="I146" s="33" t="n">
        <f aca="false">IF(C146="","",F146+G146+H146)</f>
        <v>841.33</v>
      </c>
      <c r="J146" s="32" t="str">
        <f aca="false">IF(A146="","",IFERROR(INDEX(Prêts!$B$5:$B$14,MATCH(A146,Prêts!$A$5:$A$14,0)),"?"))</f>
        <v>APPART-01</v>
      </c>
      <c r="K146" s="32" t="n">
        <f aca="false">IF(A146="",0,IF(C146&gt;=IFERROR(INDEX(Biens!$O$5:$O$30,MATCH(J146,Biens!$A$5:$A$30,0)),99999),1,0))</f>
        <v>1</v>
      </c>
    </row>
    <row r="147" customFormat="false" ht="15" hidden="false" customHeight="true" outlineLevel="0" collapsed="false">
      <c r="A147" s="30" t="s">
        <v>417</v>
      </c>
      <c r="B147" s="30" t="n">
        <v>143</v>
      </c>
      <c r="C147" s="28" t="n">
        <v>47396</v>
      </c>
      <c r="D147" s="29" t="n">
        <f aca="false">IF(C147="","",YEAR(C147))</f>
        <v>2029</v>
      </c>
      <c r="E147" s="31" t="n">
        <v>75702.9</v>
      </c>
      <c r="F147" s="31" t="n">
        <v>726.62</v>
      </c>
      <c r="G147" s="31" t="n">
        <v>94.63</v>
      </c>
      <c r="H147" s="31" t="n">
        <v>20.08</v>
      </c>
      <c r="I147" s="33" t="n">
        <f aca="false">IF(C147="","",F147+G147+H147)</f>
        <v>841.33</v>
      </c>
      <c r="J147" s="32" t="str">
        <f aca="false">IF(A147="","",IFERROR(INDEX(Prêts!$B$5:$B$14,MATCH(A147,Prêts!$A$5:$A$14,0)),"?"))</f>
        <v>APPART-01</v>
      </c>
      <c r="K147" s="32" t="n">
        <f aca="false">IF(A147="",0,IF(C147&gt;=IFERROR(INDEX(Biens!$O$5:$O$30,MATCH(J147,Biens!$A$5:$A$30,0)),99999),1,0))</f>
        <v>1</v>
      </c>
    </row>
    <row r="148" customFormat="false" ht="15" hidden="false" customHeight="true" outlineLevel="0" collapsed="false">
      <c r="A148" s="30" t="s">
        <v>417</v>
      </c>
      <c r="B148" s="30" t="n">
        <v>144</v>
      </c>
      <c r="C148" s="28" t="n">
        <v>47427</v>
      </c>
      <c r="D148" s="29" t="n">
        <f aca="false">IF(C148="","",YEAR(C148))</f>
        <v>2029</v>
      </c>
      <c r="E148" s="31" t="n">
        <v>74976.28</v>
      </c>
      <c r="F148" s="31" t="n">
        <v>727.53</v>
      </c>
      <c r="G148" s="31" t="n">
        <v>93.72</v>
      </c>
      <c r="H148" s="31" t="n">
        <v>20.08</v>
      </c>
      <c r="I148" s="33" t="n">
        <f aca="false">IF(C148="","",F148+G148+H148)</f>
        <v>841.33</v>
      </c>
      <c r="J148" s="32" t="str">
        <f aca="false">IF(A148="","",IFERROR(INDEX(Prêts!$B$5:$B$14,MATCH(A148,Prêts!$A$5:$A$14,0)),"?"))</f>
        <v>APPART-01</v>
      </c>
      <c r="K148" s="32" t="n">
        <f aca="false">IF(A148="",0,IF(C148&gt;=IFERROR(INDEX(Biens!$O$5:$O$30,MATCH(J148,Biens!$A$5:$A$30,0)),99999),1,0))</f>
        <v>1</v>
      </c>
    </row>
    <row r="149" customFormat="false" ht="15" hidden="false" customHeight="true" outlineLevel="0" collapsed="false">
      <c r="A149" s="30" t="s">
        <v>417</v>
      </c>
      <c r="B149" s="30" t="n">
        <v>145</v>
      </c>
      <c r="C149" s="28" t="n">
        <v>47457</v>
      </c>
      <c r="D149" s="29" t="n">
        <f aca="false">IF(C149="","",YEAR(C149))</f>
        <v>2029</v>
      </c>
      <c r="E149" s="31" t="n">
        <v>74248.75</v>
      </c>
      <c r="F149" s="31" t="n">
        <v>728.43</v>
      </c>
      <c r="G149" s="31" t="n">
        <v>92.81</v>
      </c>
      <c r="H149" s="31" t="n">
        <v>20.08</v>
      </c>
      <c r="I149" s="33" t="n">
        <f aca="false">IF(C149="","",F149+G149+H149)</f>
        <v>841.32</v>
      </c>
      <c r="J149" s="32" t="str">
        <f aca="false">IF(A149="","",IFERROR(INDEX(Prêts!$B$5:$B$14,MATCH(A149,Prêts!$A$5:$A$14,0)),"?"))</f>
        <v>APPART-01</v>
      </c>
      <c r="K149" s="32" t="n">
        <f aca="false">IF(A149="",0,IF(C149&gt;=IFERROR(INDEX(Biens!$O$5:$O$30,MATCH(J149,Biens!$A$5:$A$30,0)),99999),1,0))</f>
        <v>1</v>
      </c>
    </row>
    <row r="150" customFormat="false" ht="15" hidden="false" customHeight="true" outlineLevel="0" collapsed="false">
      <c r="A150" s="30" t="s">
        <v>417</v>
      </c>
      <c r="B150" s="30" t="n">
        <v>146</v>
      </c>
      <c r="C150" s="28" t="n">
        <v>47488</v>
      </c>
      <c r="D150" s="29" t="n">
        <f aca="false">IF(C150="","",YEAR(C150))</f>
        <v>2030</v>
      </c>
      <c r="E150" s="31" t="n">
        <v>73520.32</v>
      </c>
      <c r="F150" s="31" t="n">
        <v>729.34</v>
      </c>
      <c r="G150" s="31" t="n">
        <v>91.9</v>
      </c>
      <c r="H150" s="31" t="n">
        <v>20.08</v>
      </c>
      <c r="I150" s="33" t="n">
        <f aca="false">IF(C150="","",F150+G150+H150)</f>
        <v>841.32</v>
      </c>
      <c r="J150" s="32" t="str">
        <f aca="false">IF(A150="","",IFERROR(INDEX(Prêts!$B$5:$B$14,MATCH(A150,Prêts!$A$5:$A$14,0)),"?"))</f>
        <v>APPART-01</v>
      </c>
      <c r="K150" s="32" t="n">
        <f aca="false">IF(A150="",0,IF(C150&gt;=IFERROR(INDEX(Biens!$O$5:$O$30,MATCH(J150,Biens!$A$5:$A$30,0)),99999),1,0))</f>
        <v>1</v>
      </c>
    </row>
    <row r="151" customFormat="false" ht="15" hidden="false" customHeight="true" outlineLevel="0" collapsed="false">
      <c r="A151" s="30" t="s">
        <v>417</v>
      </c>
      <c r="B151" s="30" t="n">
        <v>147</v>
      </c>
      <c r="C151" s="28" t="n">
        <v>47519</v>
      </c>
      <c r="D151" s="29" t="n">
        <f aca="false">IF(C151="","",YEAR(C151))</f>
        <v>2030</v>
      </c>
      <c r="E151" s="31" t="n">
        <v>72790.98</v>
      </c>
      <c r="F151" s="31" t="n">
        <v>730.25</v>
      </c>
      <c r="G151" s="31" t="n">
        <v>90.99</v>
      </c>
      <c r="H151" s="31" t="n">
        <v>20.08</v>
      </c>
      <c r="I151" s="33" t="n">
        <f aca="false">IF(C151="","",F151+G151+H151)</f>
        <v>841.32</v>
      </c>
      <c r="J151" s="32" t="str">
        <f aca="false">IF(A151="","",IFERROR(INDEX(Prêts!$B$5:$B$14,MATCH(A151,Prêts!$A$5:$A$14,0)),"?"))</f>
        <v>APPART-01</v>
      </c>
      <c r="K151" s="32" t="n">
        <f aca="false">IF(A151="",0,IF(C151&gt;=IFERROR(INDEX(Biens!$O$5:$O$30,MATCH(J151,Biens!$A$5:$A$30,0)),99999),1,0))</f>
        <v>1</v>
      </c>
    </row>
    <row r="152" customFormat="false" ht="15" hidden="false" customHeight="true" outlineLevel="0" collapsed="false">
      <c r="A152" s="30" t="s">
        <v>417</v>
      </c>
      <c r="B152" s="30" t="n">
        <v>148</v>
      </c>
      <c r="C152" s="28" t="n">
        <v>47547</v>
      </c>
      <c r="D152" s="29" t="n">
        <f aca="false">IF(C152="","",YEAR(C152))</f>
        <v>2030</v>
      </c>
      <c r="E152" s="31" t="n">
        <v>72060.72</v>
      </c>
      <c r="F152" s="31" t="n">
        <v>731.17</v>
      </c>
      <c r="G152" s="31" t="n">
        <v>90.08</v>
      </c>
      <c r="H152" s="31" t="n">
        <v>20.08</v>
      </c>
      <c r="I152" s="33" t="n">
        <f aca="false">IF(C152="","",F152+G152+H152)</f>
        <v>841.33</v>
      </c>
      <c r="J152" s="32" t="str">
        <f aca="false">IF(A152="","",IFERROR(INDEX(Prêts!$B$5:$B$14,MATCH(A152,Prêts!$A$5:$A$14,0)),"?"))</f>
        <v>APPART-01</v>
      </c>
      <c r="K152" s="32" t="n">
        <f aca="false">IF(A152="",0,IF(C152&gt;=IFERROR(INDEX(Biens!$O$5:$O$30,MATCH(J152,Biens!$A$5:$A$30,0)),99999),1,0))</f>
        <v>1</v>
      </c>
    </row>
    <row r="153" customFormat="false" ht="15" hidden="false" customHeight="true" outlineLevel="0" collapsed="false">
      <c r="A153" s="30" t="s">
        <v>417</v>
      </c>
      <c r="B153" s="30" t="n">
        <v>149</v>
      </c>
      <c r="C153" s="28" t="n">
        <v>47578</v>
      </c>
      <c r="D153" s="29" t="n">
        <f aca="false">IF(C153="","",YEAR(C153))</f>
        <v>2030</v>
      </c>
      <c r="E153" s="31" t="n">
        <v>71329.56</v>
      </c>
      <c r="F153" s="31" t="n">
        <v>732.09</v>
      </c>
      <c r="G153" s="31" t="n">
        <v>89.16</v>
      </c>
      <c r="H153" s="31" t="n">
        <v>20.08</v>
      </c>
      <c r="I153" s="33" t="n">
        <f aca="false">IF(C153="","",F153+G153+H153)</f>
        <v>841.33</v>
      </c>
      <c r="J153" s="32" t="str">
        <f aca="false">IF(A153="","",IFERROR(INDEX(Prêts!$B$5:$B$14,MATCH(A153,Prêts!$A$5:$A$14,0)),"?"))</f>
        <v>APPART-01</v>
      </c>
      <c r="K153" s="32" t="n">
        <f aca="false">IF(A153="",0,IF(C153&gt;=IFERROR(INDEX(Biens!$O$5:$O$30,MATCH(J153,Biens!$A$5:$A$30,0)),99999),1,0))</f>
        <v>1</v>
      </c>
    </row>
    <row r="154" customFormat="false" ht="15" hidden="false" customHeight="true" outlineLevel="0" collapsed="false">
      <c r="A154" s="30" t="s">
        <v>417</v>
      </c>
      <c r="B154" s="30" t="n">
        <v>150</v>
      </c>
      <c r="C154" s="28" t="n">
        <v>47608</v>
      </c>
      <c r="D154" s="29" t="n">
        <f aca="false">IF(C154="","",YEAR(C154))</f>
        <v>2030</v>
      </c>
      <c r="E154" s="31" t="n">
        <v>70597.47</v>
      </c>
      <c r="F154" s="31" t="n">
        <v>733</v>
      </c>
      <c r="G154" s="31" t="n">
        <v>88.25</v>
      </c>
      <c r="H154" s="31" t="n">
        <v>20.08</v>
      </c>
      <c r="I154" s="33" t="n">
        <f aca="false">IF(C154="","",F154+G154+H154)</f>
        <v>841.33</v>
      </c>
      <c r="J154" s="32" t="str">
        <f aca="false">IF(A154="","",IFERROR(INDEX(Prêts!$B$5:$B$14,MATCH(A154,Prêts!$A$5:$A$14,0)),"?"))</f>
        <v>APPART-01</v>
      </c>
      <c r="K154" s="32" t="n">
        <f aca="false">IF(A154="",0,IF(C154&gt;=IFERROR(INDEX(Biens!$O$5:$O$30,MATCH(J154,Biens!$A$5:$A$30,0)),99999),1,0))</f>
        <v>1</v>
      </c>
    </row>
    <row r="155" customFormat="false" ht="15" hidden="false" customHeight="true" outlineLevel="0" collapsed="false">
      <c r="A155" s="30" t="s">
        <v>417</v>
      </c>
      <c r="B155" s="30" t="n">
        <v>151</v>
      </c>
      <c r="C155" s="28" t="n">
        <v>47639</v>
      </c>
      <c r="D155" s="29" t="n">
        <f aca="false">IF(C155="","",YEAR(C155))</f>
        <v>2030</v>
      </c>
      <c r="E155" s="31" t="n">
        <v>69864.47</v>
      </c>
      <c r="F155" s="31" t="n">
        <v>733.92</v>
      </c>
      <c r="G155" s="31" t="n">
        <v>87.33</v>
      </c>
      <c r="H155" s="31" t="n">
        <v>20.08</v>
      </c>
      <c r="I155" s="33" t="n">
        <f aca="false">IF(C155="","",F155+G155+H155)</f>
        <v>841.33</v>
      </c>
      <c r="J155" s="32" t="str">
        <f aca="false">IF(A155="","",IFERROR(INDEX(Prêts!$B$5:$B$14,MATCH(A155,Prêts!$A$5:$A$14,0)),"?"))</f>
        <v>APPART-01</v>
      </c>
      <c r="K155" s="32" t="n">
        <f aca="false">IF(A155="",0,IF(C155&gt;=IFERROR(INDEX(Biens!$O$5:$O$30,MATCH(J155,Biens!$A$5:$A$30,0)),99999),1,0))</f>
        <v>1</v>
      </c>
    </row>
    <row r="156" customFormat="false" ht="15" hidden="false" customHeight="true" outlineLevel="0" collapsed="false">
      <c r="A156" s="30" t="s">
        <v>417</v>
      </c>
      <c r="B156" s="30" t="n">
        <v>152</v>
      </c>
      <c r="C156" s="28" t="n">
        <v>47669</v>
      </c>
      <c r="D156" s="29" t="n">
        <f aca="false">IF(C156="","",YEAR(C156))</f>
        <v>2030</v>
      </c>
      <c r="E156" s="31" t="n">
        <v>69130.55</v>
      </c>
      <c r="F156" s="31" t="n">
        <v>734.83</v>
      </c>
      <c r="G156" s="31" t="n">
        <v>86.42</v>
      </c>
      <c r="H156" s="31" t="n">
        <v>20.08</v>
      </c>
      <c r="I156" s="33" t="n">
        <f aca="false">IF(C156="","",F156+G156+H156)</f>
        <v>841.33</v>
      </c>
      <c r="J156" s="32" t="str">
        <f aca="false">IF(A156="","",IFERROR(INDEX(Prêts!$B$5:$B$14,MATCH(A156,Prêts!$A$5:$A$14,0)),"?"))</f>
        <v>APPART-01</v>
      </c>
      <c r="K156" s="32" t="n">
        <f aca="false">IF(A156="",0,IF(C156&gt;=IFERROR(INDEX(Biens!$O$5:$O$30,MATCH(J156,Biens!$A$5:$A$30,0)),99999),1,0))</f>
        <v>1</v>
      </c>
    </row>
    <row r="157" customFormat="false" ht="15" hidden="false" customHeight="true" outlineLevel="0" collapsed="false">
      <c r="A157" s="30" t="s">
        <v>417</v>
      </c>
      <c r="B157" s="30" t="n">
        <v>153</v>
      </c>
      <c r="C157" s="28" t="n">
        <v>47700</v>
      </c>
      <c r="D157" s="29" t="n">
        <f aca="false">IF(C157="","",YEAR(C157))</f>
        <v>2030</v>
      </c>
      <c r="E157" s="31" t="n">
        <v>68395.72</v>
      </c>
      <c r="F157" s="31" t="n">
        <v>735.75</v>
      </c>
      <c r="G157" s="31" t="n">
        <v>85.49</v>
      </c>
      <c r="H157" s="31" t="n">
        <v>20.08</v>
      </c>
      <c r="I157" s="33" t="n">
        <f aca="false">IF(C157="","",F157+G157+H157)</f>
        <v>841.32</v>
      </c>
      <c r="J157" s="32" t="str">
        <f aca="false">IF(A157="","",IFERROR(INDEX(Prêts!$B$5:$B$14,MATCH(A157,Prêts!$A$5:$A$14,0)),"?"))</f>
        <v>APPART-01</v>
      </c>
      <c r="K157" s="32" t="n">
        <f aca="false">IF(A157="",0,IF(C157&gt;=IFERROR(INDEX(Biens!$O$5:$O$30,MATCH(J157,Biens!$A$5:$A$30,0)),99999),1,0))</f>
        <v>1</v>
      </c>
    </row>
    <row r="158" customFormat="false" ht="15" hidden="false" customHeight="true" outlineLevel="0" collapsed="false">
      <c r="A158" s="30" t="s">
        <v>417</v>
      </c>
      <c r="B158" s="30" t="n">
        <v>154</v>
      </c>
      <c r="C158" s="28" t="n">
        <v>47731</v>
      </c>
      <c r="D158" s="29" t="n">
        <f aca="false">IF(C158="","",YEAR(C158))</f>
        <v>2030</v>
      </c>
      <c r="E158" s="31" t="n">
        <v>67659.97</v>
      </c>
      <c r="F158" s="31" t="n">
        <v>736.67</v>
      </c>
      <c r="G158" s="31" t="n">
        <v>84.57</v>
      </c>
      <c r="H158" s="31" t="n">
        <v>20.08</v>
      </c>
      <c r="I158" s="33" t="n">
        <f aca="false">IF(C158="","",F158+G158+H158)</f>
        <v>841.32</v>
      </c>
      <c r="J158" s="32" t="str">
        <f aca="false">IF(A158="","",IFERROR(INDEX(Prêts!$B$5:$B$14,MATCH(A158,Prêts!$A$5:$A$14,0)),"?"))</f>
        <v>APPART-01</v>
      </c>
      <c r="K158" s="32" t="n">
        <f aca="false">IF(A158="",0,IF(C158&gt;=IFERROR(INDEX(Biens!$O$5:$O$30,MATCH(J158,Biens!$A$5:$A$30,0)),99999),1,0))</f>
        <v>1</v>
      </c>
    </row>
    <row r="159" customFormat="false" ht="15" hidden="false" customHeight="true" outlineLevel="0" collapsed="false">
      <c r="A159" s="30" t="s">
        <v>417</v>
      </c>
      <c r="B159" s="30" t="n">
        <v>155</v>
      </c>
      <c r="C159" s="28" t="n">
        <v>47761</v>
      </c>
      <c r="D159" s="29" t="n">
        <f aca="false">IF(C159="","",YEAR(C159))</f>
        <v>2030</v>
      </c>
      <c r="E159" s="31" t="n">
        <v>66923.3</v>
      </c>
      <c r="F159" s="31" t="n">
        <v>737.59</v>
      </c>
      <c r="G159" s="31" t="n">
        <v>83.65</v>
      </c>
      <c r="H159" s="31" t="n">
        <v>20.08</v>
      </c>
      <c r="I159" s="33" t="n">
        <f aca="false">IF(C159="","",F159+G159+H159)</f>
        <v>841.32</v>
      </c>
      <c r="J159" s="32" t="str">
        <f aca="false">IF(A159="","",IFERROR(INDEX(Prêts!$B$5:$B$14,MATCH(A159,Prêts!$A$5:$A$14,0)),"?"))</f>
        <v>APPART-01</v>
      </c>
      <c r="K159" s="32" t="n">
        <f aca="false">IF(A159="",0,IF(C159&gt;=IFERROR(INDEX(Biens!$O$5:$O$30,MATCH(J159,Biens!$A$5:$A$30,0)),99999),1,0))</f>
        <v>1</v>
      </c>
    </row>
    <row r="160" customFormat="false" ht="15" hidden="false" customHeight="true" outlineLevel="0" collapsed="false">
      <c r="A160" s="30" t="s">
        <v>417</v>
      </c>
      <c r="B160" s="30" t="n">
        <v>156</v>
      </c>
      <c r="C160" s="28" t="n">
        <v>47792</v>
      </c>
      <c r="D160" s="29" t="n">
        <f aca="false">IF(C160="","",YEAR(C160))</f>
        <v>2030</v>
      </c>
      <c r="E160" s="31" t="n">
        <v>66185.71</v>
      </c>
      <c r="F160" s="31" t="n">
        <v>738.51</v>
      </c>
      <c r="G160" s="31" t="n">
        <v>82.73</v>
      </c>
      <c r="H160" s="31" t="n">
        <v>20.08</v>
      </c>
      <c r="I160" s="33" t="n">
        <f aca="false">IF(C160="","",F160+G160+H160)</f>
        <v>841.32</v>
      </c>
      <c r="J160" s="32" t="str">
        <f aca="false">IF(A160="","",IFERROR(INDEX(Prêts!$B$5:$B$14,MATCH(A160,Prêts!$A$5:$A$14,0)),"?"))</f>
        <v>APPART-01</v>
      </c>
      <c r="K160" s="32" t="n">
        <f aca="false">IF(A160="",0,IF(C160&gt;=IFERROR(INDEX(Biens!$O$5:$O$30,MATCH(J160,Biens!$A$5:$A$30,0)),99999),1,0))</f>
        <v>1</v>
      </c>
    </row>
    <row r="161" customFormat="false" ht="15" hidden="false" customHeight="true" outlineLevel="0" collapsed="false">
      <c r="A161" s="30" t="s">
        <v>417</v>
      </c>
      <c r="B161" s="30" t="n">
        <v>157</v>
      </c>
      <c r="C161" s="28" t="n">
        <v>47822</v>
      </c>
      <c r="D161" s="29" t="n">
        <f aca="false">IF(C161="","",YEAR(C161))</f>
        <v>2030</v>
      </c>
      <c r="E161" s="31" t="n">
        <v>65447.2</v>
      </c>
      <c r="F161" s="31" t="n">
        <v>739.43</v>
      </c>
      <c r="G161" s="31" t="n">
        <v>81.81</v>
      </c>
      <c r="H161" s="31" t="n">
        <v>20.08</v>
      </c>
      <c r="I161" s="33" t="n">
        <f aca="false">IF(C161="","",F161+G161+H161)</f>
        <v>841.32</v>
      </c>
      <c r="J161" s="32" t="str">
        <f aca="false">IF(A161="","",IFERROR(INDEX(Prêts!$B$5:$B$14,MATCH(A161,Prêts!$A$5:$A$14,0)),"?"))</f>
        <v>APPART-01</v>
      </c>
      <c r="K161" s="32" t="n">
        <f aca="false">IF(A161="",0,IF(C161&gt;=IFERROR(INDEX(Biens!$O$5:$O$30,MATCH(J161,Biens!$A$5:$A$30,0)),99999),1,0))</f>
        <v>1</v>
      </c>
    </row>
    <row r="162" customFormat="false" ht="15" hidden="false" customHeight="true" outlineLevel="0" collapsed="false">
      <c r="A162" s="30" t="s">
        <v>417</v>
      </c>
      <c r="B162" s="30" t="n">
        <v>158</v>
      </c>
      <c r="C162" s="28" t="n">
        <v>47853</v>
      </c>
      <c r="D162" s="29" t="n">
        <f aca="false">IF(C162="","",YEAR(C162))</f>
        <v>2031</v>
      </c>
      <c r="E162" s="31" t="n">
        <v>64707.76</v>
      </c>
      <c r="F162" s="31" t="n">
        <v>740.36</v>
      </c>
      <c r="G162" s="31" t="n">
        <v>80.88</v>
      </c>
      <c r="H162" s="31" t="n">
        <v>20.08</v>
      </c>
      <c r="I162" s="33" t="n">
        <f aca="false">IF(C162="","",F162+G162+H162)</f>
        <v>841.32</v>
      </c>
      <c r="J162" s="32" t="str">
        <f aca="false">IF(A162="","",IFERROR(INDEX(Prêts!$B$5:$B$14,MATCH(A162,Prêts!$A$5:$A$14,0)),"?"))</f>
        <v>APPART-01</v>
      </c>
      <c r="K162" s="32" t="n">
        <f aca="false">IF(A162="",0,IF(C162&gt;=IFERROR(INDEX(Biens!$O$5:$O$30,MATCH(J162,Biens!$A$5:$A$30,0)),99999),1,0))</f>
        <v>1</v>
      </c>
    </row>
    <row r="163" customFormat="false" ht="15" hidden="false" customHeight="true" outlineLevel="0" collapsed="false">
      <c r="A163" s="30" t="s">
        <v>417</v>
      </c>
      <c r="B163" s="30" t="n">
        <v>159</v>
      </c>
      <c r="C163" s="28" t="n">
        <v>47884</v>
      </c>
      <c r="D163" s="29" t="n">
        <f aca="false">IF(C163="","",YEAR(C163))</f>
        <v>2031</v>
      </c>
      <c r="E163" s="31" t="n">
        <v>63967.4</v>
      </c>
      <c r="F163" s="31" t="n">
        <v>741.28</v>
      </c>
      <c r="G163" s="31" t="n">
        <v>79.96</v>
      </c>
      <c r="H163" s="31" t="n">
        <v>20.08</v>
      </c>
      <c r="I163" s="33" t="n">
        <f aca="false">IF(C163="","",F163+G163+H163)</f>
        <v>841.32</v>
      </c>
      <c r="J163" s="32" t="str">
        <f aca="false">IF(A163="","",IFERROR(INDEX(Prêts!$B$5:$B$14,MATCH(A163,Prêts!$A$5:$A$14,0)),"?"))</f>
        <v>APPART-01</v>
      </c>
      <c r="K163" s="32" t="n">
        <f aca="false">IF(A163="",0,IF(C163&gt;=IFERROR(INDEX(Biens!$O$5:$O$30,MATCH(J163,Biens!$A$5:$A$30,0)),99999),1,0))</f>
        <v>1</v>
      </c>
    </row>
    <row r="164" customFormat="false" ht="15" hidden="false" customHeight="true" outlineLevel="0" collapsed="false">
      <c r="A164" s="30" t="s">
        <v>417</v>
      </c>
      <c r="B164" s="30" t="n">
        <v>160</v>
      </c>
      <c r="C164" s="28" t="n">
        <v>47912</v>
      </c>
      <c r="D164" s="29" t="n">
        <f aca="false">IF(C164="","",YEAR(C164))</f>
        <v>2031</v>
      </c>
      <c r="E164" s="31" t="n">
        <v>63226.12</v>
      </c>
      <c r="F164" s="31" t="n">
        <v>742.21</v>
      </c>
      <c r="G164" s="31" t="n">
        <v>79.03</v>
      </c>
      <c r="H164" s="31" t="n">
        <v>20.08</v>
      </c>
      <c r="I164" s="33" t="n">
        <f aca="false">IF(C164="","",F164+G164+H164)</f>
        <v>841.32</v>
      </c>
      <c r="J164" s="32" t="str">
        <f aca="false">IF(A164="","",IFERROR(INDEX(Prêts!$B$5:$B$14,MATCH(A164,Prêts!$A$5:$A$14,0)),"?"))</f>
        <v>APPART-01</v>
      </c>
      <c r="K164" s="32" t="n">
        <f aca="false">IF(A164="",0,IF(C164&gt;=IFERROR(INDEX(Biens!$O$5:$O$30,MATCH(J164,Biens!$A$5:$A$30,0)),99999),1,0))</f>
        <v>1</v>
      </c>
    </row>
    <row r="165" customFormat="false" ht="15" hidden="false" customHeight="true" outlineLevel="0" collapsed="false">
      <c r="A165" s="30" t="s">
        <v>417</v>
      </c>
      <c r="B165" s="30" t="n">
        <v>161</v>
      </c>
      <c r="C165" s="28" t="n">
        <v>47943</v>
      </c>
      <c r="D165" s="29" t="n">
        <f aca="false">IF(C165="","",YEAR(C165))</f>
        <v>2031</v>
      </c>
      <c r="E165" s="31" t="n">
        <v>62483.9</v>
      </c>
      <c r="F165" s="31" t="n">
        <v>743.14</v>
      </c>
      <c r="G165" s="31" t="n">
        <v>78.1</v>
      </c>
      <c r="H165" s="31" t="n">
        <v>20.08</v>
      </c>
      <c r="I165" s="33" t="n">
        <f aca="false">IF(C165="","",F165+G165+H165)</f>
        <v>841.32</v>
      </c>
      <c r="J165" s="32" t="str">
        <f aca="false">IF(A165="","",IFERROR(INDEX(Prêts!$B$5:$B$14,MATCH(A165,Prêts!$A$5:$A$14,0)),"?"))</f>
        <v>APPART-01</v>
      </c>
      <c r="K165" s="32" t="n">
        <f aca="false">IF(A165="",0,IF(C165&gt;=IFERROR(INDEX(Biens!$O$5:$O$30,MATCH(J165,Biens!$A$5:$A$30,0)),99999),1,0))</f>
        <v>1</v>
      </c>
    </row>
    <row r="166" customFormat="false" ht="15" hidden="false" customHeight="true" outlineLevel="0" collapsed="false">
      <c r="A166" s="30" t="s">
        <v>417</v>
      </c>
      <c r="B166" s="30" t="n">
        <v>162</v>
      </c>
      <c r="C166" s="28" t="n">
        <v>47973</v>
      </c>
      <c r="D166" s="29" t="n">
        <f aca="false">IF(C166="","",YEAR(C166))</f>
        <v>2031</v>
      </c>
      <c r="E166" s="31" t="n">
        <v>61740.76</v>
      </c>
      <c r="F166" s="31" t="n">
        <v>744.07</v>
      </c>
      <c r="G166" s="31" t="n">
        <v>77.17</v>
      </c>
      <c r="H166" s="31" t="n">
        <v>20.08</v>
      </c>
      <c r="I166" s="33" t="n">
        <f aca="false">IF(C166="","",F166+G166+H166)</f>
        <v>841.32</v>
      </c>
      <c r="J166" s="32" t="str">
        <f aca="false">IF(A166="","",IFERROR(INDEX(Prêts!$B$5:$B$14,MATCH(A166,Prêts!$A$5:$A$14,0)),"?"))</f>
        <v>APPART-01</v>
      </c>
      <c r="K166" s="32" t="n">
        <f aca="false">IF(A166="",0,IF(C166&gt;=IFERROR(INDEX(Biens!$O$5:$O$30,MATCH(J166,Biens!$A$5:$A$30,0)),99999),1,0))</f>
        <v>1</v>
      </c>
    </row>
    <row r="167" customFormat="false" ht="15" hidden="false" customHeight="true" outlineLevel="0" collapsed="false">
      <c r="A167" s="30" t="s">
        <v>417</v>
      </c>
      <c r="B167" s="30" t="n">
        <v>163</v>
      </c>
      <c r="C167" s="28" t="n">
        <v>48004</v>
      </c>
      <c r="D167" s="29" t="n">
        <f aca="false">IF(C167="","",YEAR(C167))</f>
        <v>2031</v>
      </c>
      <c r="E167" s="31" t="n">
        <v>60996.68</v>
      </c>
      <c r="F167" s="31" t="n">
        <v>745</v>
      </c>
      <c r="G167" s="31" t="n">
        <v>76.24</v>
      </c>
      <c r="H167" s="31" t="n">
        <v>20.08</v>
      </c>
      <c r="I167" s="33" t="n">
        <f aca="false">IF(C167="","",F167+G167+H167)</f>
        <v>841.32</v>
      </c>
      <c r="J167" s="32" t="str">
        <f aca="false">IF(A167="","",IFERROR(INDEX(Prêts!$B$5:$B$14,MATCH(A167,Prêts!$A$5:$A$14,0)),"?"))</f>
        <v>APPART-01</v>
      </c>
      <c r="K167" s="32" t="n">
        <f aca="false">IF(A167="",0,IF(C167&gt;=IFERROR(INDEX(Biens!$O$5:$O$30,MATCH(J167,Biens!$A$5:$A$30,0)),99999),1,0))</f>
        <v>1</v>
      </c>
    </row>
    <row r="168" customFormat="false" ht="15" hidden="false" customHeight="true" outlineLevel="0" collapsed="false">
      <c r="A168" s="30" t="s">
        <v>417</v>
      </c>
      <c r="B168" s="30" t="n">
        <v>164</v>
      </c>
      <c r="C168" s="28" t="n">
        <v>48034</v>
      </c>
      <c r="D168" s="29" t="n">
        <f aca="false">IF(C168="","",YEAR(C168))</f>
        <v>2031</v>
      </c>
      <c r="E168" s="31" t="n">
        <v>60251.68</v>
      </c>
      <c r="F168" s="31" t="n">
        <v>745.93</v>
      </c>
      <c r="G168" s="31" t="n">
        <v>75.31</v>
      </c>
      <c r="H168" s="31" t="n">
        <v>20.08</v>
      </c>
      <c r="I168" s="33" t="n">
        <f aca="false">IF(C168="","",F168+G168+H168)</f>
        <v>841.32</v>
      </c>
      <c r="J168" s="32" t="str">
        <f aca="false">IF(A168="","",IFERROR(INDEX(Prêts!$B$5:$B$14,MATCH(A168,Prêts!$A$5:$A$14,0)),"?"))</f>
        <v>APPART-01</v>
      </c>
      <c r="K168" s="32" t="n">
        <f aca="false">IF(A168="",0,IF(C168&gt;=IFERROR(INDEX(Biens!$O$5:$O$30,MATCH(J168,Biens!$A$5:$A$30,0)),99999),1,0))</f>
        <v>1</v>
      </c>
    </row>
    <row r="169" customFormat="false" ht="15" hidden="false" customHeight="true" outlineLevel="0" collapsed="false">
      <c r="A169" s="30" t="s">
        <v>417</v>
      </c>
      <c r="B169" s="30" t="n">
        <v>165</v>
      </c>
      <c r="C169" s="28" t="n">
        <v>48065</v>
      </c>
      <c r="D169" s="29" t="n">
        <f aca="false">IF(C169="","",YEAR(C169))</f>
        <v>2031</v>
      </c>
      <c r="E169" s="31" t="n">
        <v>59505.74</v>
      </c>
      <c r="F169" s="31" t="n">
        <v>746.86</v>
      </c>
      <c r="G169" s="31" t="n">
        <v>74.38</v>
      </c>
      <c r="H169" s="31" t="n">
        <v>20.08</v>
      </c>
      <c r="I169" s="33" t="n">
        <f aca="false">IF(C169="","",F169+G169+H169)</f>
        <v>841.32</v>
      </c>
      <c r="J169" s="32" t="str">
        <f aca="false">IF(A169="","",IFERROR(INDEX(Prêts!$B$5:$B$14,MATCH(A169,Prêts!$A$5:$A$14,0)),"?"))</f>
        <v>APPART-01</v>
      </c>
      <c r="K169" s="32" t="n">
        <f aca="false">IF(A169="",0,IF(C169&gt;=IFERROR(INDEX(Biens!$O$5:$O$30,MATCH(J169,Biens!$A$5:$A$30,0)),99999),1,0))</f>
        <v>1</v>
      </c>
    </row>
    <row r="170" customFormat="false" ht="15" hidden="false" customHeight="true" outlineLevel="0" collapsed="false">
      <c r="A170" s="30" t="s">
        <v>417</v>
      </c>
      <c r="B170" s="30" t="n">
        <v>166</v>
      </c>
      <c r="C170" s="28" t="n">
        <v>48096</v>
      </c>
      <c r="D170" s="29" t="n">
        <f aca="false">IF(C170="","",YEAR(C170))</f>
        <v>2031</v>
      </c>
      <c r="E170" s="31" t="n">
        <v>58758.88</v>
      </c>
      <c r="F170" s="31" t="n">
        <v>747.79</v>
      </c>
      <c r="G170" s="31" t="n">
        <v>73.45</v>
      </c>
      <c r="H170" s="31" t="n">
        <v>20.08</v>
      </c>
      <c r="I170" s="33" t="n">
        <f aca="false">IF(C170="","",F170+G170+H170)</f>
        <v>841.32</v>
      </c>
      <c r="J170" s="32" t="str">
        <f aca="false">IF(A170="","",IFERROR(INDEX(Prêts!$B$5:$B$14,MATCH(A170,Prêts!$A$5:$A$14,0)),"?"))</f>
        <v>APPART-01</v>
      </c>
      <c r="K170" s="32" t="n">
        <f aca="false">IF(A170="",0,IF(C170&gt;=IFERROR(INDEX(Biens!$O$5:$O$30,MATCH(J170,Biens!$A$5:$A$30,0)),99999),1,0))</f>
        <v>1</v>
      </c>
    </row>
    <row r="171" customFormat="false" ht="15" hidden="false" customHeight="true" outlineLevel="0" collapsed="false">
      <c r="A171" s="30" t="s">
        <v>417</v>
      </c>
      <c r="B171" s="30" t="n">
        <v>167</v>
      </c>
      <c r="C171" s="28" t="n">
        <v>48126</v>
      </c>
      <c r="D171" s="29" t="n">
        <f aca="false">IF(C171="","",YEAR(C171))</f>
        <v>2031</v>
      </c>
      <c r="E171" s="31" t="n">
        <v>58011.08</v>
      </c>
      <c r="F171" s="31" t="n">
        <v>748.73</v>
      </c>
      <c r="G171" s="31" t="n">
        <v>72.51</v>
      </c>
      <c r="H171" s="31" t="n">
        <v>20.08</v>
      </c>
      <c r="I171" s="33" t="n">
        <f aca="false">IF(C171="","",F171+G171+H171)</f>
        <v>841.32</v>
      </c>
      <c r="J171" s="32" t="str">
        <f aca="false">IF(A171="","",IFERROR(INDEX(Prêts!$B$5:$B$14,MATCH(A171,Prêts!$A$5:$A$14,0)),"?"))</f>
        <v>APPART-01</v>
      </c>
      <c r="K171" s="32" t="n">
        <f aca="false">IF(A171="",0,IF(C171&gt;=IFERROR(INDEX(Biens!$O$5:$O$30,MATCH(J171,Biens!$A$5:$A$30,0)),99999),1,0))</f>
        <v>1</v>
      </c>
    </row>
    <row r="172" customFormat="false" ht="15" hidden="false" customHeight="true" outlineLevel="0" collapsed="false">
      <c r="A172" s="30" t="s">
        <v>417</v>
      </c>
      <c r="B172" s="30" t="n">
        <v>168</v>
      </c>
      <c r="C172" s="28" t="n">
        <v>48157</v>
      </c>
      <c r="D172" s="29" t="n">
        <f aca="false">IF(C172="","",YEAR(C172))</f>
        <v>2031</v>
      </c>
      <c r="E172" s="31" t="n">
        <v>57262.35</v>
      </c>
      <c r="F172" s="31" t="n">
        <v>749.66</v>
      </c>
      <c r="G172" s="31" t="n">
        <v>71.58</v>
      </c>
      <c r="H172" s="31" t="n">
        <v>20.08</v>
      </c>
      <c r="I172" s="33" t="n">
        <f aca="false">IF(C172="","",F172+G172+H172)</f>
        <v>841.32</v>
      </c>
      <c r="J172" s="32" t="str">
        <f aca="false">IF(A172="","",IFERROR(INDEX(Prêts!$B$5:$B$14,MATCH(A172,Prêts!$A$5:$A$14,0)),"?"))</f>
        <v>APPART-01</v>
      </c>
      <c r="K172" s="32" t="n">
        <f aca="false">IF(A172="",0,IF(C172&gt;=IFERROR(INDEX(Biens!$O$5:$O$30,MATCH(J172,Biens!$A$5:$A$30,0)),99999),1,0))</f>
        <v>1</v>
      </c>
    </row>
    <row r="173" customFormat="false" ht="15" hidden="false" customHeight="true" outlineLevel="0" collapsed="false">
      <c r="A173" s="30" t="s">
        <v>417</v>
      </c>
      <c r="B173" s="30" t="n">
        <v>169</v>
      </c>
      <c r="C173" s="28" t="n">
        <v>48187</v>
      </c>
      <c r="D173" s="29" t="n">
        <f aca="false">IF(C173="","",YEAR(C173))</f>
        <v>2031</v>
      </c>
      <c r="E173" s="31" t="n">
        <v>56512.69</v>
      </c>
      <c r="F173" s="31" t="n">
        <v>750.6</v>
      </c>
      <c r="G173" s="31" t="n">
        <v>70.64</v>
      </c>
      <c r="H173" s="31" t="n">
        <v>20.08</v>
      </c>
      <c r="I173" s="33" t="n">
        <f aca="false">IF(C173="","",F173+G173+H173)</f>
        <v>841.32</v>
      </c>
      <c r="J173" s="32" t="str">
        <f aca="false">IF(A173="","",IFERROR(INDEX(Prêts!$B$5:$B$14,MATCH(A173,Prêts!$A$5:$A$14,0)),"?"))</f>
        <v>APPART-01</v>
      </c>
      <c r="K173" s="32" t="n">
        <f aca="false">IF(A173="",0,IF(C173&gt;=IFERROR(INDEX(Biens!$O$5:$O$30,MATCH(J173,Biens!$A$5:$A$30,0)),99999),1,0))</f>
        <v>1</v>
      </c>
    </row>
    <row r="174" customFormat="false" ht="15" hidden="false" customHeight="true" outlineLevel="0" collapsed="false">
      <c r="A174" s="30" t="s">
        <v>417</v>
      </c>
      <c r="B174" s="30" t="n">
        <v>170</v>
      </c>
      <c r="C174" s="28" t="n">
        <v>48218</v>
      </c>
      <c r="D174" s="29" t="n">
        <f aca="false">IF(C174="","",YEAR(C174))</f>
        <v>2032</v>
      </c>
      <c r="E174" s="31" t="n">
        <v>55762.08</v>
      </c>
      <c r="F174" s="31" t="n">
        <v>751.54</v>
      </c>
      <c r="G174" s="31" t="n">
        <v>69.7</v>
      </c>
      <c r="H174" s="31" t="n">
        <v>20.08</v>
      </c>
      <c r="I174" s="33" t="n">
        <f aca="false">IF(C174="","",F174+G174+H174)</f>
        <v>841.32</v>
      </c>
      <c r="J174" s="32" t="str">
        <f aca="false">IF(A174="","",IFERROR(INDEX(Prêts!$B$5:$B$14,MATCH(A174,Prêts!$A$5:$A$14,0)),"?"))</f>
        <v>APPART-01</v>
      </c>
      <c r="K174" s="32" t="n">
        <f aca="false">IF(A174="",0,IF(C174&gt;=IFERROR(INDEX(Biens!$O$5:$O$30,MATCH(J174,Biens!$A$5:$A$30,0)),99999),1,0))</f>
        <v>1</v>
      </c>
    </row>
    <row r="175" customFormat="false" ht="15" hidden="false" customHeight="true" outlineLevel="0" collapsed="false">
      <c r="A175" s="30" t="s">
        <v>417</v>
      </c>
      <c r="B175" s="30" t="n">
        <v>171</v>
      </c>
      <c r="C175" s="28" t="n">
        <v>48249</v>
      </c>
      <c r="D175" s="29" t="n">
        <f aca="false">IF(C175="","",YEAR(C175))</f>
        <v>2032</v>
      </c>
      <c r="E175" s="31" t="n">
        <v>55010.54</v>
      </c>
      <c r="F175" s="31" t="n">
        <v>752.48</v>
      </c>
      <c r="G175" s="31" t="n">
        <v>68.76</v>
      </c>
      <c r="H175" s="31" t="n">
        <v>20.08</v>
      </c>
      <c r="I175" s="33" t="n">
        <f aca="false">IF(C175="","",F175+G175+H175)</f>
        <v>841.32</v>
      </c>
      <c r="J175" s="32" t="str">
        <f aca="false">IF(A175="","",IFERROR(INDEX(Prêts!$B$5:$B$14,MATCH(A175,Prêts!$A$5:$A$14,0)),"?"))</f>
        <v>APPART-01</v>
      </c>
      <c r="K175" s="32" t="n">
        <f aca="false">IF(A175="",0,IF(C175&gt;=IFERROR(INDEX(Biens!$O$5:$O$30,MATCH(J175,Biens!$A$5:$A$30,0)),99999),1,0))</f>
        <v>1</v>
      </c>
    </row>
    <row r="176" customFormat="false" ht="15" hidden="false" customHeight="true" outlineLevel="0" collapsed="false">
      <c r="A176" s="30" t="s">
        <v>417</v>
      </c>
      <c r="B176" s="30" t="n">
        <v>172</v>
      </c>
      <c r="C176" s="28" t="n">
        <v>48278</v>
      </c>
      <c r="D176" s="29" t="n">
        <f aca="false">IF(C176="","",YEAR(C176))</f>
        <v>2032</v>
      </c>
      <c r="E176" s="31" t="n">
        <v>54258.06</v>
      </c>
      <c r="F176" s="31" t="n">
        <v>753.42</v>
      </c>
      <c r="G176" s="31" t="n">
        <v>67.82</v>
      </c>
      <c r="H176" s="31" t="n">
        <v>20.08</v>
      </c>
      <c r="I176" s="33" t="n">
        <f aca="false">IF(C176="","",F176+G176+H176)</f>
        <v>841.32</v>
      </c>
      <c r="J176" s="32" t="str">
        <f aca="false">IF(A176="","",IFERROR(INDEX(Prêts!$B$5:$B$14,MATCH(A176,Prêts!$A$5:$A$14,0)),"?"))</f>
        <v>APPART-01</v>
      </c>
      <c r="K176" s="32" t="n">
        <f aca="false">IF(A176="",0,IF(C176&gt;=IFERROR(INDEX(Biens!$O$5:$O$30,MATCH(J176,Biens!$A$5:$A$30,0)),99999),1,0))</f>
        <v>1</v>
      </c>
    </row>
    <row r="177" customFormat="false" ht="15" hidden="false" customHeight="true" outlineLevel="0" collapsed="false">
      <c r="A177" s="30" t="s">
        <v>417</v>
      </c>
      <c r="B177" s="30" t="n">
        <v>173</v>
      </c>
      <c r="C177" s="28" t="n">
        <v>48309</v>
      </c>
      <c r="D177" s="29" t="n">
        <f aca="false">IF(C177="","",YEAR(C177))</f>
        <v>2032</v>
      </c>
      <c r="E177" s="31" t="n">
        <v>53504.64</v>
      </c>
      <c r="F177" s="31" t="n">
        <v>754.37</v>
      </c>
      <c r="G177" s="31" t="n">
        <v>66.88</v>
      </c>
      <c r="H177" s="31" t="n">
        <v>20.08</v>
      </c>
      <c r="I177" s="33" t="n">
        <f aca="false">IF(C177="","",F177+G177+H177)</f>
        <v>841.33</v>
      </c>
      <c r="J177" s="32" t="str">
        <f aca="false">IF(A177="","",IFERROR(INDEX(Prêts!$B$5:$B$14,MATCH(A177,Prêts!$A$5:$A$14,0)),"?"))</f>
        <v>APPART-01</v>
      </c>
      <c r="K177" s="32" t="n">
        <f aca="false">IF(A177="",0,IF(C177&gt;=IFERROR(INDEX(Biens!$O$5:$O$30,MATCH(J177,Biens!$A$5:$A$30,0)),99999),1,0))</f>
        <v>1</v>
      </c>
    </row>
    <row r="178" customFormat="false" ht="15" hidden="false" customHeight="true" outlineLevel="0" collapsed="false">
      <c r="A178" s="30" t="s">
        <v>417</v>
      </c>
      <c r="B178" s="30" t="n">
        <v>174</v>
      </c>
      <c r="C178" s="28" t="n">
        <v>48339</v>
      </c>
      <c r="D178" s="29" t="n">
        <f aca="false">IF(C178="","",YEAR(C178))</f>
        <v>2032</v>
      </c>
      <c r="E178" s="31" t="n">
        <v>52750.27</v>
      </c>
      <c r="F178" s="31" t="n">
        <v>755.31</v>
      </c>
      <c r="G178" s="31" t="n">
        <v>65.94</v>
      </c>
      <c r="H178" s="31" t="n">
        <v>20.08</v>
      </c>
      <c r="I178" s="33" t="n">
        <f aca="false">IF(C178="","",F178+G178+H178)</f>
        <v>841.33</v>
      </c>
      <c r="J178" s="32" t="str">
        <f aca="false">IF(A178="","",IFERROR(INDEX(Prêts!$B$5:$B$14,MATCH(A178,Prêts!$A$5:$A$14,0)),"?"))</f>
        <v>APPART-01</v>
      </c>
      <c r="K178" s="32" t="n">
        <f aca="false">IF(A178="",0,IF(C178&gt;=IFERROR(INDEX(Biens!$O$5:$O$30,MATCH(J178,Biens!$A$5:$A$30,0)),99999),1,0))</f>
        <v>1</v>
      </c>
    </row>
    <row r="179" customFormat="false" ht="15" hidden="false" customHeight="true" outlineLevel="0" collapsed="false">
      <c r="A179" s="30" t="s">
        <v>417</v>
      </c>
      <c r="B179" s="30" t="n">
        <v>175</v>
      </c>
      <c r="C179" s="28" t="n">
        <v>48370</v>
      </c>
      <c r="D179" s="29" t="n">
        <f aca="false">IF(C179="","",YEAR(C179))</f>
        <v>2032</v>
      </c>
      <c r="E179" s="31" t="n">
        <v>51994.96</v>
      </c>
      <c r="F179" s="31" t="n">
        <v>756.25</v>
      </c>
      <c r="G179" s="31" t="n">
        <v>65</v>
      </c>
      <c r="H179" s="31" t="n">
        <v>20.08</v>
      </c>
      <c r="I179" s="33" t="n">
        <f aca="false">IF(C179="","",F179+G179+H179)</f>
        <v>841.33</v>
      </c>
      <c r="J179" s="32" t="str">
        <f aca="false">IF(A179="","",IFERROR(INDEX(Prêts!$B$5:$B$14,MATCH(A179,Prêts!$A$5:$A$14,0)),"?"))</f>
        <v>APPART-01</v>
      </c>
      <c r="K179" s="32" t="n">
        <f aca="false">IF(A179="",0,IF(C179&gt;=IFERROR(INDEX(Biens!$O$5:$O$30,MATCH(J179,Biens!$A$5:$A$30,0)),99999),1,0))</f>
        <v>1</v>
      </c>
    </row>
    <row r="180" customFormat="false" ht="15" hidden="false" customHeight="true" outlineLevel="0" collapsed="false">
      <c r="A180" s="30" t="s">
        <v>417</v>
      </c>
      <c r="B180" s="30" t="n">
        <v>176</v>
      </c>
      <c r="C180" s="28" t="n">
        <v>48400</v>
      </c>
      <c r="D180" s="29" t="n">
        <f aca="false">IF(C180="","",YEAR(C180))</f>
        <v>2032</v>
      </c>
      <c r="E180" s="31" t="n">
        <v>51238.71</v>
      </c>
      <c r="F180" s="31" t="n">
        <v>757.2</v>
      </c>
      <c r="G180" s="31" t="n">
        <v>64.05</v>
      </c>
      <c r="H180" s="31" t="n">
        <v>20.08</v>
      </c>
      <c r="I180" s="33" t="n">
        <f aca="false">IF(C180="","",F180+G180+H180)</f>
        <v>841.33</v>
      </c>
      <c r="J180" s="32" t="str">
        <f aca="false">IF(A180="","",IFERROR(INDEX(Prêts!$B$5:$B$14,MATCH(A180,Prêts!$A$5:$A$14,0)),"?"))</f>
        <v>APPART-01</v>
      </c>
      <c r="K180" s="32" t="n">
        <f aca="false">IF(A180="",0,IF(C180&gt;=IFERROR(INDEX(Biens!$O$5:$O$30,MATCH(J180,Biens!$A$5:$A$30,0)),99999),1,0))</f>
        <v>1</v>
      </c>
    </row>
    <row r="181" customFormat="false" ht="15" hidden="false" customHeight="true" outlineLevel="0" collapsed="false">
      <c r="A181" s="30" t="s">
        <v>417</v>
      </c>
      <c r="B181" s="30" t="n">
        <v>177</v>
      </c>
      <c r="C181" s="28" t="n">
        <v>48431</v>
      </c>
      <c r="D181" s="29" t="n">
        <f aca="false">IF(C181="","",YEAR(C181))</f>
        <v>2032</v>
      </c>
      <c r="E181" s="31" t="n">
        <v>50481.52</v>
      </c>
      <c r="F181" s="31" t="n">
        <v>758.15</v>
      </c>
      <c r="G181" s="31" t="n">
        <v>63.1</v>
      </c>
      <c r="H181" s="31" t="n">
        <v>20.08</v>
      </c>
      <c r="I181" s="33" t="n">
        <f aca="false">IF(C181="","",F181+G181+H181)</f>
        <v>841.33</v>
      </c>
      <c r="J181" s="32" t="str">
        <f aca="false">IF(A181="","",IFERROR(INDEX(Prêts!$B$5:$B$14,MATCH(A181,Prêts!$A$5:$A$14,0)),"?"))</f>
        <v>APPART-01</v>
      </c>
      <c r="K181" s="32" t="n">
        <f aca="false">IF(A181="",0,IF(C181&gt;=IFERROR(INDEX(Biens!$O$5:$O$30,MATCH(J181,Biens!$A$5:$A$30,0)),99999),1,0))</f>
        <v>1</v>
      </c>
    </row>
    <row r="182" customFormat="false" ht="15" hidden="false" customHeight="true" outlineLevel="0" collapsed="false">
      <c r="A182" s="30" t="s">
        <v>417</v>
      </c>
      <c r="B182" s="30" t="n">
        <v>178</v>
      </c>
      <c r="C182" s="28" t="n">
        <v>48462</v>
      </c>
      <c r="D182" s="29" t="n">
        <f aca="false">IF(C182="","",YEAR(C182))</f>
        <v>2032</v>
      </c>
      <c r="E182" s="31" t="n">
        <v>49723.37</v>
      </c>
      <c r="F182" s="31" t="n">
        <v>759.09</v>
      </c>
      <c r="G182" s="31" t="n">
        <v>62.15</v>
      </c>
      <c r="H182" s="31" t="n">
        <v>20.08</v>
      </c>
      <c r="I182" s="33" t="n">
        <f aca="false">IF(C182="","",F182+G182+H182)</f>
        <v>841.32</v>
      </c>
      <c r="J182" s="32" t="str">
        <f aca="false">IF(A182="","",IFERROR(INDEX(Prêts!$B$5:$B$14,MATCH(A182,Prêts!$A$5:$A$14,0)),"?"))</f>
        <v>APPART-01</v>
      </c>
      <c r="K182" s="32" t="n">
        <f aca="false">IF(A182="",0,IF(C182&gt;=IFERROR(INDEX(Biens!$O$5:$O$30,MATCH(J182,Biens!$A$5:$A$30,0)),99999),1,0))</f>
        <v>1</v>
      </c>
    </row>
    <row r="183" customFormat="false" ht="15" hidden="false" customHeight="true" outlineLevel="0" collapsed="false">
      <c r="A183" s="30" t="s">
        <v>417</v>
      </c>
      <c r="B183" s="30" t="n">
        <v>179</v>
      </c>
      <c r="C183" s="28" t="n">
        <v>48492</v>
      </c>
      <c r="D183" s="29" t="n">
        <f aca="false">IF(C183="","",YEAR(C183))</f>
        <v>2032</v>
      </c>
      <c r="E183" s="31" t="n">
        <v>48964.28</v>
      </c>
      <c r="F183" s="31" t="n">
        <v>760.04</v>
      </c>
      <c r="G183" s="31" t="n">
        <v>61.2</v>
      </c>
      <c r="H183" s="31" t="n">
        <v>20.08</v>
      </c>
      <c r="I183" s="33" t="n">
        <f aca="false">IF(C183="","",F183+G183+H183)</f>
        <v>841.32</v>
      </c>
      <c r="J183" s="32" t="str">
        <f aca="false">IF(A183="","",IFERROR(INDEX(Prêts!$B$5:$B$14,MATCH(A183,Prêts!$A$5:$A$14,0)),"?"))</f>
        <v>APPART-01</v>
      </c>
      <c r="K183" s="32" t="n">
        <f aca="false">IF(A183="",0,IF(C183&gt;=IFERROR(INDEX(Biens!$O$5:$O$30,MATCH(J183,Biens!$A$5:$A$30,0)),99999),1,0))</f>
        <v>1</v>
      </c>
    </row>
    <row r="184" customFormat="false" ht="15" hidden="false" customHeight="true" outlineLevel="0" collapsed="false">
      <c r="A184" s="30" t="s">
        <v>417</v>
      </c>
      <c r="B184" s="30" t="n">
        <v>180</v>
      </c>
      <c r="C184" s="28" t="n">
        <v>48523</v>
      </c>
      <c r="D184" s="29" t="n">
        <f aca="false">IF(C184="","",YEAR(C184))</f>
        <v>2032</v>
      </c>
      <c r="E184" s="31" t="n">
        <v>48204.23</v>
      </c>
      <c r="F184" s="31" t="n">
        <v>760.99</v>
      </c>
      <c r="G184" s="31" t="n">
        <v>60.25</v>
      </c>
      <c r="H184" s="31" t="n">
        <v>20.08</v>
      </c>
      <c r="I184" s="33" t="n">
        <f aca="false">IF(C184="","",F184+G184+H184)</f>
        <v>841.32</v>
      </c>
      <c r="J184" s="32" t="str">
        <f aca="false">IF(A184="","",IFERROR(INDEX(Prêts!$B$5:$B$14,MATCH(A184,Prêts!$A$5:$A$14,0)),"?"))</f>
        <v>APPART-01</v>
      </c>
      <c r="K184" s="32" t="n">
        <f aca="false">IF(A184="",0,IF(C184&gt;=IFERROR(INDEX(Biens!$O$5:$O$30,MATCH(J184,Biens!$A$5:$A$30,0)),99999),1,0))</f>
        <v>1</v>
      </c>
    </row>
    <row r="185" customFormat="false" ht="15" hidden="false" customHeight="true" outlineLevel="0" collapsed="false">
      <c r="A185" s="30" t="s">
        <v>417</v>
      </c>
      <c r="B185" s="30" t="n">
        <v>181</v>
      </c>
      <c r="C185" s="28" t="n">
        <v>48553</v>
      </c>
      <c r="D185" s="29" t="n">
        <f aca="false">IF(C185="","",YEAR(C185))</f>
        <v>2032</v>
      </c>
      <c r="E185" s="31" t="n">
        <v>47443.24</v>
      </c>
      <c r="F185" s="31" t="n">
        <v>761.94</v>
      </c>
      <c r="G185" s="31" t="n">
        <v>59.31</v>
      </c>
      <c r="H185" s="31" t="n">
        <v>11.27</v>
      </c>
      <c r="I185" s="33" t="n">
        <f aca="false">IF(C185="","",F185+G185+H185)</f>
        <v>832.52</v>
      </c>
      <c r="J185" s="32" t="str">
        <f aca="false">IF(A185="","",IFERROR(INDEX(Prêts!$B$5:$B$14,MATCH(A185,Prêts!$A$5:$A$14,0)),"?"))</f>
        <v>APPART-01</v>
      </c>
      <c r="K185" s="32" t="n">
        <f aca="false">IF(A185="",0,IF(C185&gt;=IFERROR(INDEX(Biens!$O$5:$O$30,MATCH(J185,Biens!$A$5:$A$30,0)),99999),1,0))</f>
        <v>1</v>
      </c>
    </row>
    <row r="186" customFormat="false" ht="15" hidden="false" customHeight="true" outlineLevel="0" collapsed="false">
      <c r="A186" s="30" t="s">
        <v>417</v>
      </c>
      <c r="B186" s="30" t="n">
        <v>182</v>
      </c>
      <c r="C186" s="28" t="n">
        <v>48584</v>
      </c>
      <c r="D186" s="29" t="n">
        <f aca="false">IF(C186="","",YEAR(C186))</f>
        <v>2033</v>
      </c>
      <c r="E186" s="31" t="n">
        <v>46681.3</v>
      </c>
      <c r="F186" s="31" t="n">
        <v>762.9</v>
      </c>
      <c r="G186" s="31" t="n">
        <v>58.35</v>
      </c>
      <c r="H186" s="31" t="n">
        <v>11.27</v>
      </c>
      <c r="I186" s="33" t="n">
        <f aca="false">IF(C186="","",F186+G186+H186)</f>
        <v>832.52</v>
      </c>
      <c r="J186" s="32" t="str">
        <f aca="false">IF(A186="","",IFERROR(INDEX(Prêts!$B$5:$B$14,MATCH(A186,Prêts!$A$5:$A$14,0)),"?"))</f>
        <v>APPART-01</v>
      </c>
      <c r="K186" s="32" t="n">
        <f aca="false">IF(A186="",0,IF(C186&gt;=IFERROR(INDEX(Biens!$O$5:$O$30,MATCH(J186,Biens!$A$5:$A$30,0)),99999),1,0))</f>
        <v>1</v>
      </c>
    </row>
    <row r="187" customFormat="false" ht="15" hidden="false" customHeight="true" outlineLevel="0" collapsed="false">
      <c r="A187" s="30" t="s">
        <v>417</v>
      </c>
      <c r="B187" s="30" t="n">
        <v>183</v>
      </c>
      <c r="C187" s="28" t="n">
        <v>48615</v>
      </c>
      <c r="D187" s="29" t="n">
        <f aca="false">IF(C187="","",YEAR(C187))</f>
        <v>2033</v>
      </c>
      <c r="E187" s="31" t="n">
        <v>45918.41</v>
      </c>
      <c r="F187" s="31" t="n">
        <v>763.85</v>
      </c>
      <c r="G187" s="31" t="n">
        <v>57.4</v>
      </c>
      <c r="H187" s="31" t="n">
        <v>11.27</v>
      </c>
      <c r="I187" s="33" t="n">
        <f aca="false">IF(C187="","",F187+G187+H187)</f>
        <v>832.52</v>
      </c>
      <c r="J187" s="32" t="str">
        <f aca="false">IF(A187="","",IFERROR(INDEX(Prêts!$B$5:$B$14,MATCH(A187,Prêts!$A$5:$A$14,0)),"?"))</f>
        <v>APPART-01</v>
      </c>
      <c r="K187" s="32" t="n">
        <f aca="false">IF(A187="",0,IF(C187&gt;=IFERROR(INDEX(Biens!$O$5:$O$30,MATCH(J187,Biens!$A$5:$A$30,0)),99999),1,0))</f>
        <v>1</v>
      </c>
    </row>
    <row r="188" customFormat="false" ht="15" hidden="false" customHeight="true" outlineLevel="0" collapsed="false">
      <c r="A188" s="30" t="s">
        <v>417</v>
      </c>
      <c r="B188" s="30" t="n">
        <v>184</v>
      </c>
      <c r="C188" s="28" t="n">
        <v>48643</v>
      </c>
      <c r="D188" s="29" t="n">
        <f aca="false">IF(C188="","",YEAR(C188))</f>
        <v>2033</v>
      </c>
      <c r="E188" s="31" t="n">
        <v>45154.56</v>
      </c>
      <c r="F188" s="31" t="n">
        <v>764.8</v>
      </c>
      <c r="G188" s="31" t="n">
        <v>56.44</v>
      </c>
      <c r="H188" s="31" t="n">
        <v>11.27</v>
      </c>
      <c r="I188" s="33" t="n">
        <f aca="false">IF(C188="","",F188+G188+H188)</f>
        <v>832.51</v>
      </c>
      <c r="J188" s="32" t="str">
        <f aca="false">IF(A188="","",IFERROR(INDEX(Prêts!$B$5:$B$14,MATCH(A188,Prêts!$A$5:$A$14,0)),"?"))</f>
        <v>APPART-01</v>
      </c>
      <c r="K188" s="32" t="n">
        <f aca="false">IF(A188="",0,IF(C188&gt;=IFERROR(INDEX(Biens!$O$5:$O$30,MATCH(J188,Biens!$A$5:$A$30,0)),99999),1,0))</f>
        <v>1</v>
      </c>
    </row>
    <row r="189" customFormat="false" ht="15" hidden="false" customHeight="true" outlineLevel="0" collapsed="false">
      <c r="A189" s="30" t="s">
        <v>417</v>
      </c>
      <c r="B189" s="30" t="n">
        <v>185</v>
      </c>
      <c r="C189" s="28" t="n">
        <v>48674</v>
      </c>
      <c r="D189" s="29" t="n">
        <f aca="false">IF(C189="","",YEAR(C189))</f>
        <v>2033</v>
      </c>
      <c r="E189" s="31" t="n">
        <v>44389.76</v>
      </c>
      <c r="F189" s="31" t="n">
        <v>765.76</v>
      </c>
      <c r="G189" s="31" t="n">
        <v>55.48</v>
      </c>
      <c r="H189" s="31" t="n">
        <v>11.27</v>
      </c>
      <c r="I189" s="33" t="n">
        <f aca="false">IF(C189="","",F189+G189+H189)</f>
        <v>832.51</v>
      </c>
      <c r="J189" s="32" t="str">
        <f aca="false">IF(A189="","",IFERROR(INDEX(Prêts!$B$5:$B$14,MATCH(A189,Prêts!$A$5:$A$14,0)),"?"))</f>
        <v>APPART-01</v>
      </c>
      <c r="K189" s="32" t="n">
        <f aca="false">IF(A189="",0,IF(C189&gt;=IFERROR(INDEX(Biens!$O$5:$O$30,MATCH(J189,Biens!$A$5:$A$30,0)),99999),1,0))</f>
        <v>1</v>
      </c>
    </row>
    <row r="190" customFormat="false" ht="15" hidden="false" customHeight="true" outlineLevel="0" collapsed="false">
      <c r="A190" s="30" t="s">
        <v>417</v>
      </c>
      <c r="B190" s="30" t="n">
        <v>186</v>
      </c>
      <c r="C190" s="28" t="n">
        <v>48704</v>
      </c>
      <c r="D190" s="29" t="n">
        <f aca="false">IF(C190="","",YEAR(C190))</f>
        <v>2033</v>
      </c>
      <c r="E190" s="31" t="n">
        <v>43623.99</v>
      </c>
      <c r="F190" s="31" t="n">
        <v>766.72</v>
      </c>
      <c r="G190" s="31" t="n">
        <v>54.53</v>
      </c>
      <c r="H190" s="31" t="n">
        <v>11.27</v>
      </c>
      <c r="I190" s="33" t="n">
        <f aca="false">IF(C190="","",F190+G190+H190)</f>
        <v>832.52</v>
      </c>
      <c r="J190" s="32" t="str">
        <f aca="false">IF(A190="","",IFERROR(INDEX(Prêts!$B$5:$B$14,MATCH(A190,Prêts!$A$5:$A$14,0)),"?"))</f>
        <v>APPART-01</v>
      </c>
      <c r="K190" s="32" t="n">
        <f aca="false">IF(A190="",0,IF(C190&gt;=IFERROR(INDEX(Biens!$O$5:$O$30,MATCH(J190,Biens!$A$5:$A$30,0)),99999),1,0))</f>
        <v>1</v>
      </c>
    </row>
    <row r="191" customFormat="false" ht="15" hidden="false" customHeight="true" outlineLevel="0" collapsed="false">
      <c r="A191" s="30" t="s">
        <v>417</v>
      </c>
      <c r="B191" s="30" t="n">
        <v>187</v>
      </c>
      <c r="C191" s="28" t="n">
        <v>48735</v>
      </c>
      <c r="D191" s="29" t="n">
        <f aca="false">IF(C191="","",YEAR(C191))</f>
        <v>2033</v>
      </c>
      <c r="E191" s="31" t="n">
        <v>42857.27</v>
      </c>
      <c r="F191" s="31" t="n">
        <v>767.68</v>
      </c>
      <c r="G191" s="31" t="n">
        <v>53.57</v>
      </c>
      <c r="H191" s="31" t="n">
        <v>11.27</v>
      </c>
      <c r="I191" s="33" t="n">
        <f aca="false">IF(C191="","",F191+G191+H191)</f>
        <v>832.52</v>
      </c>
      <c r="J191" s="32" t="str">
        <f aca="false">IF(A191="","",IFERROR(INDEX(Prêts!$B$5:$B$14,MATCH(A191,Prêts!$A$5:$A$14,0)),"?"))</f>
        <v>APPART-01</v>
      </c>
      <c r="K191" s="32" t="n">
        <f aca="false">IF(A191="",0,IF(C191&gt;=IFERROR(INDEX(Biens!$O$5:$O$30,MATCH(J191,Biens!$A$5:$A$30,0)),99999),1,0))</f>
        <v>1</v>
      </c>
    </row>
    <row r="192" customFormat="false" ht="15" hidden="false" customHeight="true" outlineLevel="0" collapsed="false">
      <c r="A192" s="30" t="s">
        <v>417</v>
      </c>
      <c r="B192" s="30" t="n">
        <v>188</v>
      </c>
      <c r="C192" s="28" t="n">
        <v>48765</v>
      </c>
      <c r="D192" s="29" t="n">
        <f aca="false">IF(C192="","",YEAR(C192))</f>
        <v>2033</v>
      </c>
      <c r="E192" s="31" t="n">
        <v>42089.6</v>
      </c>
      <c r="F192" s="31" t="n">
        <v>768.64</v>
      </c>
      <c r="G192" s="31" t="n">
        <v>52.61</v>
      </c>
      <c r="H192" s="31" t="n">
        <v>11.27</v>
      </c>
      <c r="I192" s="33" t="n">
        <f aca="false">IF(C192="","",F192+G192+H192)</f>
        <v>832.52</v>
      </c>
      <c r="J192" s="32" t="str">
        <f aca="false">IF(A192="","",IFERROR(INDEX(Prêts!$B$5:$B$14,MATCH(A192,Prêts!$A$5:$A$14,0)),"?"))</f>
        <v>APPART-01</v>
      </c>
      <c r="K192" s="32" t="n">
        <f aca="false">IF(A192="",0,IF(C192&gt;=IFERROR(INDEX(Biens!$O$5:$O$30,MATCH(J192,Biens!$A$5:$A$30,0)),99999),1,0))</f>
        <v>1</v>
      </c>
    </row>
    <row r="193" customFormat="false" ht="15" hidden="false" customHeight="true" outlineLevel="0" collapsed="false">
      <c r="A193" s="30" t="s">
        <v>417</v>
      </c>
      <c r="B193" s="30" t="n">
        <v>189</v>
      </c>
      <c r="C193" s="28" t="n">
        <v>48796</v>
      </c>
      <c r="D193" s="29" t="n">
        <f aca="false">IF(C193="","",YEAR(C193))</f>
        <v>2033</v>
      </c>
      <c r="E193" s="31" t="n">
        <v>41320.96</v>
      </c>
      <c r="F193" s="31" t="n">
        <v>769.59</v>
      </c>
      <c r="G193" s="31" t="n">
        <v>51.65</v>
      </c>
      <c r="H193" s="31" t="n">
        <v>11.27</v>
      </c>
      <c r="I193" s="33" t="n">
        <f aca="false">IF(C193="","",F193+G193+H193)</f>
        <v>832.51</v>
      </c>
      <c r="J193" s="32" t="str">
        <f aca="false">IF(A193="","",IFERROR(INDEX(Prêts!$B$5:$B$14,MATCH(A193,Prêts!$A$5:$A$14,0)),"?"))</f>
        <v>APPART-01</v>
      </c>
      <c r="K193" s="32" t="n">
        <f aca="false">IF(A193="",0,IF(C193&gt;=IFERROR(INDEX(Biens!$O$5:$O$30,MATCH(J193,Biens!$A$5:$A$30,0)),99999),1,0))</f>
        <v>1</v>
      </c>
    </row>
    <row r="194" customFormat="false" ht="15" hidden="false" customHeight="true" outlineLevel="0" collapsed="false">
      <c r="A194" s="30" t="s">
        <v>417</v>
      </c>
      <c r="B194" s="30" t="n">
        <v>190</v>
      </c>
      <c r="C194" s="28" t="n">
        <v>48827</v>
      </c>
      <c r="D194" s="29" t="n">
        <f aca="false">IF(C194="","",YEAR(C194))</f>
        <v>2033</v>
      </c>
      <c r="E194" s="31" t="n">
        <v>40551.37</v>
      </c>
      <c r="F194" s="31" t="n">
        <v>770.56</v>
      </c>
      <c r="G194" s="31" t="n">
        <v>50.69</v>
      </c>
      <c r="H194" s="31" t="n">
        <v>11.27</v>
      </c>
      <c r="I194" s="33" t="n">
        <f aca="false">IF(C194="","",F194+G194+H194)</f>
        <v>832.52</v>
      </c>
      <c r="J194" s="32" t="str">
        <f aca="false">IF(A194="","",IFERROR(INDEX(Prêts!$B$5:$B$14,MATCH(A194,Prêts!$A$5:$A$14,0)),"?"))</f>
        <v>APPART-01</v>
      </c>
      <c r="K194" s="32" t="n">
        <f aca="false">IF(A194="",0,IF(C194&gt;=IFERROR(INDEX(Biens!$O$5:$O$30,MATCH(J194,Biens!$A$5:$A$30,0)),99999),1,0))</f>
        <v>1</v>
      </c>
    </row>
    <row r="195" customFormat="false" ht="15" hidden="false" customHeight="true" outlineLevel="0" collapsed="false">
      <c r="A195" s="30" t="s">
        <v>417</v>
      </c>
      <c r="B195" s="30" t="n">
        <v>191</v>
      </c>
      <c r="C195" s="28" t="n">
        <v>48857</v>
      </c>
      <c r="D195" s="29" t="n">
        <f aca="false">IF(C195="","",YEAR(C195))</f>
        <v>2033</v>
      </c>
      <c r="E195" s="31" t="n">
        <v>39780.81</v>
      </c>
      <c r="F195" s="31" t="n">
        <v>771.52</v>
      </c>
      <c r="G195" s="31" t="n">
        <v>49.73</v>
      </c>
      <c r="H195" s="31" t="n">
        <v>11.27</v>
      </c>
      <c r="I195" s="33" t="n">
        <f aca="false">IF(C195="","",F195+G195+H195)</f>
        <v>832.52</v>
      </c>
      <c r="J195" s="32" t="str">
        <f aca="false">IF(A195="","",IFERROR(INDEX(Prêts!$B$5:$B$14,MATCH(A195,Prêts!$A$5:$A$14,0)),"?"))</f>
        <v>APPART-01</v>
      </c>
      <c r="K195" s="32" t="n">
        <f aca="false">IF(A195="",0,IF(C195&gt;=IFERROR(INDEX(Biens!$O$5:$O$30,MATCH(J195,Biens!$A$5:$A$30,0)),99999),1,0))</f>
        <v>1</v>
      </c>
    </row>
    <row r="196" customFormat="false" ht="15" hidden="false" customHeight="true" outlineLevel="0" collapsed="false">
      <c r="A196" s="30" t="s">
        <v>417</v>
      </c>
      <c r="B196" s="30" t="n">
        <v>192</v>
      </c>
      <c r="C196" s="28" t="n">
        <v>48888</v>
      </c>
      <c r="D196" s="29" t="n">
        <f aca="false">IF(C196="","",YEAR(C196))</f>
        <v>2033</v>
      </c>
      <c r="E196" s="31" t="n">
        <v>39009.29</v>
      </c>
      <c r="F196" s="31" t="n">
        <v>772.49</v>
      </c>
      <c r="G196" s="31" t="n">
        <v>48.76</v>
      </c>
      <c r="H196" s="31" t="n">
        <v>11.27</v>
      </c>
      <c r="I196" s="33" t="n">
        <f aca="false">IF(C196="","",F196+G196+H196)</f>
        <v>832.52</v>
      </c>
      <c r="J196" s="32" t="str">
        <f aca="false">IF(A196="","",IFERROR(INDEX(Prêts!$B$5:$B$14,MATCH(A196,Prêts!$A$5:$A$14,0)),"?"))</f>
        <v>APPART-01</v>
      </c>
      <c r="K196" s="32" t="n">
        <f aca="false">IF(A196="",0,IF(C196&gt;=IFERROR(INDEX(Biens!$O$5:$O$30,MATCH(J196,Biens!$A$5:$A$30,0)),99999),1,0))</f>
        <v>1</v>
      </c>
    </row>
    <row r="197" customFormat="false" ht="15" hidden="false" customHeight="true" outlineLevel="0" collapsed="false">
      <c r="A197" s="30" t="s">
        <v>417</v>
      </c>
      <c r="B197" s="30" t="n">
        <v>193</v>
      </c>
      <c r="C197" s="28" t="n">
        <v>48918</v>
      </c>
      <c r="D197" s="29" t="n">
        <f aca="false">IF(C197="","",YEAR(C197))</f>
        <v>2033</v>
      </c>
      <c r="E197" s="31" t="n">
        <v>38236.8</v>
      </c>
      <c r="F197" s="31" t="n">
        <v>773.45</v>
      </c>
      <c r="G197" s="31" t="n">
        <v>47.79</v>
      </c>
      <c r="H197" s="31" t="n">
        <v>11.27</v>
      </c>
      <c r="I197" s="33" t="n">
        <f aca="false">IF(C197="","",F197+G197+H197)</f>
        <v>832.51</v>
      </c>
      <c r="J197" s="32" t="str">
        <f aca="false">IF(A197="","",IFERROR(INDEX(Prêts!$B$5:$B$14,MATCH(A197,Prêts!$A$5:$A$14,0)),"?"))</f>
        <v>APPART-01</v>
      </c>
      <c r="K197" s="32" t="n">
        <f aca="false">IF(A197="",0,IF(C197&gt;=IFERROR(INDEX(Biens!$O$5:$O$30,MATCH(J197,Biens!$A$5:$A$30,0)),99999),1,0))</f>
        <v>1</v>
      </c>
    </row>
    <row r="198" customFormat="false" ht="15" hidden="false" customHeight="true" outlineLevel="0" collapsed="false">
      <c r="A198" s="30" t="s">
        <v>417</v>
      </c>
      <c r="B198" s="30" t="n">
        <v>194</v>
      </c>
      <c r="C198" s="28" t="n">
        <v>48949</v>
      </c>
      <c r="D198" s="29" t="n">
        <f aca="false">IF(C198="","",YEAR(C198))</f>
        <v>2034</v>
      </c>
      <c r="E198" s="31" t="n">
        <v>37463.35</v>
      </c>
      <c r="F198" s="31" t="n">
        <v>774.42</v>
      </c>
      <c r="G198" s="31" t="n">
        <v>46.83</v>
      </c>
      <c r="H198" s="31" t="n">
        <v>11.27</v>
      </c>
      <c r="I198" s="33" t="n">
        <f aca="false">IF(C198="","",F198+G198+H198)</f>
        <v>832.52</v>
      </c>
      <c r="J198" s="32" t="str">
        <f aca="false">IF(A198="","",IFERROR(INDEX(Prêts!$B$5:$B$14,MATCH(A198,Prêts!$A$5:$A$14,0)),"?"))</f>
        <v>APPART-01</v>
      </c>
      <c r="K198" s="32" t="n">
        <f aca="false">IF(A198="",0,IF(C198&gt;=IFERROR(INDEX(Biens!$O$5:$O$30,MATCH(J198,Biens!$A$5:$A$30,0)),99999),1,0))</f>
        <v>1</v>
      </c>
    </row>
    <row r="199" customFormat="false" ht="15" hidden="false" customHeight="true" outlineLevel="0" collapsed="false">
      <c r="A199" s="30" t="s">
        <v>417</v>
      </c>
      <c r="B199" s="30" t="n">
        <v>195</v>
      </c>
      <c r="C199" s="28" t="n">
        <v>48980</v>
      </c>
      <c r="D199" s="29" t="n">
        <f aca="false">IF(C199="","",YEAR(C199))</f>
        <v>2034</v>
      </c>
      <c r="E199" s="31" t="n">
        <v>36688.93</v>
      </c>
      <c r="F199" s="31" t="n">
        <v>775.39</v>
      </c>
      <c r="G199" s="31" t="n">
        <v>45.86</v>
      </c>
      <c r="H199" s="31" t="n">
        <v>11.27</v>
      </c>
      <c r="I199" s="33" t="n">
        <f aca="false">IF(C199="","",F199+G199+H199)</f>
        <v>832.52</v>
      </c>
      <c r="J199" s="32" t="str">
        <f aca="false">IF(A199="","",IFERROR(INDEX(Prêts!$B$5:$B$14,MATCH(A199,Prêts!$A$5:$A$14,0)),"?"))</f>
        <v>APPART-01</v>
      </c>
      <c r="K199" s="32" t="n">
        <f aca="false">IF(A199="",0,IF(C199&gt;=IFERROR(INDEX(Biens!$O$5:$O$30,MATCH(J199,Biens!$A$5:$A$30,0)),99999),1,0))</f>
        <v>1</v>
      </c>
    </row>
    <row r="200" customFormat="false" ht="15" hidden="false" customHeight="true" outlineLevel="0" collapsed="false">
      <c r="A200" s="30" t="s">
        <v>417</v>
      </c>
      <c r="B200" s="30" t="n">
        <v>196</v>
      </c>
      <c r="C200" s="28" t="n">
        <v>49008</v>
      </c>
      <c r="D200" s="29" t="n">
        <f aca="false">IF(C200="","",YEAR(C200))</f>
        <v>2034</v>
      </c>
      <c r="E200" s="31" t="n">
        <v>35913.54</v>
      </c>
      <c r="F200" s="31" t="n">
        <v>776.35</v>
      </c>
      <c r="G200" s="31" t="n">
        <v>44.89</v>
      </c>
      <c r="H200" s="31" t="n">
        <v>11.27</v>
      </c>
      <c r="I200" s="33" t="n">
        <f aca="false">IF(C200="","",F200+G200+H200)</f>
        <v>832.51</v>
      </c>
      <c r="J200" s="32" t="str">
        <f aca="false">IF(A200="","",IFERROR(INDEX(Prêts!$B$5:$B$14,MATCH(A200,Prêts!$A$5:$A$14,0)),"?"))</f>
        <v>APPART-01</v>
      </c>
      <c r="K200" s="32" t="n">
        <f aca="false">IF(A200="",0,IF(C200&gt;=IFERROR(INDEX(Biens!$O$5:$O$30,MATCH(J200,Biens!$A$5:$A$30,0)),99999),1,0))</f>
        <v>1</v>
      </c>
    </row>
    <row r="201" customFormat="false" ht="15" hidden="false" customHeight="true" outlineLevel="0" collapsed="false">
      <c r="A201" s="30" t="s">
        <v>417</v>
      </c>
      <c r="B201" s="30" t="n">
        <v>197</v>
      </c>
      <c r="C201" s="28" t="n">
        <v>49039</v>
      </c>
      <c r="D201" s="29" t="n">
        <f aca="false">IF(C201="","",YEAR(C201))</f>
        <v>2034</v>
      </c>
      <c r="E201" s="31" t="n">
        <v>35137.19</v>
      </c>
      <c r="F201" s="31" t="n">
        <v>777.32</v>
      </c>
      <c r="G201" s="31" t="n">
        <v>43.92</v>
      </c>
      <c r="H201" s="31" t="n">
        <v>11.27</v>
      </c>
      <c r="I201" s="33" t="n">
        <f aca="false">IF(C201="","",F201+G201+H201)</f>
        <v>832.51</v>
      </c>
      <c r="J201" s="32" t="str">
        <f aca="false">IF(A201="","",IFERROR(INDEX(Prêts!$B$5:$B$14,MATCH(A201,Prêts!$A$5:$A$14,0)),"?"))</f>
        <v>APPART-01</v>
      </c>
      <c r="K201" s="32" t="n">
        <f aca="false">IF(A201="",0,IF(C201&gt;=IFERROR(INDEX(Biens!$O$5:$O$30,MATCH(J201,Biens!$A$5:$A$30,0)),99999),1,0))</f>
        <v>1</v>
      </c>
    </row>
    <row r="202" customFormat="false" ht="15" hidden="false" customHeight="true" outlineLevel="0" collapsed="false">
      <c r="A202" s="30" t="s">
        <v>417</v>
      </c>
      <c r="B202" s="30" t="n">
        <v>198</v>
      </c>
      <c r="C202" s="28" t="n">
        <v>49069</v>
      </c>
      <c r="D202" s="29" t="n">
        <f aca="false">IF(C202="","",YEAR(C202))</f>
        <v>2034</v>
      </c>
      <c r="E202" s="31" t="n">
        <v>34359.86</v>
      </c>
      <c r="F202" s="31" t="n">
        <v>778.3</v>
      </c>
      <c r="G202" s="31" t="n">
        <v>42.95</v>
      </c>
      <c r="H202" s="31" t="n">
        <v>11.27</v>
      </c>
      <c r="I202" s="33" t="n">
        <f aca="false">IF(C202="","",F202+G202+H202)</f>
        <v>832.52</v>
      </c>
      <c r="J202" s="32" t="str">
        <f aca="false">IF(A202="","",IFERROR(INDEX(Prêts!$B$5:$B$14,MATCH(A202,Prêts!$A$5:$A$14,0)),"?"))</f>
        <v>APPART-01</v>
      </c>
      <c r="K202" s="32" t="n">
        <f aca="false">IF(A202="",0,IF(C202&gt;=IFERROR(INDEX(Biens!$O$5:$O$30,MATCH(J202,Biens!$A$5:$A$30,0)),99999),1,0))</f>
        <v>1</v>
      </c>
    </row>
    <row r="203" customFormat="false" ht="15" hidden="false" customHeight="true" outlineLevel="0" collapsed="false">
      <c r="A203" s="30" t="s">
        <v>417</v>
      </c>
      <c r="B203" s="30" t="n">
        <v>199</v>
      </c>
      <c r="C203" s="28" t="n">
        <v>49100</v>
      </c>
      <c r="D203" s="29" t="n">
        <f aca="false">IF(C203="","",YEAR(C203))</f>
        <v>2034</v>
      </c>
      <c r="E203" s="31" t="n">
        <v>33581.57</v>
      </c>
      <c r="F203" s="31" t="n">
        <v>779.27</v>
      </c>
      <c r="G203" s="31" t="n">
        <v>41.98</v>
      </c>
      <c r="H203" s="31" t="n">
        <v>11.27</v>
      </c>
      <c r="I203" s="33" t="n">
        <f aca="false">IF(C203="","",F203+G203+H203)</f>
        <v>832.52</v>
      </c>
      <c r="J203" s="32" t="str">
        <f aca="false">IF(A203="","",IFERROR(INDEX(Prêts!$B$5:$B$14,MATCH(A203,Prêts!$A$5:$A$14,0)),"?"))</f>
        <v>APPART-01</v>
      </c>
      <c r="K203" s="32" t="n">
        <f aca="false">IF(A203="",0,IF(C203&gt;=IFERROR(INDEX(Biens!$O$5:$O$30,MATCH(J203,Biens!$A$5:$A$30,0)),99999),1,0))</f>
        <v>1</v>
      </c>
    </row>
    <row r="204" customFormat="false" ht="15" hidden="false" customHeight="true" outlineLevel="0" collapsed="false">
      <c r="A204" s="30" t="s">
        <v>417</v>
      </c>
      <c r="B204" s="30" t="n">
        <v>200</v>
      </c>
      <c r="C204" s="28" t="n">
        <v>49130</v>
      </c>
      <c r="D204" s="29" t="n">
        <f aca="false">IF(C204="","",YEAR(C204))</f>
        <v>2034</v>
      </c>
      <c r="E204" s="31" t="n">
        <v>32802.3</v>
      </c>
      <c r="F204" s="31" t="n">
        <v>780.24</v>
      </c>
      <c r="G204" s="31" t="n">
        <v>41</v>
      </c>
      <c r="H204" s="31" t="n">
        <v>11.27</v>
      </c>
      <c r="I204" s="33" t="n">
        <f aca="false">IF(C204="","",F204+G204+H204)</f>
        <v>832.51</v>
      </c>
      <c r="J204" s="32" t="str">
        <f aca="false">IF(A204="","",IFERROR(INDEX(Prêts!$B$5:$B$14,MATCH(A204,Prêts!$A$5:$A$14,0)),"?"))</f>
        <v>APPART-01</v>
      </c>
      <c r="K204" s="32" t="n">
        <f aca="false">IF(A204="",0,IF(C204&gt;=IFERROR(INDEX(Biens!$O$5:$O$30,MATCH(J204,Biens!$A$5:$A$30,0)),99999),1,0))</f>
        <v>1</v>
      </c>
    </row>
    <row r="205" customFormat="false" ht="15" hidden="false" customHeight="true" outlineLevel="0" collapsed="false">
      <c r="A205" s="30" t="s">
        <v>417</v>
      </c>
      <c r="B205" s="30" t="n">
        <v>201</v>
      </c>
      <c r="C205" s="28" t="n">
        <v>49161</v>
      </c>
      <c r="D205" s="29" t="n">
        <f aca="false">IF(C205="","",YEAR(C205))</f>
        <v>2034</v>
      </c>
      <c r="E205" s="31" t="n">
        <v>32022.06</v>
      </c>
      <c r="F205" s="31" t="n">
        <v>781.22</v>
      </c>
      <c r="G205" s="31" t="n">
        <v>40.03</v>
      </c>
      <c r="H205" s="31" t="n">
        <v>11.27</v>
      </c>
      <c r="I205" s="33" t="n">
        <f aca="false">IF(C205="","",F205+G205+H205)</f>
        <v>832.52</v>
      </c>
      <c r="J205" s="32" t="str">
        <f aca="false">IF(A205="","",IFERROR(INDEX(Prêts!$B$5:$B$14,MATCH(A205,Prêts!$A$5:$A$14,0)),"?"))</f>
        <v>APPART-01</v>
      </c>
      <c r="K205" s="32" t="n">
        <f aca="false">IF(A205="",0,IF(C205&gt;=IFERROR(INDEX(Biens!$O$5:$O$30,MATCH(J205,Biens!$A$5:$A$30,0)),99999),1,0))</f>
        <v>1</v>
      </c>
    </row>
    <row r="206" customFormat="false" ht="15" hidden="false" customHeight="true" outlineLevel="0" collapsed="false">
      <c r="A206" s="30" t="s">
        <v>417</v>
      </c>
      <c r="B206" s="30" t="n">
        <v>202</v>
      </c>
      <c r="C206" s="28" t="n">
        <v>49192</v>
      </c>
      <c r="D206" s="29" t="n">
        <f aca="false">IF(C206="","",YEAR(C206))</f>
        <v>2034</v>
      </c>
      <c r="E206" s="31" t="n">
        <v>31240.84</v>
      </c>
      <c r="F206" s="31" t="n">
        <v>782.2</v>
      </c>
      <c r="G206" s="31" t="n">
        <v>39.05</v>
      </c>
      <c r="H206" s="31" t="n">
        <v>11.27</v>
      </c>
      <c r="I206" s="33" t="n">
        <f aca="false">IF(C206="","",F206+G206+H206)</f>
        <v>832.52</v>
      </c>
      <c r="J206" s="32" t="str">
        <f aca="false">IF(A206="","",IFERROR(INDEX(Prêts!$B$5:$B$14,MATCH(A206,Prêts!$A$5:$A$14,0)),"?"))</f>
        <v>APPART-01</v>
      </c>
      <c r="K206" s="32" t="n">
        <f aca="false">IF(A206="",0,IF(C206&gt;=IFERROR(INDEX(Biens!$O$5:$O$30,MATCH(J206,Biens!$A$5:$A$30,0)),99999),1,0))</f>
        <v>1</v>
      </c>
    </row>
    <row r="207" customFormat="false" ht="15" hidden="false" customHeight="true" outlineLevel="0" collapsed="false">
      <c r="A207" s="30" t="s">
        <v>417</v>
      </c>
      <c r="B207" s="30" t="n">
        <v>203</v>
      </c>
      <c r="C207" s="28" t="n">
        <v>49222</v>
      </c>
      <c r="D207" s="29" t="n">
        <f aca="false">IF(C207="","",YEAR(C207))</f>
        <v>2034</v>
      </c>
      <c r="E207" s="31" t="n">
        <v>30458.64</v>
      </c>
      <c r="F207" s="31" t="n">
        <v>783.17</v>
      </c>
      <c r="G207" s="31" t="n">
        <v>38.07</v>
      </c>
      <c r="H207" s="31" t="n">
        <v>11.27</v>
      </c>
      <c r="I207" s="33" t="n">
        <f aca="false">IF(C207="","",F207+G207+H207)</f>
        <v>832.51</v>
      </c>
      <c r="J207" s="32" t="str">
        <f aca="false">IF(A207="","",IFERROR(INDEX(Prêts!$B$5:$B$14,MATCH(A207,Prêts!$A$5:$A$14,0)),"?"))</f>
        <v>APPART-01</v>
      </c>
      <c r="K207" s="32" t="n">
        <f aca="false">IF(A207="",0,IF(C207&gt;=IFERROR(INDEX(Biens!$O$5:$O$30,MATCH(J207,Biens!$A$5:$A$30,0)),99999),1,0))</f>
        <v>1</v>
      </c>
    </row>
    <row r="208" customFormat="false" ht="15" hidden="false" customHeight="true" outlineLevel="0" collapsed="false">
      <c r="A208" s="30" t="s">
        <v>417</v>
      </c>
      <c r="B208" s="30" t="n">
        <v>204</v>
      </c>
      <c r="C208" s="28" t="n">
        <v>49253</v>
      </c>
      <c r="D208" s="29" t="n">
        <f aca="false">IF(C208="","",YEAR(C208))</f>
        <v>2034</v>
      </c>
      <c r="E208" s="31" t="n">
        <v>29675.47</v>
      </c>
      <c r="F208" s="31" t="n">
        <v>784.15</v>
      </c>
      <c r="G208" s="31" t="n">
        <v>37.1</v>
      </c>
      <c r="H208" s="31" t="n">
        <v>11.27</v>
      </c>
      <c r="I208" s="33" t="n">
        <f aca="false">IF(C208="","",F208+G208+H208)</f>
        <v>832.52</v>
      </c>
      <c r="J208" s="32" t="str">
        <f aca="false">IF(A208="","",IFERROR(INDEX(Prêts!$B$5:$B$14,MATCH(A208,Prêts!$A$5:$A$14,0)),"?"))</f>
        <v>APPART-01</v>
      </c>
      <c r="K208" s="32" t="n">
        <f aca="false">IF(A208="",0,IF(C208&gt;=IFERROR(INDEX(Biens!$O$5:$O$30,MATCH(J208,Biens!$A$5:$A$30,0)),99999),1,0))</f>
        <v>1</v>
      </c>
    </row>
    <row r="209" customFormat="false" ht="15" hidden="false" customHeight="true" outlineLevel="0" collapsed="false">
      <c r="A209" s="30" t="s">
        <v>417</v>
      </c>
      <c r="B209" s="30" t="n">
        <v>205</v>
      </c>
      <c r="C209" s="28" t="n">
        <v>49283</v>
      </c>
      <c r="D209" s="29" t="n">
        <f aca="false">IF(C209="","",YEAR(C209))</f>
        <v>2034</v>
      </c>
      <c r="E209" s="31" t="n">
        <v>28891.32</v>
      </c>
      <c r="F209" s="31" t="n">
        <v>785.13</v>
      </c>
      <c r="G209" s="31" t="n">
        <v>36.11</v>
      </c>
      <c r="H209" s="31" t="n">
        <v>11.27</v>
      </c>
      <c r="I209" s="33" t="n">
        <f aca="false">IF(C209="","",F209+G209+H209)</f>
        <v>832.51</v>
      </c>
      <c r="J209" s="32" t="str">
        <f aca="false">IF(A209="","",IFERROR(INDEX(Prêts!$B$5:$B$14,MATCH(A209,Prêts!$A$5:$A$14,0)),"?"))</f>
        <v>APPART-01</v>
      </c>
      <c r="K209" s="32" t="n">
        <f aca="false">IF(A209="",0,IF(C209&gt;=IFERROR(INDEX(Biens!$O$5:$O$30,MATCH(J209,Biens!$A$5:$A$30,0)),99999),1,0))</f>
        <v>1</v>
      </c>
    </row>
    <row r="210" customFormat="false" ht="15" hidden="false" customHeight="true" outlineLevel="0" collapsed="false">
      <c r="A210" s="30" t="s">
        <v>417</v>
      </c>
      <c r="B210" s="30" t="n">
        <v>206</v>
      </c>
      <c r="C210" s="28" t="n">
        <v>49314</v>
      </c>
      <c r="D210" s="29" t="n">
        <f aca="false">IF(C210="","",YEAR(C210))</f>
        <v>2035</v>
      </c>
      <c r="E210" s="31" t="n">
        <v>28106.19</v>
      </c>
      <c r="F210" s="31" t="n">
        <v>786.11</v>
      </c>
      <c r="G210" s="31" t="n">
        <v>35.14</v>
      </c>
      <c r="H210" s="31" t="n">
        <v>11.27</v>
      </c>
      <c r="I210" s="33" t="n">
        <f aca="false">IF(C210="","",F210+G210+H210)</f>
        <v>832.52</v>
      </c>
      <c r="J210" s="32" t="str">
        <f aca="false">IF(A210="","",IFERROR(INDEX(Prêts!$B$5:$B$14,MATCH(A210,Prêts!$A$5:$A$14,0)),"?"))</f>
        <v>APPART-01</v>
      </c>
      <c r="K210" s="32" t="n">
        <f aca="false">IF(A210="",0,IF(C210&gt;=IFERROR(INDEX(Biens!$O$5:$O$30,MATCH(J210,Biens!$A$5:$A$30,0)),99999),1,0))</f>
        <v>1</v>
      </c>
    </row>
    <row r="211" customFormat="false" ht="15" hidden="false" customHeight="true" outlineLevel="0" collapsed="false">
      <c r="A211" s="30" t="s">
        <v>417</v>
      </c>
      <c r="B211" s="30" t="n">
        <v>207</v>
      </c>
      <c r="C211" s="28" t="n">
        <v>49345</v>
      </c>
      <c r="D211" s="29" t="n">
        <f aca="false">IF(C211="","",YEAR(C211))</f>
        <v>2035</v>
      </c>
      <c r="E211" s="31" t="n">
        <v>27320.08</v>
      </c>
      <c r="F211" s="31" t="n">
        <v>787.1</v>
      </c>
      <c r="G211" s="31" t="n">
        <v>34.15</v>
      </c>
      <c r="H211" s="31" t="n">
        <v>11.27</v>
      </c>
      <c r="I211" s="33" t="n">
        <f aca="false">IF(C211="","",F211+G211+H211)</f>
        <v>832.52</v>
      </c>
      <c r="J211" s="32" t="str">
        <f aca="false">IF(A211="","",IFERROR(INDEX(Prêts!$B$5:$B$14,MATCH(A211,Prêts!$A$5:$A$14,0)),"?"))</f>
        <v>APPART-01</v>
      </c>
      <c r="K211" s="32" t="n">
        <f aca="false">IF(A211="",0,IF(C211&gt;=IFERROR(INDEX(Biens!$O$5:$O$30,MATCH(J211,Biens!$A$5:$A$30,0)),99999),1,0))</f>
        <v>1</v>
      </c>
    </row>
    <row r="212" customFormat="false" ht="15" hidden="false" customHeight="true" outlineLevel="0" collapsed="false">
      <c r="A212" s="30" t="s">
        <v>417</v>
      </c>
      <c r="B212" s="30" t="n">
        <v>208</v>
      </c>
      <c r="C212" s="28" t="n">
        <v>49373</v>
      </c>
      <c r="D212" s="29" t="n">
        <f aca="false">IF(C212="","",YEAR(C212))</f>
        <v>2035</v>
      </c>
      <c r="E212" s="31" t="n">
        <v>26532.98</v>
      </c>
      <c r="F212" s="31" t="n">
        <v>788.08</v>
      </c>
      <c r="G212" s="31" t="n">
        <v>33.16</v>
      </c>
      <c r="H212" s="31" t="n">
        <v>11.27</v>
      </c>
      <c r="I212" s="33" t="n">
        <f aca="false">IF(C212="","",F212+G212+H212)</f>
        <v>832.51</v>
      </c>
      <c r="J212" s="32" t="str">
        <f aca="false">IF(A212="","",IFERROR(INDEX(Prêts!$B$5:$B$14,MATCH(A212,Prêts!$A$5:$A$14,0)),"?"))</f>
        <v>APPART-01</v>
      </c>
      <c r="K212" s="32" t="n">
        <f aca="false">IF(A212="",0,IF(C212&gt;=IFERROR(INDEX(Biens!$O$5:$O$30,MATCH(J212,Biens!$A$5:$A$30,0)),99999),1,0))</f>
        <v>1</v>
      </c>
    </row>
    <row r="213" customFormat="false" ht="15" hidden="false" customHeight="true" outlineLevel="0" collapsed="false">
      <c r="A213" s="30" t="s">
        <v>417</v>
      </c>
      <c r="B213" s="30" t="n">
        <v>209</v>
      </c>
      <c r="C213" s="28" t="n">
        <v>49404</v>
      </c>
      <c r="D213" s="29" t="n">
        <f aca="false">IF(C213="","",YEAR(C213))</f>
        <v>2035</v>
      </c>
      <c r="E213" s="31" t="n">
        <v>25744.9</v>
      </c>
      <c r="F213" s="31" t="n">
        <v>789.07</v>
      </c>
      <c r="G213" s="31" t="n">
        <v>32.18</v>
      </c>
      <c r="H213" s="31" t="n">
        <v>11.27</v>
      </c>
      <c r="I213" s="33" t="n">
        <f aca="false">IF(C213="","",F213+G213+H213)</f>
        <v>832.52</v>
      </c>
      <c r="J213" s="32" t="str">
        <f aca="false">IF(A213="","",IFERROR(INDEX(Prêts!$B$5:$B$14,MATCH(A213,Prêts!$A$5:$A$14,0)),"?"))</f>
        <v>APPART-01</v>
      </c>
      <c r="K213" s="32" t="n">
        <f aca="false">IF(A213="",0,IF(C213&gt;=IFERROR(INDEX(Biens!$O$5:$O$30,MATCH(J213,Biens!$A$5:$A$30,0)),99999),1,0))</f>
        <v>1</v>
      </c>
    </row>
    <row r="214" customFormat="false" ht="15" hidden="false" customHeight="true" outlineLevel="0" collapsed="false">
      <c r="A214" s="30" t="s">
        <v>417</v>
      </c>
      <c r="B214" s="30" t="n">
        <v>210</v>
      </c>
      <c r="C214" s="28" t="n">
        <v>49434</v>
      </c>
      <c r="D214" s="29" t="n">
        <f aca="false">IF(C214="","",YEAR(C214))</f>
        <v>2035</v>
      </c>
      <c r="E214" s="31" t="n">
        <v>24955.83</v>
      </c>
      <c r="F214" s="31" t="n">
        <v>790.05</v>
      </c>
      <c r="G214" s="31" t="n">
        <v>31.19</v>
      </c>
      <c r="H214" s="31" t="n">
        <v>11.27</v>
      </c>
      <c r="I214" s="33" t="n">
        <f aca="false">IF(C214="","",F214+G214+H214)</f>
        <v>832.51</v>
      </c>
      <c r="J214" s="32" t="str">
        <f aca="false">IF(A214="","",IFERROR(INDEX(Prêts!$B$5:$B$14,MATCH(A214,Prêts!$A$5:$A$14,0)),"?"))</f>
        <v>APPART-01</v>
      </c>
      <c r="K214" s="32" t="n">
        <f aca="false">IF(A214="",0,IF(C214&gt;=IFERROR(INDEX(Biens!$O$5:$O$30,MATCH(J214,Biens!$A$5:$A$30,0)),99999),1,0))</f>
        <v>1</v>
      </c>
    </row>
    <row r="215" customFormat="false" ht="15" hidden="false" customHeight="true" outlineLevel="0" collapsed="false">
      <c r="A215" s="30" t="s">
        <v>417</v>
      </c>
      <c r="B215" s="30" t="n">
        <v>211</v>
      </c>
      <c r="C215" s="28" t="n">
        <v>49465</v>
      </c>
      <c r="D215" s="29" t="n">
        <f aca="false">IF(C215="","",YEAR(C215))</f>
        <v>2035</v>
      </c>
      <c r="E215" s="31" t="n">
        <v>24165.78</v>
      </c>
      <c r="F215" s="31" t="n">
        <v>791.04</v>
      </c>
      <c r="G215" s="31" t="n">
        <v>30.21</v>
      </c>
      <c r="H215" s="31" t="n">
        <v>11.27</v>
      </c>
      <c r="I215" s="33" t="n">
        <f aca="false">IF(C215="","",F215+G215+H215)</f>
        <v>832.52</v>
      </c>
      <c r="J215" s="32" t="str">
        <f aca="false">IF(A215="","",IFERROR(INDEX(Prêts!$B$5:$B$14,MATCH(A215,Prêts!$A$5:$A$14,0)),"?"))</f>
        <v>APPART-01</v>
      </c>
      <c r="K215" s="32" t="n">
        <f aca="false">IF(A215="",0,IF(C215&gt;=IFERROR(INDEX(Biens!$O$5:$O$30,MATCH(J215,Biens!$A$5:$A$30,0)),99999),1,0))</f>
        <v>1</v>
      </c>
    </row>
    <row r="216" customFormat="false" ht="15" hidden="false" customHeight="true" outlineLevel="0" collapsed="false">
      <c r="A216" s="30" t="s">
        <v>417</v>
      </c>
      <c r="B216" s="30" t="n">
        <v>212</v>
      </c>
      <c r="C216" s="28" t="n">
        <v>49495</v>
      </c>
      <c r="D216" s="29" t="n">
        <f aca="false">IF(C216="","",YEAR(C216))</f>
        <v>2035</v>
      </c>
      <c r="E216" s="31" t="n">
        <v>23374.74</v>
      </c>
      <c r="F216" s="31" t="n">
        <v>792.03</v>
      </c>
      <c r="G216" s="31" t="n">
        <v>29.22</v>
      </c>
      <c r="H216" s="31" t="n">
        <v>11.27</v>
      </c>
      <c r="I216" s="33" t="n">
        <f aca="false">IF(C216="","",F216+G216+H216)</f>
        <v>832.52</v>
      </c>
      <c r="J216" s="32" t="str">
        <f aca="false">IF(A216="","",IFERROR(INDEX(Prêts!$B$5:$B$14,MATCH(A216,Prêts!$A$5:$A$14,0)),"?"))</f>
        <v>APPART-01</v>
      </c>
      <c r="K216" s="32" t="n">
        <f aca="false">IF(A216="",0,IF(C216&gt;=IFERROR(INDEX(Biens!$O$5:$O$30,MATCH(J216,Biens!$A$5:$A$30,0)),99999),1,0))</f>
        <v>1</v>
      </c>
    </row>
    <row r="217" customFormat="false" ht="15" hidden="false" customHeight="true" outlineLevel="0" collapsed="false">
      <c r="A217" s="30" t="s">
        <v>417</v>
      </c>
      <c r="B217" s="30" t="n">
        <v>213</v>
      </c>
      <c r="C217" s="28" t="n">
        <v>49526</v>
      </c>
      <c r="D217" s="29" t="n">
        <f aca="false">IF(C217="","",YEAR(C217))</f>
        <v>2035</v>
      </c>
      <c r="E217" s="31" t="n">
        <v>22582.72</v>
      </c>
      <c r="F217" s="31" t="n">
        <v>793.02</v>
      </c>
      <c r="G217" s="31" t="n">
        <v>28.23</v>
      </c>
      <c r="H217" s="31" t="n">
        <v>11.27</v>
      </c>
      <c r="I217" s="33" t="n">
        <f aca="false">IF(C217="","",F217+G217+H217)</f>
        <v>832.52</v>
      </c>
      <c r="J217" s="32" t="str">
        <f aca="false">IF(A217="","",IFERROR(INDEX(Prêts!$B$5:$B$14,MATCH(A217,Prêts!$A$5:$A$14,0)),"?"))</f>
        <v>APPART-01</v>
      </c>
      <c r="K217" s="32" t="n">
        <f aca="false">IF(A217="",0,IF(C217&gt;=IFERROR(INDEX(Biens!$O$5:$O$30,MATCH(J217,Biens!$A$5:$A$30,0)),99999),1,0))</f>
        <v>1</v>
      </c>
    </row>
    <row r="218" customFormat="false" ht="15" hidden="false" customHeight="true" outlineLevel="0" collapsed="false">
      <c r="A218" s="30" t="s">
        <v>417</v>
      </c>
      <c r="B218" s="30" t="n">
        <v>214</v>
      </c>
      <c r="C218" s="28" t="n">
        <v>49557</v>
      </c>
      <c r="D218" s="29" t="n">
        <f aca="false">IF(C218="","",YEAR(C218))</f>
        <v>2035</v>
      </c>
      <c r="E218" s="31" t="n">
        <v>21789.7</v>
      </c>
      <c r="F218" s="31" t="n">
        <v>794.01</v>
      </c>
      <c r="G218" s="31" t="n">
        <v>27.24</v>
      </c>
      <c r="H218" s="31" t="n">
        <v>11.27</v>
      </c>
      <c r="I218" s="33" t="n">
        <f aca="false">IF(C218="","",F218+G218+H218)</f>
        <v>832.52</v>
      </c>
      <c r="J218" s="32" t="str">
        <f aca="false">IF(A218="","",IFERROR(INDEX(Prêts!$B$5:$B$14,MATCH(A218,Prêts!$A$5:$A$14,0)),"?"))</f>
        <v>APPART-01</v>
      </c>
      <c r="K218" s="32" t="n">
        <f aca="false">IF(A218="",0,IF(C218&gt;=IFERROR(INDEX(Biens!$O$5:$O$30,MATCH(J218,Biens!$A$5:$A$30,0)),99999),1,0))</f>
        <v>1</v>
      </c>
    </row>
    <row r="219" customFormat="false" ht="15" hidden="false" customHeight="true" outlineLevel="0" collapsed="false">
      <c r="A219" s="30" t="s">
        <v>417</v>
      </c>
      <c r="B219" s="30" t="n">
        <v>215</v>
      </c>
      <c r="C219" s="28" t="n">
        <v>49587</v>
      </c>
      <c r="D219" s="29" t="n">
        <f aca="false">IF(C219="","",YEAR(C219))</f>
        <v>2035</v>
      </c>
      <c r="E219" s="31" t="n">
        <v>20995.69</v>
      </c>
      <c r="F219" s="31" t="n">
        <v>795</v>
      </c>
      <c r="G219" s="31" t="n">
        <v>26.24</v>
      </c>
      <c r="H219" s="31" t="n">
        <v>11.27</v>
      </c>
      <c r="I219" s="33" t="n">
        <f aca="false">IF(C219="","",F219+G219+H219)</f>
        <v>832.51</v>
      </c>
      <c r="J219" s="32" t="str">
        <f aca="false">IF(A219="","",IFERROR(INDEX(Prêts!$B$5:$B$14,MATCH(A219,Prêts!$A$5:$A$14,0)),"?"))</f>
        <v>APPART-01</v>
      </c>
      <c r="K219" s="32" t="n">
        <f aca="false">IF(A219="",0,IF(C219&gt;=IFERROR(INDEX(Biens!$O$5:$O$30,MATCH(J219,Biens!$A$5:$A$30,0)),99999),1,0))</f>
        <v>1</v>
      </c>
    </row>
    <row r="220" customFormat="false" ht="15" hidden="false" customHeight="true" outlineLevel="0" collapsed="false">
      <c r="A220" s="30" t="s">
        <v>417</v>
      </c>
      <c r="B220" s="30" t="n">
        <v>216</v>
      </c>
      <c r="C220" s="28" t="n">
        <v>49618</v>
      </c>
      <c r="D220" s="29" t="n">
        <f aca="false">IF(C220="","",YEAR(C220))</f>
        <v>2035</v>
      </c>
      <c r="E220" s="31" t="n">
        <v>20200.69</v>
      </c>
      <c r="F220" s="31" t="n">
        <v>796</v>
      </c>
      <c r="G220" s="31" t="n">
        <v>25.25</v>
      </c>
      <c r="H220" s="31" t="n">
        <v>11.27</v>
      </c>
      <c r="I220" s="33" t="n">
        <f aca="false">IF(C220="","",F220+G220+H220)</f>
        <v>832.52</v>
      </c>
      <c r="J220" s="32" t="str">
        <f aca="false">IF(A220="","",IFERROR(INDEX(Prêts!$B$5:$B$14,MATCH(A220,Prêts!$A$5:$A$14,0)),"?"))</f>
        <v>APPART-01</v>
      </c>
      <c r="K220" s="32" t="n">
        <f aca="false">IF(A220="",0,IF(C220&gt;=IFERROR(INDEX(Biens!$O$5:$O$30,MATCH(J220,Biens!$A$5:$A$30,0)),99999),1,0))</f>
        <v>1</v>
      </c>
    </row>
    <row r="221" customFormat="false" ht="15" hidden="false" customHeight="true" outlineLevel="0" collapsed="false">
      <c r="A221" s="30" t="s">
        <v>417</v>
      </c>
      <c r="B221" s="30" t="n">
        <v>217</v>
      </c>
      <c r="C221" s="28" t="n">
        <v>49648</v>
      </c>
      <c r="D221" s="29" t="n">
        <f aca="false">IF(C221="","",YEAR(C221))</f>
        <v>2035</v>
      </c>
      <c r="E221" s="31" t="n">
        <v>19404.69</v>
      </c>
      <c r="F221" s="31" t="n">
        <v>796.99</v>
      </c>
      <c r="G221" s="31" t="n">
        <v>24.25</v>
      </c>
      <c r="H221" s="31" t="n">
        <v>11.27</v>
      </c>
      <c r="I221" s="33" t="n">
        <f aca="false">IF(C221="","",F221+G221+H221)</f>
        <v>832.51</v>
      </c>
      <c r="J221" s="32" t="str">
        <f aca="false">IF(A221="","",IFERROR(INDEX(Prêts!$B$5:$B$14,MATCH(A221,Prêts!$A$5:$A$14,0)),"?"))</f>
        <v>APPART-01</v>
      </c>
      <c r="K221" s="32" t="n">
        <f aca="false">IF(A221="",0,IF(C221&gt;=IFERROR(INDEX(Biens!$O$5:$O$30,MATCH(J221,Biens!$A$5:$A$30,0)),99999),1,0))</f>
        <v>1</v>
      </c>
    </row>
    <row r="222" customFormat="false" ht="15" hidden="false" customHeight="true" outlineLevel="0" collapsed="false">
      <c r="A222" s="30" t="s">
        <v>417</v>
      </c>
      <c r="B222" s="30" t="n">
        <v>218</v>
      </c>
      <c r="C222" s="28" t="n">
        <v>49679</v>
      </c>
      <c r="D222" s="29" t="n">
        <f aca="false">IF(C222="","",YEAR(C222))</f>
        <v>2036</v>
      </c>
      <c r="E222" s="31" t="n">
        <v>18607.7</v>
      </c>
      <c r="F222" s="31" t="n">
        <v>797.99</v>
      </c>
      <c r="G222" s="31" t="n">
        <v>23.26</v>
      </c>
      <c r="H222" s="31" t="n">
        <v>11.27</v>
      </c>
      <c r="I222" s="33" t="n">
        <f aca="false">IF(C222="","",F222+G222+H222)</f>
        <v>832.52</v>
      </c>
      <c r="J222" s="32" t="str">
        <f aca="false">IF(A222="","",IFERROR(INDEX(Prêts!$B$5:$B$14,MATCH(A222,Prêts!$A$5:$A$14,0)),"?"))</f>
        <v>APPART-01</v>
      </c>
      <c r="K222" s="32" t="n">
        <f aca="false">IF(A222="",0,IF(C222&gt;=IFERROR(INDEX(Biens!$O$5:$O$30,MATCH(J222,Biens!$A$5:$A$30,0)),99999),1,0))</f>
        <v>1</v>
      </c>
    </row>
    <row r="223" customFormat="false" ht="15" hidden="false" customHeight="true" outlineLevel="0" collapsed="false">
      <c r="A223" s="30" t="s">
        <v>417</v>
      </c>
      <c r="B223" s="30" t="n">
        <v>219</v>
      </c>
      <c r="C223" s="28" t="n">
        <v>49710</v>
      </c>
      <c r="D223" s="29" t="n">
        <f aca="false">IF(C223="","",YEAR(C223))</f>
        <v>2036</v>
      </c>
      <c r="E223" s="31" t="n">
        <v>17809.71</v>
      </c>
      <c r="F223" s="31" t="n">
        <v>798.98</v>
      </c>
      <c r="G223" s="31" t="n">
        <v>22.26</v>
      </c>
      <c r="H223" s="31" t="n">
        <v>11.27</v>
      </c>
      <c r="I223" s="33" t="n">
        <f aca="false">IF(C223="","",F223+G223+H223)</f>
        <v>832.51</v>
      </c>
      <c r="J223" s="32" t="str">
        <f aca="false">IF(A223="","",IFERROR(INDEX(Prêts!$B$5:$B$14,MATCH(A223,Prêts!$A$5:$A$14,0)),"?"))</f>
        <v>APPART-01</v>
      </c>
      <c r="K223" s="32" t="n">
        <f aca="false">IF(A223="",0,IF(C223&gt;=IFERROR(INDEX(Biens!$O$5:$O$30,MATCH(J223,Biens!$A$5:$A$30,0)),99999),1,0))</f>
        <v>1</v>
      </c>
    </row>
    <row r="224" customFormat="false" ht="15" hidden="false" customHeight="true" outlineLevel="0" collapsed="false">
      <c r="A224" s="30" t="s">
        <v>417</v>
      </c>
      <c r="B224" s="30" t="n">
        <v>220</v>
      </c>
      <c r="C224" s="28" t="n">
        <v>49739</v>
      </c>
      <c r="D224" s="29" t="n">
        <f aca="false">IF(C224="","",YEAR(C224))</f>
        <v>2036</v>
      </c>
      <c r="E224" s="31" t="n">
        <v>17010.73</v>
      </c>
      <c r="F224" s="31" t="n">
        <v>799.99</v>
      </c>
      <c r="G224" s="31" t="n">
        <v>21.26</v>
      </c>
      <c r="H224" s="31" t="n">
        <v>11.27</v>
      </c>
      <c r="I224" s="33" t="n">
        <f aca="false">IF(C224="","",F224+G224+H224)</f>
        <v>832.52</v>
      </c>
      <c r="J224" s="32" t="str">
        <f aca="false">IF(A224="","",IFERROR(INDEX(Prêts!$B$5:$B$14,MATCH(A224,Prêts!$A$5:$A$14,0)),"?"))</f>
        <v>APPART-01</v>
      </c>
      <c r="K224" s="32" t="n">
        <f aca="false">IF(A224="",0,IF(C224&gt;=IFERROR(INDEX(Biens!$O$5:$O$30,MATCH(J224,Biens!$A$5:$A$30,0)),99999),1,0))</f>
        <v>1</v>
      </c>
    </row>
    <row r="225" customFormat="false" ht="15" hidden="false" customHeight="true" outlineLevel="0" collapsed="false">
      <c r="A225" s="30" t="s">
        <v>417</v>
      </c>
      <c r="B225" s="30" t="n">
        <v>221</v>
      </c>
      <c r="C225" s="28" t="n">
        <v>49770</v>
      </c>
      <c r="D225" s="29" t="n">
        <f aca="false">IF(C225="","",YEAR(C225))</f>
        <v>2036</v>
      </c>
      <c r="E225" s="31" t="n">
        <v>16210.75</v>
      </c>
      <c r="F225" s="31" t="n">
        <v>800.98</v>
      </c>
      <c r="G225" s="31" t="n">
        <v>20.26</v>
      </c>
      <c r="H225" s="31" t="n">
        <v>11.27</v>
      </c>
      <c r="I225" s="33" t="n">
        <f aca="false">IF(C225="","",F225+G225+H225)</f>
        <v>832.51</v>
      </c>
      <c r="J225" s="32" t="str">
        <f aca="false">IF(A225="","",IFERROR(INDEX(Prêts!$B$5:$B$14,MATCH(A225,Prêts!$A$5:$A$14,0)),"?"))</f>
        <v>APPART-01</v>
      </c>
      <c r="K225" s="32" t="n">
        <f aca="false">IF(A225="",0,IF(C225&gt;=IFERROR(INDEX(Biens!$O$5:$O$30,MATCH(J225,Biens!$A$5:$A$30,0)),99999),1,0))</f>
        <v>1</v>
      </c>
    </row>
    <row r="226" customFormat="false" ht="15" hidden="false" customHeight="true" outlineLevel="0" collapsed="false">
      <c r="A226" s="30" t="s">
        <v>417</v>
      </c>
      <c r="B226" s="30" t="n">
        <v>222</v>
      </c>
      <c r="C226" s="28" t="n">
        <v>49800</v>
      </c>
      <c r="D226" s="29" t="n">
        <f aca="false">IF(C226="","",YEAR(C226))</f>
        <v>2036</v>
      </c>
      <c r="E226" s="31" t="n">
        <v>15409.77</v>
      </c>
      <c r="F226" s="31" t="n">
        <v>801.99</v>
      </c>
      <c r="G226" s="31" t="n">
        <v>19.26</v>
      </c>
      <c r="H226" s="31" t="n">
        <v>11.27</v>
      </c>
      <c r="I226" s="33" t="n">
        <f aca="false">IF(C226="","",F226+G226+H226)</f>
        <v>832.52</v>
      </c>
      <c r="J226" s="32" t="str">
        <f aca="false">IF(A226="","",IFERROR(INDEX(Prêts!$B$5:$B$14,MATCH(A226,Prêts!$A$5:$A$14,0)),"?"))</f>
        <v>APPART-01</v>
      </c>
      <c r="K226" s="32" t="n">
        <f aca="false">IF(A226="",0,IF(C226&gt;=IFERROR(INDEX(Biens!$O$5:$O$30,MATCH(J226,Biens!$A$5:$A$30,0)),99999),1,0))</f>
        <v>1</v>
      </c>
    </row>
    <row r="227" customFormat="false" ht="15" hidden="false" customHeight="true" outlineLevel="0" collapsed="false">
      <c r="A227" s="30" t="s">
        <v>417</v>
      </c>
      <c r="B227" s="30" t="n">
        <v>223</v>
      </c>
      <c r="C227" s="28" t="n">
        <v>49831</v>
      </c>
      <c r="D227" s="29" t="n">
        <f aca="false">IF(C227="","",YEAR(C227))</f>
        <v>2036</v>
      </c>
      <c r="E227" s="31" t="n">
        <v>14607.78</v>
      </c>
      <c r="F227" s="31" t="n">
        <v>802.99</v>
      </c>
      <c r="G227" s="31" t="n">
        <v>18.26</v>
      </c>
      <c r="H227" s="31" t="n">
        <v>11.27</v>
      </c>
      <c r="I227" s="33" t="n">
        <f aca="false">IF(C227="","",F227+G227+H227)</f>
        <v>832.52</v>
      </c>
      <c r="J227" s="32" t="str">
        <f aca="false">IF(A227="","",IFERROR(INDEX(Prêts!$B$5:$B$14,MATCH(A227,Prêts!$A$5:$A$14,0)),"?"))</f>
        <v>APPART-01</v>
      </c>
      <c r="K227" s="32" t="n">
        <f aca="false">IF(A227="",0,IF(C227&gt;=IFERROR(INDEX(Biens!$O$5:$O$30,MATCH(J227,Biens!$A$5:$A$30,0)),99999),1,0))</f>
        <v>1</v>
      </c>
    </row>
    <row r="228" customFormat="false" ht="15" hidden="false" customHeight="true" outlineLevel="0" collapsed="false">
      <c r="A228" s="30" t="s">
        <v>417</v>
      </c>
      <c r="B228" s="30" t="n">
        <v>224</v>
      </c>
      <c r="C228" s="28" t="n">
        <v>49861</v>
      </c>
      <c r="D228" s="29" t="n">
        <f aca="false">IF(C228="","",YEAR(C228))</f>
        <v>2036</v>
      </c>
      <c r="E228" s="31" t="n">
        <v>13804.79</v>
      </c>
      <c r="F228" s="31" t="n">
        <v>803.99</v>
      </c>
      <c r="G228" s="31" t="n">
        <v>17.25</v>
      </c>
      <c r="H228" s="31" t="n">
        <v>11.27</v>
      </c>
      <c r="I228" s="33" t="n">
        <f aca="false">IF(C228="","",F228+G228+H228)</f>
        <v>832.51</v>
      </c>
      <c r="J228" s="32" t="str">
        <f aca="false">IF(A228="","",IFERROR(INDEX(Prêts!$B$5:$B$14,MATCH(A228,Prêts!$A$5:$A$14,0)),"?"))</f>
        <v>APPART-01</v>
      </c>
      <c r="K228" s="32" t="n">
        <f aca="false">IF(A228="",0,IF(C228&gt;=IFERROR(INDEX(Biens!$O$5:$O$30,MATCH(J228,Biens!$A$5:$A$30,0)),99999),1,0))</f>
        <v>1</v>
      </c>
    </row>
    <row r="229" customFormat="false" ht="15" hidden="false" customHeight="true" outlineLevel="0" collapsed="false">
      <c r="A229" s="30" t="s">
        <v>417</v>
      </c>
      <c r="B229" s="30" t="n">
        <v>225</v>
      </c>
      <c r="C229" s="28" t="n">
        <v>49892</v>
      </c>
      <c r="D229" s="29" t="n">
        <f aca="false">IF(C229="","",YEAR(C229))</f>
        <v>2036</v>
      </c>
      <c r="E229" s="31" t="n">
        <v>13000.8</v>
      </c>
      <c r="F229" s="31" t="n">
        <v>805</v>
      </c>
      <c r="G229" s="31" t="n">
        <v>16.25</v>
      </c>
      <c r="H229" s="31" t="n">
        <v>11.27</v>
      </c>
      <c r="I229" s="33" t="n">
        <f aca="false">IF(C229="","",F229+G229+H229)</f>
        <v>832.52</v>
      </c>
      <c r="J229" s="32" t="str">
        <f aca="false">IF(A229="","",IFERROR(INDEX(Prêts!$B$5:$B$14,MATCH(A229,Prêts!$A$5:$A$14,0)),"?"))</f>
        <v>APPART-01</v>
      </c>
      <c r="K229" s="32" t="n">
        <f aca="false">IF(A229="",0,IF(C229&gt;=IFERROR(INDEX(Biens!$O$5:$O$30,MATCH(J229,Biens!$A$5:$A$30,0)),99999),1,0))</f>
        <v>1</v>
      </c>
    </row>
    <row r="230" customFormat="false" ht="15" hidden="false" customHeight="true" outlineLevel="0" collapsed="false">
      <c r="A230" s="30" t="s">
        <v>417</v>
      </c>
      <c r="B230" s="30" t="n">
        <v>226</v>
      </c>
      <c r="C230" s="28" t="n">
        <v>49923</v>
      </c>
      <c r="D230" s="29" t="n">
        <f aca="false">IF(C230="","",YEAR(C230))</f>
        <v>2036</v>
      </c>
      <c r="E230" s="31" t="n">
        <v>12195.8</v>
      </c>
      <c r="F230" s="31" t="n">
        <v>806</v>
      </c>
      <c r="G230" s="31" t="n">
        <v>15.24</v>
      </c>
      <c r="H230" s="31" t="n">
        <v>11.27</v>
      </c>
      <c r="I230" s="33" t="n">
        <f aca="false">IF(C230="","",F230+G230+H230)</f>
        <v>832.51</v>
      </c>
      <c r="J230" s="32" t="str">
        <f aca="false">IF(A230="","",IFERROR(INDEX(Prêts!$B$5:$B$14,MATCH(A230,Prêts!$A$5:$A$14,0)),"?"))</f>
        <v>APPART-01</v>
      </c>
      <c r="K230" s="32" t="n">
        <f aca="false">IF(A230="",0,IF(C230&gt;=IFERROR(INDEX(Biens!$O$5:$O$30,MATCH(J230,Biens!$A$5:$A$30,0)),99999),1,0))</f>
        <v>1</v>
      </c>
    </row>
    <row r="231" customFormat="false" ht="15" hidden="false" customHeight="true" outlineLevel="0" collapsed="false">
      <c r="A231" s="30" t="s">
        <v>417</v>
      </c>
      <c r="B231" s="30" t="n">
        <v>227</v>
      </c>
      <c r="C231" s="28" t="n">
        <v>49953</v>
      </c>
      <c r="D231" s="29" t="n">
        <f aca="false">IF(C231="","",YEAR(C231))</f>
        <v>2036</v>
      </c>
      <c r="E231" s="31" t="n">
        <v>11389.79</v>
      </c>
      <c r="F231" s="31" t="n">
        <v>807.01</v>
      </c>
      <c r="G231" s="31" t="n">
        <v>14.24</v>
      </c>
      <c r="H231" s="31" t="n">
        <v>11.27</v>
      </c>
      <c r="I231" s="33" t="n">
        <f aca="false">IF(C231="","",F231+G231+H231)</f>
        <v>832.52</v>
      </c>
      <c r="J231" s="32" t="str">
        <f aca="false">IF(A231="","",IFERROR(INDEX(Prêts!$B$5:$B$14,MATCH(A231,Prêts!$A$5:$A$14,0)),"?"))</f>
        <v>APPART-01</v>
      </c>
      <c r="K231" s="32" t="n">
        <f aca="false">IF(A231="",0,IF(C231&gt;=IFERROR(INDEX(Biens!$O$5:$O$30,MATCH(J231,Biens!$A$5:$A$30,0)),99999),1,0))</f>
        <v>1</v>
      </c>
    </row>
    <row r="232" customFormat="false" ht="15" hidden="false" customHeight="true" outlineLevel="0" collapsed="false">
      <c r="A232" s="30" t="s">
        <v>417</v>
      </c>
      <c r="B232" s="30" t="n">
        <v>228</v>
      </c>
      <c r="C232" s="28" t="n">
        <v>49984</v>
      </c>
      <c r="D232" s="29" t="n">
        <f aca="false">IF(C232="","",YEAR(C232))</f>
        <v>2036</v>
      </c>
      <c r="E232" s="31" t="n">
        <v>10582.79</v>
      </c>
      <c r="F232" s="31" t="n">
        <v>808.02</v>
      </c>
      <c r="G232" s="31" t="n">
        <v>13.22</v>
      </c>
      <c r="H232" s="31" t="n">
        <v>11.27</v>
      </c>
      <c r="I232" s="33" t="n">
        <f aca="false">IF(C232="","",F232+G232+H232)</f>
        <v>832.51</v>
      </c>
      <c r="J232" s="32" t="str">
        <f aca="false">IF(A232="","",IFERROR(INDEX(Prêts!$B$5:$B$14,MATCH(A232,Prêts!$A$5:$A$14,0)),"?"))</f>
        <v>APPART-01</v>
      </c>
      <c r="K232" s="32" t="n">
        <f aca="false">IF(A232="",0,IF(C232&gt;=IFERROR(INDEX(Biens!$O$5:$O$30,MATCH(J232,Biens!$A$5:$A$30,0)),99999),1,0))</f>
        <v>1</v>
      </c>
    </row>
    <row r="233" customFormat="false" ht="15" hidden="false" customHeight="true" outlineLevel="0" collapsed="false">
      <c r="A233" s="30" t="s">
        <v>417</v>
      </c>
      <c r="B233" s="30" t="n">
        <v>229</v>
      </c>
      <c r="C233" s="28" t="n">
        <v>50014</v>
      </c>
      <c r="D233" s="29" t="n">
        <f aca="false">IF(C233="","",YEAR(C233))</f>
        <v>2036</v>
      </c>
      <c r="E233" s="31" t="n">
        <v>9774.77</v>
      </c>
      <c r="F233" s="31" t="n">
        <v>809.03</v>
      </c>
      <c r="G233" s="31" t="n">
        <v>12.22</v>
      </c>
      <c r="H233" s="31" t="n">
        <v>11.27</v>
      </c>
      <c r="I233" s="33" t="n">
        <f aca="false">IF(C233="","",F233+G233+H233)</f>
        <v>832.52</v>
      </c>
      <c r="J233" s="32" t="str">
        <f aca="false">IF(A233="","",IFERROR(INDEX(Prêts!$B$5:$B$14,MATCH(A233,Prêts!$A$5:$A$14,0)),"?"))</f>
        <v>APPART-01</v>
      </c>
      <c r="K233" s="32" t="n">
        <f aca="false">IF(A233="",0,IF(C233&gt;=IFERROR(INDEX(Biens!$O$5:$O$30,MATCH(J233,Biens!$A$5:$A$30,0)),99999),1,0))</f>
        <v>1</v>
      </c>
    </row>
    <row r="234" customFormat="false" ht="15" hidden="false" customHeight="true" outlineLevel="0" collapsed="false">
      <c r="A234" s="30" t="s">
        <v>417</v>
      </c>
      <c r="B234" s="30" t="n">
        <v>230</v>
      </c>
      <c r="C234" s="28" t="n">
        <v>50045</v>
      </c>
      <c r="D234" s="29" t="n">
        <f aca="false">IF(C234="","",YEAR(C234))</f>
        <v>2037</v>
      </c>
      <c r="E234" s="31" t="n">
        <v>8965.74</v>
      </c>
      <c r="F234" s="31" t="n">
        <v>810.04</v>
      </c>
      <c r="G234" s="31" t="n">
        <v>11.21</v>
      </c>
      <c r="H234" s="31" t="n">
        <v>11.27</v>
      </c>
      <c r="I234" s="33" t="n">
        <f aca="false">IF(C234="","",F234+G234+H234)</f>
        <v>832.52</v>
      </c>
      <c r="J234" s="32" t="str">
        <f aca="false">IF(A234="","",IFERROR(INDEX(Prêts!$B$5:$B$14,MATCH(A234,Prêts!$A$5:$A$14,0)),"?"))</f>
        <v>APPART-01</v>
      </c>
      <c r="K234" s="32" t="n">
        <f aca="false">IF(A234="",0,IF(C234&gt;=IFERROR(INDEX(Biens!$O$5:$O$30,MATCH(J234,Biens!$A$5:$A$30,0)),99999),1,0))</f>
        <v>1</v>
      </c>
    </row>
    <row r="235" customFormat="false" ht="15" hidden="false" customHeight="true" outlineLevel="0" collapsed="false">
      <c r="A235" s="30" t="s">
        <v>417</v>
      </c>
      <c r="B235" s="30" t="n">
        <v>231</v>
      </c>
      <c r="C235" s="28" t="n">
        <v>50076</v>
      </c>
      <c r="D235" s="29" t="n">
        <f aca="false">IF(C235="","",YEAR(C235))</f>
        <v>2037</v>
      </c>
      <c r="E235" s="31" t="n">
        <v>8155.7</v>
      </c>
      <c r="F235" s="31" t="n">
        <v>811.05</v>
      </c>
      <c r="G235" s="31" t="n">
        <v>10.19</v>
      </c>
      <c r="H235" s="31" t="n">
        <v>11.27</v>
      </c>
      <c r="I235" s="33" t="n">
        <f aca="false">IF(C235="","",F235+G235+H235)</f>
        <v>832.51</v>
      </c>
      <c r="J235" s="32" t="str">
        <f aca="false">IF(A235="","",IFERROR(INDEX(Prêts!$B$5:$B$14,MATCH(A235,Prêts!$A$5:$A$14,0)),"?"))</f>
        <v>APPART-01</v>
      </c>
      <c r="K235" s="32" t="n">
        <f aca="false">IF(A235="",0,IF(C235&gt;=IFERROR(INDEX(Biens!$O$5:$O$30,MATCH(J235,Biens!$A$5:$A$30,0)),99999),1,0))</f>
        <v>1</v>
      </c>
    </row>
    <row r="236" customFormat="false" ht="15" hidden="false" customHeight="true" outlineLevel="0" collapsed="false">
      <c r="A236" s="30" t="s">
        <v>417</v>
      </c>
      <c r="B236" s="30" t="n">
        <v>232</v>
      </c>
      <c r="C236" s="28" t="n">
        <v>50104</v>
      </c>
      <c r="D236" s="29" t="n">
        <f aca="false">IF(C236="","",YEAR(C236))</f>
        <v>2037</v>
      </c>
      <c r="E236" s="31" t="n">
        <v>7344.65</v>
      </c>
      <c r="F236" s="31" t="n">
        <v>812.07</v>
      </c>
      <c r="G236" s="31" t="n">
        <v>9.18</v>
      </c>
      <c r="H236" s="31" t="n">
        <v>11.27</v>
      </c>
      <c r="I236" s="33" t="n">
        <f aca="false">IF(C236="","",F236+G236+H236)</f>
        <v>832.52</v>
      </c>
      <c r="J236" s="32" t="str">
        <f aca="false">IF(A236="","",IFERROR(INDEX(Prêts!$B$5:$B$14,MATCH(A236,Prêts!$A$5:$A$14,0)),"?"))</f>
        <v>APPART-01</v>
      </c>
      <c r="K236" s="32" t="n">
        <f aca="false">IF(A236="",0,IF(C236&gt;=IFERROR(INDEX(Biens!$O$5:$O$30,MATCH(J236,Biens!$A$5:$A$30,0)),99999),1,0))</f>
        <v>1</v>
      </c>
    </row>
    <row r="237" customFormat="false" ht="15" hidden="false" customHeight="true" outlineLevel="0" collapsed="false">
      <c r="A237" s="30" t="s">
        <v>417</v>
      </c>
      <c r="B237" s="30" t="n">
        <v>233</v>
      </c>
      <c r="C237" s="28" t="n">
        <v>50135</v>
      </c>
      <c r="D237" s="29" t="n">
        <f aca="false">IF(C237="","",YEAR(C237))</f>
        <v>2037</v>
      </c>
      <c r="E237" s="31" t="n">
        <v>6532.58</v>
      </c>
      <c r="F237" s="31" t="n">
        <v>813.08</v>
      </c>
      <c r="G237" s="31" t="n">
        <v>8.17</v>
      </c>
      <c r="H237" s="31" t="n">
        <v>11.27</v>
      </c>
      <c r="I237" s="33" t="n">
        <f aca="false">IF(C237="","",F237+G237+H237)</f>
        <v>832.52</v>
      </c>
      <c r="J237" s="32" t="str">
        <f aca="false">IF(A237="","",IFERROR(INDEX(Prêts!$B$5:$B$14,MATCH(A237,Prêts!$A$5:$A$14,0)),"?"))</f>
        <v>APPART-01</v>
      </c>
      <c r="K237" s="32" t="n">
        <f aca="false">IF(A237="",0,IF(C237&gt;=IFERROR(INDEX(Biens!$O$5:$O$30,MATCH(J237,Biens!$A$5:$A$30,0)),99999),1,0))</f>
        <v>1</v>
      </c>
    </row>
    <row r="238" customFormat="false" ht="15" hidden="false" customHeight="true" outlineLevel="0" collapsed="false">
      <c r="A238" s="30" t="s">
        <v>417</v>
      </c>
      <c r="B238" s="30" t="n">
        <v>234</v>
      </c>
      <c r="C238" s="28" t="n">
        <v>50165</v>
      </c>
      <c r="D238" s="29" t="n">
        <f aca="false">IF(C238="","",YEAR(C238))</f>
        <v>2037</v>
      </c>
      <c r="E238" s="31" t="n">
        <v>5719.5</v>
      </c>
      <c r="F238" s="31" t="n">
        <v>814.09</v>
      </c>
      <c r="G238" s="31" t="n">
        <v>7.15</v>
      </c>
      <c r="H238" s="31" t="n">
        <v>11.27</v>
      </c>
      <c r="I238" s="33" t="n">
        <f aca="false">IF(C238="","",F238+G238+H238)</f>
        <v>832.51</v>
      </c>
      <c r="J238" s="32" t="str">
        <f aca="false">IF(A238="","",IFERROR(INDEX(Prêts!$B$5:$B$14,MATCH(A238,Prêts!$A$5:$A$14,0)),"?"))</f>
        <v>APPART-01</v>
      </c>
      <c r="K238" s="32" t="n">
        <f aca="false">IF(A238="",0,IF(C238&gt;=IFERROR(INDEX(Biens!$O$5:$O$30,MATCH(J238,Biens!$A$5:$A$30,0)),99999),1,0))</f>
        <v>1</v>
      </c>
    </row>
    <row r="239" customFormat="false" ht="15" hidden="false" customHeight="true" outlineLevel="0" collapsed="false">
      <c r="A239" s="30" t="s">
        <v>417</v>
      </c>
      <c r="B239" s="30" t="n">
        <v>235</v>
      </c>
      <c r="C239" s="28" t="n">
        <v>50196</v>
      </c>
      <c r="D239" s="29" t="n">
        <f aca="false">IF(C239="","",YEAR(C239))</f>
        <v>2037</v>
      </c>
      <c r="E239" s="31" t="n">
        <v>4905.41</v>
      </c>
      <c r="F239" s="31" t="n">
        <v>815.12</v>
      </c>
      <c r="G239" s="31" t="n">
        <v>6.13</v>
      </c>
      <c r="H239" s="31" t="n">
        <v>11.27</v>
      </c>
      <c r="I239" s="33" t="n">
        <f aca="false">IF(C239="","",F239+G239+H239)</f>
        <v>832.52</v>
      </c>
      <c r="J239" s="32" t="str">
        <f aca="false">IF(A239="","",IFERROR(INDEX(Prêts!$B$5:$B$14,MATCH(A239,Prêts!$A$5:$A$14,0)),"?"))</f>
        <v>APPART-01</v>
      </c>
      <c r="K239" s="32" t="n">
        <f aca="false">IF(A239="",0,IF(C239&gt;=IFERROR(INDEX(Biens!$O$5:$O$30,MATCH(J239,Biens!$A$5:$A$30,0)),99999),1,0))</f>
        <v>1</v>
      </c>
    </row>
    <row r="240" customFormat="false" ht="15" hidden="false" customHeight="true" outlineLevel="0" collapsed="false">
      <c r="A240" s="30" t="s">
        <v>417</v>
      </c>
      <c r="B240" s="30" t="n">
        <v>236</v>
      </c>
      <c r="C240" s="28" t="n">
        <v>50226</v>
      </c>
      <c r="D240" s="29" t="n">
        <f aca="false">IF(C240="","",YEAR(C240))</f>
        <v>2037</v>
      </c>
      <c r="E240" s="31" t="n">
        <v>4090.29</v>
      </c>
      <c r="F240" s="31" t="n">
        <v>816.13</v>
      </c>
      <c r="G240" s="31" t="n">
        <v>5.12</v>
      </c>
      <c r="H240" s="31" t="n">
        <v>11.27</v>
      </c>
      <c r="I240" s="33" t="n">
        <f aca="false">IF(C240="","",F240+G240+H240)</f>
        <v>832.52</v>
      </c>
      <c r="J240" s="32" t="str">
        <f aca="false">IF(A240="","",IFERROR(INDEX(Prêts!$B$5:$B$14,MATCH(A240,Prêts!$A$5:$A$14,0)),"?"))</f>
        <v>APPART-01</v>
      </c>
      <c r="K240" s="32" t="n">
        <f aca="false">IF(A240="",0,IF(C240&gt;=IFERROR(INDEX(Biens!$O$5:$O$30,MATCH(J240,Biens!$A$5:$A$30,0)),99999),1,0))</f>
        <v>1</v>
      </c>
    </row>
    <row r="241" customFormat="false" ht="15" hidden="false" customHeight="true" outlineLevel="0" collapsed="false">
      <c r="A241" s="30" t="s">
        <v>417</v>
      </c>
      <c r="B241" s="30" t="n">
        <v>237</v>
      </c>
      <c r="C241" s="28" t="n">
        <v>50257</v>
      </c>
      <c r="D241" s="29" t="n">
        <f aca="false">IF(C241="","",YEAR(C241))</f>
        <v>2037</v>
      </c>
      <c r="E241" s="31" t="n">
        <v>3274.16</v>
      </c>
      <c r="F241" s="31" t="n">
        <v>817.15</v>
      </c>
      <c r="G241" s="31" t="n">
        <v>4.09</v>
      </c>
      <c r="H241" s="31" t="n">
        <v>11.27</v>
      </c>
      <c r="I241" s="33" t="n">
        <f aca="false">IF(C241="","",F241+G241+H241)</f>
        <v>832.51</v>
      </c>
      <c r="J241" s="32" t="str">
        <f aca="false">IF(A241="","",IFERROR(INDEX(Prêts!$B$5:$B$14,MATCH(A241,Prêts!$A$5:$A$14,0)),"?"))</f>
        <v>APPART-01</v>
      </c>
      <c r="K241" s="32" t="n">
        <f aca="false">IF(A241="",0,IF(C241&gt;=IFERROR(INDEX(Biens!$O$5:$O$30,MATCH(J241,Biens!$A$5:$A$30,0)),99999),1,0))</f>
        <v>1</v>
      </c>
    </row>
    <row r="242" customFormat="false" ht="15" hidden="false" customHeight="true" outlineLevel="0" collapsed="false">
      <c r="A242" s="30" t="s">
        <v>417</v>
      </c>
      <c r="B242" s="30" t="n">
        <v>238</v>
      </c>
      <c r="C242" s="28" t="n">
        <v>50288</v>
      </c>
      <c r="D242" s="29" t="n">
        <f aca="false">IF(C242="","",YEAR(C242))</f>
        <v>2037</v>
      </c>
      <c r="E242" s="31" t="n">
        <v>2457</v>
      </c>
      <c r="F242" s="31" t="n">
        <v>818.18</v>
      </c>
      <c r="G242" s="31" t="n">
        <v>3.07</v>
      </c>
      <c r="H242" s="31" t="n">
        <v>11.27</v>
      </c>
      <c r="I242" s="33" t="n">
        <f aca="false">IF(C242="","",F242+G242+H242)</f>
        <v>832.52</v>
      </c>
      <c r="J242" s="32" t="str">
        <f aca="false">IF(A242="","",IFERROR(INDEX(Prêts!$B$5:$B$14,MATCH(A242,Prêts!$A$5:$A$14,0)),"?"))</f>
        <v>APPART-01</v>
      </c>
      <c r="K242" s="32" t="n">
        <f aca="false">IF(A242="",0,IF(C242&gt;=IFERROR(INDEX(Biens!$O$5:$O$30,MATCH(J242,Biens!$A$5:$A$30,0)),99999),1,0))</f>
        <v>1</v>
      </c>
    </row>
    <row r="243" customFormat="false" ht="15" hidden="false" customHeight="true" outlineLevel="0" collapsed="false">
      <c r="A243" s="30" t="s">
        <v>417</v>
      </c>
      <c r="B243" s="30" t="n">
        <v>239</v>
      </c>
      <c r="C243" s="28" t="n">
        <v>50318</v>
      </c>
      <c r="D243" s="29" t="n">
        <f aca="false">IF(C243="","",YEAR(C243))</f>
        <v>2037</v>
      </c>
      <c r="E243" s="31" t="n">
        <v>1638.83</v>
      </c>
      <c r="F243" s="31" t="n">
        <v>819.2</v>
      </c>
      <c r="G243" s="31" t="n">
        <v>2.05</v>
      </c>
      <c r="H243" s="31" t="n">
        <v>11.27</v>
      </c>
      <c r="I243" s="33" t="n">
        <f aca="false">IF(C243="","",F243+G243+H243)</f>
        <v>832.52</v>
      </c>
      <c r="J243" s="32" t="str">
        <f aca="false">IF(A243="","",IFERROR(INDEX(Prêts!$B$5:$B$14,MATCH(A243,Prêts!$A$5:$A$14,0)),"?"))</f>
        <v>APPART-01</v>
      </c>
      <c r="K243" s="32" t="n">
        <f aca="false">IF(A243="",0,IF(C243&gt;=IFERROR(INDEX(Biens!$O$5:$O$30,MATCH(J243,Biens!$A$5:$A$30,0)),99999),1,0))</f>
        <v>1</v>
      </c>
    </row>
    <row r="244" customFormat="false" ht="15" hidden="false" customHeight="true" outlineLevel="0" collapsed="false">
      <c r="A244" s="30" t="s">
        <v>417</v>
      </c>
      <c r="B244" s="30" t="n">
        <v>240</v>
      </c>
      <c r="C244" s="28" t="n">
        <v>50349</v>
      </c>
      <c r="D244" s="29" t="n">
        <f aca="false">IF(C244="","",YEAR(C244))</f>
        <v>2037</v>
      </c>
      <c r="E244" s="31" t="n">
        <v>819.63</v>
      </c>
      <c r="F244" s="31" t="n">
        <v>819.63</v>
      </c>
      <c r="G244" s="31" t="n">
        <v>1.02</v>
      </c>
      <c r="H244" s="31" t="n">
        <v>11.27</v>
      </c>
      <c r="I244" s="33" t="n">
        <f aca="false">IF(C244="","",F244+G244+H244)</f>
        <v>831.92</v>
      </c>
      <c r="J244" s="32" t="str">
        <f aca="false">IF(A244="","",IFERROR(INDEX(Prêts!$B$5:$B$14,MATCH(A244,Prêts!$A$5:$A$14,0)),"?"))</f>
        <v>APPART-01</v>
      </c>
      <c r="K244" s="32" t="n">
        <f aca="false">IF(A244="",0,IF(C244&gt;=IFERROR(INDEX(Biens!$O$5:$O$30,MATCH(J244,Biens!$A$5:$A$30,0)),99999),1,0))</f>
        <v>1</v>
      </c>
    </row>
    <row r="245" customFormat="false" ht="15" hidden="false" customHeight="true" outlineLevel="0" collapsed="false">
      <c r="D245" s="29" t="str">
        <f aca="false">IF(C245="","",YEAR(C245))</f>
        <v/>
      </c>
      <c r="I245" s="33" t="str">
        <f aca="false">IF(C245="","",F245+G245+H245)</f>
        <v/>
      </c>
      <c r="J245" s="32" t="str">
        <f aca="false">IF(A245="","",IFERROR(INDEX(Prêts!$B$5:$B$14,MATCH(A245,Prêts!$A$5:$A$14,0)),"?"))</f>
        <v/>
      </c>
      <c r="K245" s="32" t="n">
        <f aca="false">IF(A245="",0,IF(C245&gt;=IFERROR(INDEX(Biens!$O$5:$O$30,MATCH(J245,Biens!$A$5:$A$30,0)),99999),1,0))</f>
        <v>0</v>
      </c>
    </row>
    <row r="246" customFormat="false" ht="15" hidden="false" customHeight="true" outlineLevel="0" collapsed="false">
      <c r="D246" s="29" t="str">
        <f aca="false">IF(C246="","",YEAR(C246))</f>
        <v/>
      </c>
      <c r="I246" s="33" t="str">
        <f aca="false">IF(C246="","",F246+G246+H246)</f>
        <v/>
      </c>
      <c r="J246" s="32" t="str">
        <f aca="false">IF(A246="","",IFERROR(INDEX(Prêts!$B$5:$B$14,MATCH(A246,Prêts!$A$5:$A$14,0)),"?"))</f>
        <v/>
      </c>
      <c r="K246" s="32" t="n">
        <f aca="false">IF(A246="",0,IF(C246&gt;=IFERROR(INDEX(Biens!$O$5:$O$30,MATCH(J246,Biens!$A$5:$A$30,0)),99999),1,0))</f>
        <v>0</v>
      </c>
    </row>
    <row r="247" customFormat="false" ht="15" hidden="false" customHeight="true" outlineLevel="0" collapsed="false">
      <c r="D247" s="29" t="str">
        <f aca="false">IF(C247="","",YEAR(C247))</f>
        <v/>
      </c>
      <c r="I247" s="33" t="str">
        <f aca="false">IF(C247="","",F247+G247+H247)</f>
        <v/>
      </c>
      <c r="J247" s="32" t="str">
        <f aca="false">IF(A247="","",IFERROR(INDEX(Prêts!$B$5:$B$14,MATCH(A247,Prêts!$A$5:$A$14,0)),"?"))</f>
        <v/>
      </c>
      <c r="K247" s="32" t="n">
        <f aca="false">IF(A247="",0,IF(C247&gt;=IFERROR(INDEX(Biens!$O$5:$O$30,MATCH(J247,Biens!$A$5:$A$30,0)),99999),1,0))</f>
        <v>0</v>
      </c>
    </row>
    <row r="248" customFormat="false" ht="15" hidden="false" customHeight="true" outlineLevel="0" collapsed="false">
      <c r="D248" s="29" t="str">
        <f aca="false">IF(C248="","",YEAR(C248))</f>
        <v/>
      </c>
      <c r="I248" s="33" t="str">
        <f aca="false">IF(C248="","",F248+G248+H248)</f>
        <v/>
      </c>
      <c r="J248" s="32" t="str">
        <f aca="false">IF(A248="","",IFERROR(INDEX(Prêts!$B$5:$B$14,MATCH(A248,Prêts!$A$5:$A$14,0)),"?"))</f>
        <v/>
      </c>
      <c r="K248" s="32" t="n">
        <f aca="false">IF(A248="",0,IF(C248&gt;=IFERROR(INDEX(Biens!$O$5:$O$30,MATCH(J248,Biens!$A$5:$A$30,0)),99999),1,0))</f>
        <v>0</v>
      </c>
    </row>
    <row r="249" customFormat="false" ht="15" hidden="false" customHeight="true" outlineLevel="0" collapsed="false">
      <c r="D249" s="29" t="str">
        <f aca="false">IF(C249="","",YEAR(C249))</f>
        <v/>
      </c>
      <c r="I249" s="33" t="str">
        <f aca="false">IF(C249="","",F249+G249+H249)</f>
        <v/>
      </c>
      <c r="J249" s="32" t="str">
        <f aca="false">IF(A249="","",IFERROR(INDEX(Prêts!$B$5:$B$14,MATCH(A249,Prêts!$A$5:$A$14,0)),"?"))</f>
        <v/>
      </c>
      <c r="K249" s="32" t="n">
        <f aca="false">IF(A249="",0,IF(C249&gt;=IFERROR(INDEX(Biens!$O$5:$O$30,MATCH(J249,Biens!$A$5:$A$30,0)),99999),1,0))</f>
        <v>0</v>
      </c>
    </row>
    <row r="250" customFormat="false" ht="15" hidden="false" customHeight="true" outlineLevel="0" collapsed="false">
      <c r="D250" s="29" t="str">
        <f aca="false">IF(C250="","",YEAR(C250))</f>
        <v/>
      </c>
      <c r="I250" s="33" t="str">
        <f aca="false">IF(C250="","",F250+G250+H250)</f>
        <v/>
      </c>
      <c r="J250" s="32" t="str">
        <f aca="false">IF(A250="","",IFERROR(INDEX(Prêts!$B$5:$B$14,MATCH(A250,Prêts!$A$5:$A$14,0)),"?"))</f>
        <v/>
      </c>
      <c r="K250" s="32" t="n">
        <f aca="false">IF(A250="",0,IF(C250&gt;=IFERROR(INDEX(Biens!$O$5:$O$30,MATCH(J250,Biens!$A$5:$A$30,0)),99999),1,0))</f>
        <v>0</v>
      </c>
    </row>
    <row r="251" customFormat="false" ht="15" hidden="false" customHeight="true" outlineLevel="0" collapsed="false">
      <c r="D251" s="29" t="str">
        <f aca="false">IF(C251="","",YEAR(C251))</f>
        <v/>
      </c>
      <c r="I251" s="33" t="str">
        <f aca="false">IF(C251="","",F251+G251+H251)</f>
        <v/>
      </c>
      <c r="J251" s="32" t="str">
        <f aca="false">IF(A251="","",IFERROR(INDEX(Prêts!$B$5:$B$14,MATCH(A251,Prêts!$A$5:$A$14,0)),"?"))</f>
        <v/>
      </c>
      <c r="K251" s="32" t="n">
        <f aca="false">IF(A251="",0,IF(C251&gt;=IFERROR(INDEX(Biens!$O$5:$O$30,MATCH(J251,Biens!$A$5:$A$30,0)),99999),1,0))</f>
        <v>0</v>
      </c>
    </row>
    <row r="252" customFormat="false" ht="15" hidden="false" customHeight="true" outlineLevel="0" collapsed="false">
      <c r="D252" s="29" t="str">
        <f aca="false">IF(C252="","",YEAR(C252))</f>
        <v/>
      </c>
      <c r="I252" s="33" t="str">
        <f aca="false">IF(C252="","",F252+G252+H252)</f>
        <v/>
      </c>
      <c r="J252" s="32" t="str">
        <f aca="false">IF(A252="","",IFERROR(INDEX(Prêts!$B$5:$B$14,MATCH(A252,Prêts!$A$5:$A$14,0)),"?"))</f>
        <v/>
      </c>
      <c r="K252" s="32" t="n">
        <f aca="false">IF(A252="",0,IF(C252&gt;=IFERROR(INDEX(Biens!$O$5:$O$30,MATCH(J252,Biens!$A$5:$A$30,0)),99999),1,0))</f>
        <v>0</v>
      </c>
    </row>
    <row r="253" customFormat="false" ht="15" hidden="false" customHeight="true" outlineLevel="0" collapsed="false">
      <c r="D253" s="29" t="str">
        <f aca="false">IF(C253="","",YEAR(C253))</f>
        <v/>
      </c>
      <c r="I253" s="33" t="str">
        <f aca="false">IF(C253="","",F253+G253+H253)</f>
        <v/>
      </c>
      <c r="J253" s="32" t="str">
        <f aca="false">IF(A253="","",IFERROR(INDEX(Prêts!$B$5:$B$14,MATCH(A253,Prêts!$A$5:$A$14,0)),"?"))</f>
        <v/>
      </c>
      <c r="K253" s="32" t="n">
        <f aca="false">IF(A253="",0,IF(C253&gt;=IFERROR(INDEX(Biens!$O$5:$O$30,MATCH(J253,Biens!$A$5:$A$30,0)),99999),1,0))</f>
        <v>0</v>
      </c>
    </row>
    <row r="254" customFormat="false" ht="15" hidden="false" customHeight="true" outlineLevel="0" collapsed="false">
      <c r="D254" s="29" t="str">
        <f aca="false">IF(C254="","",YEAR(C254))</f>
        <v/>
      </c>
      <c r="I254" s="33" t="str">
        <f aca="false">IF(C254="","",F254+G254+H254)</f>
        <v/>
      </c>
      <c r="J254" s="32" t="str">
        <f aca="false">IF(A254="","",IFERROR(INDEX(Prêts!$B$5:$B$14,MATCH(A254,Prêts!$A$5:$A$14,0)),"?"))</f>
        <v/>
      </c>
      <c r="K254" s="32" t="n">
        <f aca="false">IF(A254="",0,IF(C254&gt;=IFERROR(INDEX(Biens!$O$5:$O$30,MATCH(J254,Biens!$A$5:$A$30,0)),99999),1,0))</f>
        <v>0</v>
      </c>
    </row>
    <row r="255" customFormat="false" ht="15" hidden="false" customHeight="true" outlineLevel="0" collapsed="false">
      <c r="D255" s="29" t="str">
        <f aca="false">IF(C255="","",YEAR(C255))</f>
        <v/>
      </c>
      <c r="I255" s="33" t="str">
        <f aca="false">IF(C255="","",F255+G255+H255)</f>
        <v/>
      </c>
      <c r="J255" s="32" t="str">
        <f aca="false">IF(A255="","",IFERROR(INDEX(Prêts!$B$5:$B$14,MATCH(A255,Prêts!$A$5:$A$14,0)),"?"))</f>
        <v/>
      </c>
      <c r="K255" s="32" t="n">
        <f aca="false">IF(A255="",0,IF(C255&gt;=IFERROR(INDEX(Biens!$O$5:$O$30,MATCH(J255,Biens!$A$5:$A$30,0)),99999),1,0))</f>
        <v>0</v>
      </c>
    </row>
    <row r="256" customFormat="false" ht="15" hidden="false" customHeight="true" outlineLevel="0" collapsed="false">
      <c r="D256" s="29" t="str">
        <f aca="false">IF(C256="","",YEAR(C256))</f>
        <v/>
      </c>
      <c r="I256" s="33" t="str">
        <f aca="false">IF(C256="","",F256+G256+H256)</f>
        <v/>
      </c>
      <c r="J256" s="32" t="str">
        <f aca="false">IF(A256="","",IFERROR(INDEX(Prêts!$B$5:$B$14,MATCH(A256,Prêts!$A$5:$A$14,0)),"?"))</f>
        <v/>
      </c>
      <c r="K256" s="32" t="n">
        <f aca="false">IF(A256="",0,IF(C256&gt;=IFERROR(INDEX(Biens!$O$5:$O$30,MATCH(J256,Biens!$A$5:$A$30,0)),99999),1,0))</f>
        <v>0</v>
      </c>
    </row>
    <row r="257" customFormat="false" ht="15" hidden="false" customHeight="true" outlineLevel="0" collapsed="false">
      <c r="D257" s="29" t="str">
        <f aca="false">IF(C257="","",YEAR(C257))</f>
        <v/>
      </c>
      <c r="I257" s="33" t="str">
        <f aca="false">IF(C257="","",F257+G257+H257)</f>
        <v/>
      </c>
      <c r="J257" s="32" t="str">
        <f aca="false">IF(A257="","",IFERROR(INDEX(Prêts!$B$5:$B$14,MATCH(A257,Prêts!$A$5:$A$14,0)),"?"))</f>
        <v/>
      </c>
      <c r="K257" s="32" t="n">
        <f aca="false">IF(A257="",0,IF(C257&gt;=IFERROR(INDEX(Biens!$O$5:$O$30,MATCH(J257,Biens!$A$5:$A$30,0)),99999),1,0))</f>
        <v>0</v>
      </c>
    </row>
    <row r="258" customFormat="false" ht="15" hidden="false" customHeight="true" outlineLevel="0" collapsed="false">
      <c r="D258" s="29" t="str">
        <f aca="false">IF(C258="","",YEAR(C258))</f>
        <v/>
      </c>
      <c r="I258" s="33" t="str">
        <f aca="false">IF(C258="","",F258+G258+H258)</f>
        <v/>
      </c>
      <c r="J258" s="32" t="str">
        <f aca="false">IF(A258="","",IFERROR(INDEX(Prêts!$B$5:$B$14,MATCH(A258,Prêts!$A$5:$A$14,0)),"?"))</f>
        <v/>
      </c>
      <c r="K258" s="32" t="n">
        <f aca="false">IF(A258="",0,IF(C258&gt;=IFERROR(INDEX(Biens!$O$5:$O$30,MATCH(J258,Biens!$A$5:$A$30,0)),99999),1,0))</f>
        <v>0</v>
      </c>
    </row>
    <row r="259" customFormat="false" ht="15" hidden="false" customHeight="true" outlineLevel="0" collapsed="false">
      <c r="D259" s="29" t="str">
        <f aca="false">IF(C259="","",YEAR(C259))</f>
        <v/>
      </c>
      <c r="I259" s="33" t="str">
        <f aca="false">IF(C259="","",F259+G259+H259)</f>
        <v/>
      </c>
      <c r="J259" s="32" t="str">
        <f aca="false">IF(A259="","",IFERROR(INDEX(Prêts!$B$5:$B$14,MATCH(A259,Prêts!$A$5:$A$14,0)),"?"))</f>
        <v/>
      </c>
      <c r="K259" s="32" t="n">
        <f aca="false">IF(A259="",0,IF(C259&gt;=IFERROR(INDEX(Biens!$O$5:$O$30,MATCH(J259,Biens!$A$5:$A$30,0)),99999),1,0))</f>
        <v>0</v>
      </c>
    </row>
    <row r="260" customFormat="false" ht="15" hidden="false" customHeight="true" outlineLevel="0" collapsed="false">
      <c r="D260" s="29" t="str">
        <f aca="false">IF(C260="","",YEAR(C260))</f>
        <v/>
      </c>
      <c r="I260" s="33" t="str">
        <f aca="false">IF(C260="","",F260+G260+H260)</f>
        <v/>
      </c>
      <c r="J260" s="32" t="str">
        <f aca="false">IF(A260="","",IFERROR(INDEX(Prêts!$B$5:$B$14,MATCH(A260,Prêts!$A$5:$A$14,0)),"?"))</f>
        <v/>
      </c>
      <c r="K260" s="32" t="n">
        <f aca="false">IF(A260="",0,IF(C260&gt;=IFERROR(INDEX(Biens!$O$5:$O$30,MATCH(J260,Biens!$A$5:$A$30,0)),99999),1,0))</f>
        <v>0</v>
      </c>
    </row>
    <row r="261" customFormat="false" ht="15" hidden="false" customHeight="true" outlineLevel="0" collapsed="false">
      <c r="D261" s="29" t="str">
        <f aca="false">IF(C261="","",YEAR(C261))</f>
        <v/>
      </c>
      <c r="I261" s="33" t="str">
        <f aca="false">IF(C261="","",F261+G261+H261)</f>
        <v/>
      </c>
      <c r="J261" s="32" t="str">
        <f aca="false">IF(A261="","",IFERROR(INDEX(Prêts!$B$5:$B$14,MATCH(A261,Prêts!$A$5:$A$14,0)),"?"))</f>
        <v/>
      </c>
      <c r="K261" s="32" t="n">
        <f aca="false">IF(A261="",0,IF(C261&gt;=IFERROR(INDEX(Biens!$O$5:$O$30,MATCH(J261,Biens!$A$5:$A$30,0)),99999),1,0))</f>
        <v>0</v>
      </c>
    </row>
    <row r="262" customFormat="false" ht="15" hidden="false" customHeight="true" outlineLevel="0" collapsed="false">
      <c r="D262" s="29" t="str">
        <f aca="false">IF(C262="","",YEAR(C262))</f>
        <v/>
      </c>
      <c r="I262" s="33" t="str">
        <f aca="false">IF(C262="","",F262+G262+H262)</f>
        <v/>
      </c>
      <c r="J262" s="32" t="str">
        <f aca="false">IF(A262="","",IFERROR(INDEX(Prêts!$B$5:$B$14,MATCH(A262,Prêts!$A$5:$A$14,0)),"?"))</f>
        <v/>
      </c>
      <c r="K262" s="32" t="n">
        <f aca="false">IF(A262="",0,IF(C262&gt;=IFERROR(INDEX(Biens!$O$5:$O$30,MATCH(J262,Biens!$A$5:$A$30,0)),99999),1,0))</f>
        <v>0</v>
      </c>
    </row>
    <row r="263" customFormat="false" ht="15" hidden="false" customHeight="true" outlineLevel="0" collapsed="false">
      <c r="D263" s="29" t="str">
        <f aca="false">IF(C263="","",YEAR(C263))</f>
        <v/>
      </c>
      <c r="I263" s="33" t="str">
        <f aca="false">IF(C263="","",F263+G263+H263)</f>
        <v/>
      </c>
      <c r="J263" s="32" t="str">
        <f aca="false">IF(A263="","",IFERROR(INDEX(Prêts!$B$5:$B$14,MATCH(A263,Prêts!$A$5:$A$14,0)),"?"))</f>
        <v/>
      </c>
      <c r="K263" s="32" t="n">
        <f aca="false">IF(A263="",0,IF(C263&gt;=IFERROR(INDEX(Biens!$O$5:$O$30,MATCH(J263,Biens!$A$5:$A$30,0)),99999),1,0))</f>
        <v>0</v>
      </c>
    </row>
    <row r="264" customFormat="false" ht="15" hidden="false" customHeight="true" outlineLevel="0" collapsed="false">
      <c r="D264" s="29" t="str">
        <f aca="false">IF(C264="","",YEAR(C264))</f>
        <v/>
      </c>
      <c r="I264" s="33" t="str">
        <f aca="false">IF(C264="","",F264+G264+H264)</f>
        <v/>
      </c>
      <c r="J264" s="32" t="str">
        <f aca="false">IF(A264="","",IFERROR(INDEX(Prêts!$B$5:$B$14,MATCH(A264,Prêts!$A$5:$A$14,0)),"?"))</f>
        <v/>
      </c>
      <c r="K264" s="32" t="n">
        <f aca="false">IF(A264="",0,IF(C264&gt;=IFERROR(INDEX(Biens!$O$5:$O$30,MATCH(J264,Biens!$A$5:$A$30,0)),99999),1,0))</f>
        <v>0</v>
      </c>
    </row>
    <row r="265" customFormat="false" ht="15" hidden="false" customHeight="true" outlineLevel="0" collapsed="false">
      <c r="D265" s="29" t="str">
        <f aca="false">IF(C265="","",YEAR(C265))</f>
        <v/>
      </c>
      <c r="I265" s="33" t="str">
        <f aca="false">IF(C265="","",F265+G265+H265)</f>
        <v/>
      </c>
      <c r="J265" s="32" t="str">
        <f aca="false">IF(A265="","",IFERROR(INDEX(Prêts!$B$5:$B$14,MATCH(A265,Prêts!$A$5:$A$14,0)),"?"))</f>
        <v/>
      </c>
      <c r="K265" s="32" t="n">
        <f aca="false">IF(A265="",0,IF(C265&gt;=IFERROR(INDEX(Biens!$O$5:$O$30,MATCH(J265,Biens!$A$5:$A$30,0)),99999),1,0))</f>
        <v>0</v>
      </c>
    </row>
    <row r="266" customFormat="false" ht="15" hidden="false" customHeight="true" outlineLevel="0" collapsed="false">
      <c r="D266" s="29" t="str">
        <f aca="false">IF(C266="","",YEAR(C266))</f>
        <v/>
      </c>
      <c r="I266" s="33" t="str">
        <f aca="false">IF(C266="","",F266+G266+H266)</f>
        <v/>
      </c>
      <c r="J266" s="32" t="str">
        <f aca="false">IF(A266="","",IFERROR(INDEX(Prêts!$B$5:$B$14,MATCH(A266,Prêts!$A$5:$A$14,0)),"?"))</f>
        <v/>
      </c>
      <c r="K266" s="32" t="n">
        <f aca="false">IF(A266="",0,IF(C266&gt;=IFERROR(INDEX(Biens!$O$5:$O$30,MATCH(J266,Biens!$A$5:$A$30,0)),99999),1,0))</f>
        <v>0</v>
      </c>
    </row>
    <row r="267" customFormat="false" ht="15" hidden="false" customHeight="true" outlineLevel="0" collapsed="false">
      <c r="D267" s="29" t="str">
        <f aca="false">IF(C267="","",YEAR(C267))</f>
        <v/>
      </c>
      <c r="I267" s="33" t="str">
        <f aca="false">IF(C267="","",F267+G267+H267)</f>
        <v/>
      </c>
      <c r="J267" s="32" t="str">
        <f aca="false">IF(A267="","",IFERROR(INDEX(Prêts!$B$5:$B$14,MATCH(A267,Prêts!$A$5:$A$14,0)),"?"))</f>
        <v/>
      </c>
      <c r="K267" s="32" t="n">
        <f aca="false">IF(A267="",0,IF(C267&gt;=IFERROR(INDEX(Biens!$O$5:$O$30,MATCH(J267,Biens!$A$5:$A$30,0)),99999),1,0))</f>
        <v>0</v>
      </c>
    </row>
    <row r="268" customFormat="false" ht="15" hidden="false" customHeight="true" outlineLevel="0" collapsed="false">
      <c r="D268" s="29" t="str">
        <f aca="false">IF(C268="","",YEAR(C268))</f>
        <v/>
      </c>
      <c r="I268" s="33" t="str">
        <f aca="false">IF(C268="","",F268+G268+H268)</f>
        <v/>
      </c>
      <c r="J268" s="32" t="str">
        <f aca="false">IF(A268="","",IFERROR(INDEX(Prêts!$B$5:$B$14,MATCH(A268,Prêts!$A$5:$A$14,0)),"?"))</f>
        <v/>
      </c>
      <c r="K268" s="32" t="n">
        <f aca="false">IF(A268="",0,IF(C268&gt;=IFERROR(INDEX(Biens!$O$5:$O$30,MATCH(J268,Biens!$A$5:$A$30,0)),99999),1,0))</f>
        <v>0</v>
      </c>
    </row>
    <row r="269" customFormat="false" ht="15" hidden="false" customHeight="true" outlineLevel="0" collapsed="false">
      <c r="D269" s="29" t="str">
        <f aca="false">IF(C269="","",YEAR(C269))</f>
        <v/>
      </c>
      <c r="I269" s="33" t="str">
        <f aca="false">IF(C269="","",F269+G269+H269)</f>
        <v/>
      </c>
      <c r="J269" s="32" t="str">
        <f aca="false">IF(A269="","",IFERROR(INDEX(Prêts!$B$5:$B$14,MATCH(A269,Prêts!$A$5:$A$14,0)),"?"))</f>
        <v/>
      </c>
      <c r="K269" s="32" t="n">
        <f aca="false">IF(A269="",0,IF(C269&gt;=IFERROR(INDEX(Biens!$O$5:$O$30,MATCH(J269,Biens!$A$5:$A$30,0)),99999),1,0))</f>
        <v>0</v>
      </c>
    </row>
    <row r="270" customFormat="false" ht="15" hidden="false" customHeight="true" outlineLevel="0" collapsed="false">
      <c r="D270" s="29" t="str">
        <f aca="false">IF(C270="","",YEAR(C270))</f>
        <v/>
      </c>
      <c r="I270" s="33" t="str">
        <f aca="false">IF(C270="","",F270+G270+H270)</f>
        <v/>
      </c>
      <c r="J270" s="32" t="str">
        <f aca="false">IF(A270="","",IFERROR(INDEX(Prêts!$B$5:$B$14,MATCH(A270,Prêts!$A$5:$A$14,0)),"?"))</f>
        <v/>
      </c>
      <c r="K270" s="32" t="n">
        <f aca="false">IF(A270="",0,IF(C270&gt;=IFERROR(INDEX(Biens!$O$5:$O$30,MATCH(J270,Biens!$A$5:$A$30,0)),99999),1,0))</f>
        <v>0</v>
      </c>
    </row>
    <row r="271" customFormat="false" ht="15" hidden="false" customHeight="true" outlineLevel="0" collapsed="false">
      <c r="D271" s="29" t="str">
        <f aca="false">IF(C271="","",YEAR(C271))</f>
        <v/>
      </c>
      <c r="I271" s="33" t="str">
        <f aca="false">IF(C271="","",F271+G271+H271)</f>
        <v/>
      </c>
      <c r="J271" s="32" t="str">
        <f aca="false">IF(A271="","",IFERROR(INDEX(Prêts!$B$5:$B$14,MATCH(A271,Prêts!$A$5:$A$14,0)),"?"))</f>
        <v/>
      </c>
      <c r="K271" s="32" t="n">
        <f aca="false">IF(A271="",0,IF(C271&gt;=IFERROR(INDEX(Biens!$O$5:$O$30,MATCH(J271,Biens!$A$5:$A$30,0)),99999),1,0))</f>
        <v>0</v>
      </c>
    </row>
    <row r="272" customFormat="false" ht="15" hidden="false" customHeight="true" outlineLevel="0" collapsed="false">
      <c r="D272" s="29" t="str">
        <f aca="false">IF(C272="","",YEAR(C272))</f>
        <v/>
      </c>
      <c r="I272" s="33" t="str">
        <f aca="false">IF(C272="","",F272+G272+H272)</f>
        <v/>
      </c>
      <c r="J272" s="32" t="str">
        <f aca="false">IF(A272="","",IFERROR(INDEX(Prêts!$B$5:$B$14,MATCH(A272,Prêts!$A$5:$A$14,0)),"?"))</f>
        <v/>
      </c>
      <c r="K272" s="32" t="n">
        <f aca="false">IF(A272="",0,IF(C272&gt;=IFERROR(INDEX(Biens!$O$5:$O$30,MATCH(J272,Biens!$A$5:$A$30,0)),99999),1,0))</f>
        <v>0</v>
      </c>
    </row>
    <row r="273" customFormat="false" ht="15" hidden="false" customHeight="true" outlineLevel="0" collapsed="false">
      <c r="D273" s="29" t="str">
        <f aca="false">IF(C273="","",YEAR(C273))</f>
        <v/>
      </c>
      <c r="I273" s="33" t="str">
        <f aca="false">IF(C273="","",F273+G273+H273)</f>
        <v/>
      </c>
      <c r="J273" s="32" t="str">
        <f aca="false">IF(A273="","",IFERROR(INDEX(Prêts!$B$5:$B$14,MATCH(A273,Prêts!$A$5:$A$14,0)),"?"))</f>
        <v/>
      </c>
      <c r="K273" s="32" t="n">
        <f aca="false">IF(A273="",0,IF(C273&gt;=IFERROR(INDEX(Biens!$O$5:$O$30,MATCH(J273,Biens!$A$5:$A$30,0)),99999),1,0))</f>
        <v>0</v>
      </c>
    </row>
    <row r="274" customFormat="false" ht="15" hidden="false" customHeight="true" outlineLevel="0" collapsed="false">
      <c r="D274" s="29" t="str">
        <f aca="false">IF(C274="","",YEAR(C274))</f>
        <v/>
      </c>
      <c r="I274" s="33" t="str">
        <f aca="false">IF(C274="","",F274+G274+H274)</f>
        <v/>
      </c>
      <c r="J274" s="32" t="str">
        <f aca="false">IF(A274="","",IFERROR(INDEX(Prêts!$B$5:$B$14,MATCH(A274,Prêts!$A$5:$A$14,0)),"?"))</f>
        <v/>
      </c>
      <c r="K274" s="32" t="n">
        <f aca="false">IF(A274="",0,IF(C274&gt;=IFERROR(INDEX(Biens!$O$5:$O$30,MATCH(J274,Biens!$A$5:$A$30,0)),99999),1,0))</f>
        <v>0</v>
      </c>
    </row>
    <row r="275" customFormat="false" ht="15" hidden="false" customHeight="true" outlineLevel="0" collapsed="false">
      <c r="D275" s="29" t="str">
        <f aca="false">IF(C275="","",YEAR(C275))</f>
        <v/>
      </c>
      <c r="I275" s="33" t="str">
        <f aca="false">IF(C275="","",F275+G275+H275)</f>
        <v/>
      </c>
      <c r="J275" s="32" t="str">
        <f aca="false">IF(A275="","",IFERROR(INDEX(Prêts!$B$5:$B$14,MATCH(A275,Prêts!$A$5:$A$14,0)),"?"))</f>
        <v/>
      </c>
      <c r="K275" s="32" t="n">
        <f aca="false">IF(A275="",0,IF(C275&gt;=IFERROR(INDEX(Biens!$O$5:$O$30,MATCH(J275,Biens!$A$5:$A$30,0)),99999),1,0))</f>
        <v>0</v>
      </c>
    </row>
    <row r="276" customFormat="false" ht="15" hidden="false" customHeight="true" outlineLevel="0" collapsed="false">
      <c r="D276" s="29" t="str">
        <f aca="false">IF(C276="","",YEAR(C276))</f>
        <v/>
      </c>
      <c r="I276" s="33" t="str">
        <f aca="false">IF(C276="","",F276+G276+H276)</f>
        <v/>
      </c>
      <c r="J276" s="32" t="str">
        <f aca="false">IF(A276="","",IFERROR(INDEX(Prêts!$B$5:$B$14,MATCH(A276,Prêts!$A$5:$A$14,0)),"?"))</f>
        <v/>
      </c>
      <c r="K276" s="32" t="n">
        <f aca="false">IF(A276="",0,IF(C276&gt;=IFERROR(INDEX(Biens!$O$5:$O$30,MATCH(J276,Biens!$A$5:$A$30,0)),99999),1,0))</f>
        <v>0</v>
      </c>
    </row>
    <row r="277" customFormat="false" ht="15" hidden="false" customHeight="true" outlineLevel="0" collapsed="false">
      <c r="D277" s="29" t="str">
        <f aca="false">IF(C277="","",YEAR(C277))</f>
        <v/>
      </c>
      <c r="I277" s="33" t="str">
        <f aca="false">IF(C277="","",F277+G277+H277)</f>
        <v/>
      </c>
      <c r="J277" s="32" t="str">
        <f aca="false">IF(A277="","",IFERROR(INDEX(Prêts!$B$5:$B$14,MATCH(A277,Prêts!$A$5:$A$14,0)),"?"))</f>
        <v/>
      </c>
      <c r="K277" s="32" t="n">
        <f aca="false">IF(A277="",0,IF(C277&gt;=IFERROR(INDEX(Biens!$O$5:$O$30,MATCH(J277,Biens!$A$5:$A$30,0)),99999),1,0))</f>
        <v>0</v>
      </c>
    </row>
    <row r="278" customFormat="false" ht="15" hidden="false" customHeight="true" outlineLevel="0" collapsed="false">
      <c r="D278" s="29" t="str">
        <f aca="false">IF(C278="","",YEAR(C278))</f>
        <v/>
      </c>
      <c r="I278" s="33" t="str">
        <f aca="false">IF(C278="","",F278+G278+H278)</f>
        <v/>
      </c>
      <c r="J278" s="32" t="str">
        <f aca="false">IF(A278="","",IFERROR(INDEX(Prêts!$B$5:$B$14,MATCH(A278,Prêts!$A$5:$A$14,0)),"?"))</f>
        <v/>
      </c>
      <c r="K278" s="32" t="n">
        <f aca="false">IF(A278="",0,IF(C278&gt;=IFERROR(INDEX(Biens!$O$5:$O$30,MATCH(J278,Biens!$A$5:$A$30,0)),99999),1,0))</f>
        <v>0</v>
      </c>
    </row>
    <row r="279" customFormat="false" ht="15" hidden="false" customHeight="true" outlineLevel="0" collapsed="false">
      <c r="D279" s="29" t="str">
        <f aca="false">IF(C279="","",YEAR(C279))</f>
        <v/>
      </c>
      <c r="I279" s="33" t="str">
        <f aca="false">IF(C279="","",F279+G279+H279)</f>
        <v/>
      </c>
      <c r="J279" s="32" t="str">
        <f aca="false">IF(A279="","",IFERROR(INDEX(Prêts!$B$5:$B$14,MATCH(A279,Prêts!$A$5:$A$14,0)),"?"))</f>
        <v/>
      </c>
      <c r="K279" s="32" t="n">
        <f aca="false">IF(A279="",0,IF(C279&gt;=IFERROR(INDEX(Biens!$O$5:$O$30,MATCH(J279,Biens!$A$5:$A$30,0)),99999),1,0))</f>
        <v>0</v>
      </c>
    </row>
    <row r="280" customFormat="false" ht="15" hidden="false" customHeight="true" outlineLevel="0" collapsed="false">
      <c r="D280" s="29" t="str">
        <f aca="false">IF(C280="","",YEAR(C280))</f>
        <v/>
      </c>
      <c r="I280" s="33" t="str">
        <f aca="false">IF(C280="","",F280+G280+H280)</f>
        <v/>
      </c>
      <c r="J280" s="32" t="str">
        <f aca="false">IF(A280="","",IFERROR(INDEX(Prêts!$B$5:$B$14,MATCH(A280,Prêts!$A$5:$A$14,0)),"?"))</f>
        <v/>
      </c>
      <c r="K280" s="32" t="n">
        <f aca="false">IF(A280="",0,IF(C280&gt;=IFERROR(INDEX(Biens!$O$5:$O$30,MATCH(J280,Biens!$A$5:$A$30,0)),99999),1,0))</f>
        <v>0</v>
      </c>
    </row>
    <row r="281" customFormat="false" ht="15" hidden="false" customHeight="true" outlineLevel="0" collapsed="false">
      <c r="D281" s="29" t="str">
        <f aca="false">IF(C281="","",YEAR(C281))</f>
        <v/>
      </c>
      <c r="I281" s="33" t="str">
        <f aca="false">IF(C281="","",F281+G281+H281)</f>
        <v/>
      </c>
      <c r="J281" s="32" t="str">
        <f aca="false">IF(A281="","",IFERROR(INDEX(Prêts!$B$5:$B$14,MATCH(A281,Prêts!$A$5:$A$14,0)),"?"))</f>
        <v/>
      </c>
      <c r="K281" s="32" t="n">
        <f aca="false">IF(A281="",0,IF(C281&gt;=IFERROR(INDEX(Biens!$O$5:$O$30,MATCH(J281,Biens!$A$5:$A$30,0)),99999),1,0))</f>
        <v>0</v>
      </c>
    </row>
    <row r="282" customFormat="false" ht="15" hidden="false" customHeight="true" outlineLevel="0" collapsed="false">
      <c r="D282" s="29" t="str">
        <f aca="false">IF(C282="","",YEAR(C282))</f>
        <v/>
      </c>
      <c r="I282" s="33" t="str">
        <f aca="false">IF(C282="","",F282+G282+H282)</f>
        <v/>
      </c>
      <c r="J282" s="32" t="str">
        <f aca="false">IF(A282="","",IFERROR(INDEX(Prêts!$B$5:$B$14,MATCH(A282,Prêts!$A$5:$A$14,0)),"?"))</f>
        <v/>
      </c>
      <c r="K282" s="32" t="n">
        <f aca="false">IF(A282="",0,IF(C282&gt;=IFERROR(INDEX(Biens!$O$5:$O$30,MATCH(J282,Biens!$A$5:$A$30,0)),99999),1,0))</f>
        <v>0</v>
      </c>
    </row>
    <row r="283" customFormat="false" ht="15" hidden="false" customHeight="true" outlineLevel="0" collapsed="false">
      <c r="D283" s="29" t="str">
        <f aca="false">IF(C283="","",YEAR(C283))</f>
        <v/>
      </c>
      <c r="I283" s="33" t="str">
        <f aca="false">IF(C283="","",F283+G283+H283)</f>
        <v/>
      </c>
      <c r="J283" s="32" t="str">
        <f aca="false">IF(A283="","",IFERROR(INDEX(Prêts!$B$5:$B$14,MATCH(A283,Prêts!$A$5:$A$14,0)),"?"))</f>
        <v/>
      </c>
      <c r="K283" s="32" t="n">
        <f aca="false">IF(A283="",0,IF(C283&gt;=IFERROR(INDEX(Biens!$O$5:$O$30,MATCH(J283,Biens!$A$5:$A$30,0)),99999),1,0))</f>
        <v>0</v>
      </c>
    </row>
    <row r="284" customFormat="false" ht="15" hidden="false" customHeight="true" outlineLevel="0" collapsed="false">
      <c r="D284" s="29" t="str">
        <f aca="false">IF(C284="","",YEAR(C284))</f>
        <v/>
      </c>
      <c r="I284" s="33" t="str">
        <f aca="false">IF(C284="","",F284+G284+H284)</f>
        <v/>
      </c>
      <c r="J284" s="32" t="str">
        <f aca="false">IF(A284="","",IFERROR(INDEX(Prêts!$B$5:$B$14,MATCH(A284,Prêts!$A$5:$A$14,0)),"?"))</f>
        <v/>
      </c>
      <c r="K284" s="32" t="n">
        <f aca="false">IF(A284="",0,IF(C284&gt;=IFERROR(INDEX(Biens!$O$5:$O$30,MATCH(J284,Biens!$A$5:$A$30,0)),99999),1,0))</f>
        <v>0</v>
      </c>
    </row>
    <row r="285" customFormat="false" ht="15" hidden="false" customHeight="true" outlineLevel="0" collapsed="false">
      <c r="D285" s="29" t="str">
        <f aca="false">IF(C285="","",YEAR(C285))</f>
        <v/>
      </c>
      <c r="I285" s="33" t="str">
        <f aca="false">IF(C285="","",F285+G285+H285)</f>
        <v/>
      </c>
      <c r="J285" s="32" t="str">
        <f aca="false">IF(A285="","",IFERROR(INDEX(Prêts!$B$5:$B$14,MATCH(A285,Prêts!$A$5:$A$14,0)),"?"))</f>
        <v/>
      </c>
      <c r="K285" s="32" t="n">
        <f aca="false">IF(A285="",0,IF(C285&gt;=IFERROR(INDEX(Biens!$O$5:$O$30,MATCH(J285,Biens!$A$5:$A$30,0)),99999),1,0))</f>
        <v>0</v>
      </c>
    </row>
    <row r="286" customFormat="false" ht="15" hidden="false" customHeight="true" outlineLevel="0" collapsed="false">
      <c r="D286" s="29" t="str">
        <f aca="false">IF(C286="","",YEAR(C286))</f>
        <v/>
      </c>
      <c r="I286" s="33" t="str">
        <f aca="false">IF(C286="","",F286+G286+H286)</f>
        <v/>
      </c>
      <c r="J286" s="32" t="str">
        <f aca="false">IF(A286="","",IFERROR(INDEX(Prêts!$B$5:$B$14,MATCH(A286,Prêts!$A$5:$A$14,0)),"?"))</f>
        <v/>
      </c>
      <c r="K286" s="32" t="n">
        <f aca="false">IF(A286="",0,IF(C286&gt;=IFERROR(INDEX(Biens!$O$5:$O$30,MATCH(J286,Biens!$A$5:$A$30,0)),99999),1,0))</f>
        <v>0</v>
      </c>
    </row>
    <row r="287" customFormat="false" ht="15" hidden="false" customHeight="true" outlineLevel="0" collapsed="false">
      <c r="D287" s="29" t="str">
        <f aca="false">IF(C287="","",YEAR(C287))</f>
        <v/>
      </c>
      <c r="I287" s="33" t="str">
        <f aca="false">IF(C287="","",F287+G287+H287)</f>
        <v/>
      </c>
      <c r="J287" s="32" t="str">
        <f aca="false">IF(A287="","",IFERROR(INDEX(Prêts!$B$5:$B$14,MATCH(A287,Prêts!$A$5:$A$14,0)),"?"))</f>
        <v/>
      </c>
      <c r="K287" s="32" t="n">
        <f aca="false">IF(A287="",0,IF(C287&gt;=IFERROR(INDEX(Biens!$O$5:$O$30,MATCH(J287,Biens!$A$5:$A$30,0)),99999),1,0))</f>
        <v>0</v>
      </c>
    </row>
    <row r="288" customFormat="false" ht="15" hidden="false" customHeight="true" outlineLevel="0" collapsed="false">
      <c r="D288" s="29" t="str">
        <f aca="false">IF(C288="","",YEAR(C288))</f>
        <v/>
      </c>
      <c r="I288" s="33" t="str">
        <f aca="false">IF(C288="","",F288+G288+H288)</f>
        <v/>
      </c>
      <c r="J288" s="32" t="str">
        <f aca="false">IF(A288="","",IFERROR(INDEX(Prêts!$B$5:$B$14,MATCH(A288,Prêts!$A$5:$A$14,0)),"?"))</f>
        <v/>
      </c>
      <c r="K288" s="32" t="n">
        <f aca="false">IF(A288="",0,IF(C288&gt;=IFERROR(INDEX(Biens!$O$5:$O$30,MATCH(J288,Biens!$A$5:$A$30,0)),99999),1,0))</f>
        <v>0</v>
      </c>
    </row>
    <row r="289" customFormat="false" ht="15" hidden="false" customHeight="true" outlineLevel="0" collapsed="false">
      <c r="D289" s="29" t="str">
        <f aca="false">IF(C289="","",YEAR(C289))</f>
        <v/>
      </c>
      <c r="I289" s="33" t="str">
        <f aca="false">IF(C289="","",F289+G289+H289)</f>
        <v/>
      </c>
      <c r="J289" s="32" t="str">
        <f aca="false">IF(A289="","",IFERROR(INDEX(Prêts!$B$5:$B$14,MATCH(A289,Prêts!$A$5:$A$14,0)),"?"))</f>
        <v/>
      </c>
      <c r="K289" s="32" t="n">
        <f aca="false">IF(A289="",0,IF(C289&gt;=IFERROR(INDEX(Biens!$O$5:$O$30,MATCH(J289,Biens!$A$5:$A$30,0)),99999),1,0))</f>
        <v>0</v>
      </c>
    </row>
    <row r="290" customFormat="false" ht="15" hidden="false" customHeight="true" outlineLevel="0" collapsed="false">
      <c r="D290" s="29" t="str">
        <f aca="false">IF(C290="","",YEAR(C290))</f>
        <v/>
      </c>
      <c r="I290" s="33" t="str">
        <f aca="false">IF(C290="","",F290+G290+H290)</f>
        <v/>
      </c>
      <c r="J290" s="32" t="str">
        <f aca="false">IF(A290="","",IFERROR(INDEX(Prêts!$B$5:$B$14,MATCH(A290,Prêts!$A$5:$A$14,0)),"?"))</f>
        <v/>
      </c>
      <c r="K290" s="32" t="n">
        <f aca="false">IF(A290="",0,IF(C290&gt;=IFERROR(INDEX(Biens!$O$5:$O$30,MATCH(J290,Biens!$A$5:$A$30,0)),99999),1,0))</f>
        <v>0</v>
      </c>
    </row>
    <row r="291" customFormat="false" ht="15" hidden="false" customHeight="true" outlineLevel="0" collapsed="false">
      <c r="D291" s="29" t="str">
        <f aca="false">IF(C291="","",YEAR(C291))</f>
        <v/>
      </c>
      <c r="I291" s="33" t="str">
        <f aca="false">IF(C291="","",F291+G291+H291)</f>
        <v/>
      </c>
      <c r="J291" s="32" t="str">
        <f aca="false">IF(A291="","",IFERROR(INDEX(Prêts!$B$5:$B$14,MATCH(A291,Prêts!$A$5:$A$14,0)),"?"))</f>
        <v/>
      </c>
      <c r="K291" s="32" t="n">
        <f aca="false">IF(A291="",0,IF(C291&gt;=IFERROR(INDEX(Biens!$O$5:$O$30,MATCH(J291,Biens!$A$5:$A$30,0)),99999),1,0))</f>
        <v>0</v>
      </c>
    </row>
    <row r="292" customFormat="false" ht="15" hidden="false" customHeight="true" outlineLevel="0" collapsed="false">
      <c r="D292" s="29" t="str">
        <f aca="false">IF(C292="","",YEAR(C292))</f>
        <v/>
      </c>
      <c r="I292" s="33" t="str">
        <f aca="false">IF(C292="","",F292+G292+H292)</f>
        <v/>
      </c>
      <c r="J292" s="32" t="str">
        <f aca="false">IF(A292="","",IFERROR(INDEX(Prêts!$B$5:$B$14,MATCH(A292,Prêts!$A$5:$A$14,0)),"?"))</f>
        <v/>
      </c>
      <c r="K292" s="32" t="n">
        <f aca="false">IF(A292="",0,IF(C292&gt;=IFERROR(INDEX(Biens!$O$5:$O$30,MATCH(J292,Biens!$A$5:$A$30,0)),99999),1,0))</f>
        <v>0</v>
      </c>
    </row>
    <row r="293" customFormat="false" ht="15" hidden="false" customHeight="true" outlineLevel="0" collapsed="false">
      <c r="D293" s="29" t="str">
        <f aca="false">IF(C293="","",YEAR(C293))</f>
        <v/>
      </c>
      <c r="I293" s="33" t="str">
        <f aca="false">IF(C293="","",F293+G293+H293)</f>
        <v/>
      </c>
      <c r="J293" s="32" t="str">
        <f aca="false">IF(A293="","",IFERROR(INDEX(Prêts!$B$5:$B$14,MATCH(A293,Prêts!$A$5:$A$14,0)),"?"))</f>
        <v/>
      </c>
      <c r="K293" s="32" t="n">
        <f aca="false">IF(A293="",0,IF(C293&gt;=IFERROR(INDEX(Biens!$O$5:$O$30,MATCH(J293,Biens!$A$5:$A$30,0)),99999),1,0))</f>
        <v>0</v>
      </c>
    </row>
    <row r="294" customFormat="false" ht="15" hidden="false" customHeight="true" outlineLevel="0" collapsed="false">
      <c r="D294" s="29" t="str">
        <f aca="false">IF(C294="","",YEAR(C294))</f>
        <v/>
      </c>
      <c r="I294" s="33" t="str">
        <f aca="false">IF(C294="","",F294+G294+H294)</f>
        <v/>
      </c>
      <c r="J294" s="32" t="str">
        <f aca="false">IF(A294="","",IFERROR(INDEX(Prêts!$B$5:$B$14,MATCH(A294,Prêts!$A$5:$A$14,0)),"?"))</f>
        <v/>
      </c>
      <c r="K294" s="32" t="n">
        <f aca="false">IF(A294="",0,IF(C294&gt;=IFERROR(INDEX(Biens!$O$5:$O$30,MATCH(J294,Biens!$A$5:$A$30,0)),99999),1,0))</f>
        <v>0</v>
      </c>
    </row>
    <row r="295" customFormat="false" ht="15" hidden="false" customHeight="true" outlineLevel="0" collapsed="false">
      <c r="D295" s="29" t="str">
        <f aca="false">IF(C295="","",YEAR(C295))</f>
        <v/>
      </c>
      <c r="I295" s="33" t="str">
        <f aca="false">IF(C295="","",F295+G295+H295)</f>
        <v/>
      </c>
      <c r="J295" s="32" t="str">
        <f aca="false">IF(A295="","",IFERROR(INDEX(Prêts!$B$5:$B$14,MATCH(A295,Prêts!$A$5:$A$14,0)),"?"))</f>
        <v/>
      </c>
      <c r="K295" s="32" t="n">
        <f aca="false">IF(A295="",0,IF(C295&gt;=IFERROR(INDEX(Biens!$O$5:$O$30,MATCH(J295,Biens!$A$5:$A$30,0)),99999),1,0))</f>
        <v>0</v>
      </c>
    </row>
    <row r="296" customFormat="false" ht="15" hidden="false" customHeight="true" outlineLevel="0" collapsed="false">
      <c r="D296" s="29" t="str">
        <f aca="false">IF(C296="","",YEAR(C296))</f>
        <v/>
      </c>
      <c r="I296" s="33" t="str">
        <f aca="false">IF(C296="","",F296+G296+H296)</f>
        <v/>
      </c>
      <c r="J296" s="32" t="str">
        <f aca="false">IF(A296="","",IFERROR(INDEX(Prêts!$B$5:$B$14,MATCH(A296,Prêts!$A$5:$A$14,0)),"?"))</f>
        <v/>
      </c>
      <c r="K296" s="32" t="n">
        <f aca="false">IF(A296="",0,IF(C296&gt;=IFERROR(INDEX(Biens!$O$5:$O$30,MATCH(J296,Biens!$A$5:$A$30,0)),99999),1,0))</f>
        <v>0</v>
      </c>
    </row>
    <row r="297" customFormat="false" ht="15" hidden="false" customHeight="true" outlineLevel="0" collapsed="false">
      <c r="D297" s="29" t="str">
        <f aca="false">IF(C297="","",YEAR(C297))</f>
        <v/>
      </c>
      <c r="I297" s="33" t="str">
        <f aca="false">IF(C297="","",F297+G297+H297)</f>
        <v/>
      </c>
      <c r="J297" s="32" t="str">
        <f aca="false">IF(A297="","",IFERROR(INDEX(Prêts!$B$5:$B$14,MATCH(A297,Prêts!$A$5:$A$14,0)),"?"))</f>
        <v/>
      </c>
      <c r="K297" s="32" t="n">
        <f aca="false">IF(A297="",0,IF(C297&gt;=IFERROR(INDEX(Biens!$O$5:$O$30,MATCH(J297,Biens!$A$5:$A$30,0)),99999),1,0))</f>
        <v>0</v>
      </c>
    </row>
    <row r="298" customFormat="false" ht="15" hidden="false" customHeight="true" outlineLevel="0" collapsed="false">
      <c r="D298" s="29" t="str">
        <f aca="false">IF(C298="","",YEAR(C298))</f>
        <v/>
      </c>
      <c r="I298" s="33" t="str">
        <f aca="false">IF(C298="","",F298+G298+H298)</f>
        <v/>
      </c>
      <c r="J298" s="32" t="str">
        <f aca="false">IF(A298="","",IFERROR(INDEX(Prêts!$B$5:$B$14,MATCH(A298,Prêts!$A$5:$A$14,0)),"?"))</f>
        <v/>
      </c>
      <c r="K298" s="32" t="n">
        <f aca="false">IF(A298="",0,IF(C298&gt;=IFERROR(INDEX(Biens!$O$5:$O$30,MATCH(J298,Biens!$A$5:$A$30,0)),99999),1,0))</f>
        <v>0</v>
      </c>
    </row>
    <row r="299" customFormat="false" ht="15" hidden="false" customHeight="true" outlineLevel="0" collapsed="false">
      <c r="D299" s="29" t="str">
        <f aca="false">IF(C299="","",YEAR(C299))</f>
        <v/>
      </c>
      <c r="I299" s="33" t="str">
        <f aca="false">IF(C299="","",F299+G299+H299)</f>
        <v/>
      </c>
      <c r="J299" s="32" t="str">
        <f aca="false">IF(A299="","",IFERROR(INDEX(Prêts!$B$5:$B$14,MATCH(A299,Prêts!$A$5:$A$14,0)),"?"))</f>
        <v/>
      </c>
      <c r="K299" s="32" t="n">
        <f aca="false">IF(A299="",0,IF(C299&gt;=IFERROR(INDEX(Biens!$O$5:$O$30,MATCH(J299,Biens!$A$5:$A$30,0)),99999),1,0))</f>
        <v>0</v>
      </c>
    </row>
    <row r="300" customFormat="false" ht="15" hidden="false" customHeight="true" outlineLevel="0" collapsed="false">
      <c r="D300" s="29" t="str">
        <f aca="false">IF(C300="","",YEAR(C300))</f>
        <v/>
      </c>
      <c r="I300" s="33" t="str">
        <f aca="false">IF(C300="","",F300+G300+H300)</f>
        <v/>
      </c>
      <c r="J300" s="32" t="str">
        <f aca="false">IF(A300="","",IFERROR(INDEX(Prêts!$B$5:$B$14,MATCH(A300,Prêts!$A$5:$A$14,0)),"?"))</f>
        <v/>
      </c>
      <c r="K300" s="32" t="n">
        <f aca="false">IF(A300="",0,IF(C300&gt;=IFERROR(INDEX(Biens!$O$5:$O$30,MATCH(J300,Biens!$A$5:$A$30,0)),99999),1,0))</f>
        <v>0</v>
      </c>
    </row>
  </sheetData>
  <autoFilter ref="A4:K3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M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34"/>
    <col collapsed="false" customWidth="true" hidden="false" outlineLevel="0" max="4" min="3" style="1" width="13"/>
    <col collapsed="false" customWidth="true" hidden="false" outlineLevel="0" max="5" min="5" style="1" width="9"/>
    <col collapsed="false" customWidth="true" hidden="false" outlineLevel="0" max="7" min="6" style="1" width="13"/>
    <col collapsed="false" customWidth="true" hidden="false" outlineLevel="0" max="12" min="8" style="1" width="11"/>
    <col collapsed="false" customWidth="true" hidden="false" outlineLevel="0" max="13" min="13" style="1" width="90"/>
  </cols>
  <sheetData>
    <row r="1" customFormat="false" ht="19.5" hidden="false" customHeight="true" outlineLevel="0" collapsed="false">
      <c r="A1" s="2" t="s">
        <v>429</v>
      </c>
    </row>
    <row r="2" customFormat="false" ht="15" hidden="false" customHeight="true" outlineLevel="0" collapsed="false">
      <c r="A2" s="3" t="s">
        <v>430</v>
      </c>
    </row>
    <row r="4" customFormat="false" ht="30" hidden="false" customHeight="true" outlineLevel="0" collapsed="false">
      <c r="A4" s="16" t="s">
        <v>57</v>
      </c>
      <c r="B4" s="16" t="s">
        <v>431</v>
      </c>
      <c r="C4" s="16" t="s">
        <v>432</v>
      </c>
      <c r="D4" s="16" t="s">
        <v>433</v>
      </c>
      <c r="E4" s="16" t="s">
        <v>434</v>
      </c>
      <c r="F4" s="16" t="s">
        <v>435</v>
      </c>
      <c r="G4" s="16" t="s">
        <v>436</v>
      </c>
      <c r="H4" s="42" t="n">
        <v>2024</v>
      </c>
      <c r="I4" s="42" t="n">
        <v>2025</v>
      </c>
      <c r="J4" s="42" t="n">
        <v>2026</v>
      </c>
      <c r="K4" s="42" t="n">
        <v>2027</v>
      </c>
      <c r="L4" s="42" t="n">
        <v>2028</v>
      </c>
      <c r="M4" s="16" t="s">
        <v>125</v>
      </c>
    </row>
    <row r="5" customFormat="false" ht="15" hidden="false" customHeight="true" outlineLevel="0" collapsed="false">
      <c r="A5" s="11" t="s">
        <v>58</v>
      </c>
      <c r="B5" s="11" t="s">
        <v>437</v>
      </c>
      <c r="C5" s="13" t="n">
        <v>45430</v>
      </c>
      <c r="D5" s="24" t="n">
        <v>86490</v>
      </c>
      <c r="E5" s="43" t="n">
        <v>0</v>
      </c>
      <c r="F5" s="21" t="n">
        <f aca="false">IF(OR(A5="",E5=0),0,D5/E5)</f>
        <v>0</v>
      </c>
      <c r="G5" s="44" t="str">
        <f aca="false">IF(OR(A5="",E5=0),"",EDATE(C5,ROUND(E5*12,0))-1)</f>
        <v/>
      </c>
      <c r="H5" s="21" t="n">
        <f aca="false">IF(OR($A5="",$E5=0),0,MIN($F5,MAX(0,MIN(DATE(H$4,12,31),$G5)-MAX(DATE(H$4,1,1),$C5)+1)*$F5/365))</f>
        <v>0</v>
      </c>
      <c r="I5" s="21" t="n">
        <f aca="false">IF(OR($A5="",$E5=0),0,MIN($F5,MAX(0,MIN(DATE(I$4,12,31),$G5)-MAX(DATE(I$4,1,1),$C5)+1)*$F5/365))</f>
        <v>0</v>
      </c>
      <c r="J5" s="21" t="n">
        <f aca="false">IF(OR($A5="",$E5=0),0,MIN($F5,MAX(0,MIN(DATE(J$4,12,31),$G5)-MAX(DATE(J$4,1,1),$C5)+1)*$F5/365))</f>
        <v>0</v>
      </c>
      <c r="K5" s="21" t="n">
        <f aca="false">IF(OR($A5="",$E5=0),0,MIN($F5,MAX(0,MIN(DATE(K$4,12,31),$G5)-MAX(DATE(K$4,1,1),$C5)+1)*$F5/365))</f>
        <v>0</v>
      </c>
      <c r="L5" s="21" t="n">
        <f aca="false">IF(OR($A5="",$E5=0),0,MIN($F5,MAX(0,MIN(DATE(L$4,12,31),$G5)-MAX(DATE(L$4,1,1),$C5)+1)*$F5/365))</f>
        <v>0</v>
      </c>
      <c r="M5" s="45" t="s">
        <v>438</v>
      </c>
    </row>
    <row r="6" customFormat="false" ht="15" hidden="false" customHeight="true" outlineLevel="0" collapsed="false">
      <c r="A6" s="11" t="s">
        <v>58</v>
      </c>
      <c r="B6" s="11" t="s">
        <v>439</v>
      </c>
      <c r="C6" s="13" t="n">
        <v>45430</v>
      </c>
      <c r="D6" s="24" t="n">
        <v>201810</v>
      </c>
      <c r="E6" s="43" t="n">
        <v>22.3880751001273</v>
      </c>
      <c r="F6" s="21" t="n">
        <f aca="false">IF(OR(A6="",E6=0),0,D6/E6)</f>
        <v>9014.17380000001</v>
      </c>
      <c r="G6" s="44" t="n">
        <f aca="false">IF(OR(A6="",E6=0),"",EDATE(C6,ROUND(E6*12,0))-1)</f>
        <v>53617</v>
      </c>
      <c r="H6" s="21" t="n">
        <f aca="false">IF(OR($A6="",$E6=0),0,MIN($F6,MAX(0,MIN(DATE(H$4,12,31),$G6)-MAX(DATE(H$4,1,1),$C6)+1)*$F6/365))</f>
        <v>5630.77157917809</v>
      </c>
      <c r="I6" s="21" t="n">
        <f aca="false">IF(OR($A6="",$E6=0),0,MIN($F6,MAX(0,MIN(DATE(I$4,12,31),$G6)-MAX(DATE(I$4,1,1),$C6)+1)*$F6/365))</f>
        <v>9014.17380000001</v>
      </c>
      <c r="J6" s="21" t="n">
        <f aca="false">IF(OR($A6="",$E6=0),0,MIN($F6,MAX(0,MIN(DATE(J$4,12,31),$G6)-MAX(DATE(J$4,1,1),$C6)+1)*$F6/365))</f>
        <v>9014.17380000001</v>
      </c>
      <c r="K6" s="21" t="n">
        <f aca="false">IF(OR($A6="",$E6=0),0,MIN($F6,MAX(0,MIN(DATE(K$4,12,31),$G6)-MAX(DATE(K$4,1,1),$C6)+1)*$F6/365))</f>
        <v>9014.17380000001</v>
      </c>
      <c r="L6" s="21" t="n">
        <f aca="false">IF(OR($A6="",$E6=0),0,MIN($F6,MAX(0,MIN(DATE(L$4,12,31),$G6)-MAX(DATE(L$4,1,1),$C6)+1)*$F6/365))</f>
        <v>9014.17380000001</v>
      </c>
      <c r="M6" s="45" t="s">
        <v>440</v>
      </c>
    </row>
    <row r="7" customFormat="false" ht="15" hidden="false" customHeight="true" outlineLevel="0" collapsed="false">
      <c r="A7" s="11" t="s">
        <v>58</v>
      </c>
      <c r="B7" s="11" t="s">
        <v>441</v>
      </c>
      <c r="C7" s="13" t="n">
        <v>45454</v>
      </c>
      <c r="D7" s="24" t="n">
        <v>1076.01</v>
      </c>
      <c r="E7" s="43" t="n">
        <v>5</v>
      </c>
      <c r="F7" s="21" t="n">
        <f aca="false">IF(OR(A7="",E7=0),0,D7/E7)</f>
        <v>215.202</v>
      </c>
      <c r="G7" s="44" t="n">
        <f aca="false">IF(OR(A7="",E7=0),"",EDATE(C7,ROUND(E7*12,0))-1)</f>
        <v>47279</v>
      </c>
      <c r="H7" s="21" t="n">
        <f aca="false">IF(OR($A7="",$E7=0),0,MIN($F7,MAX(0,MIN(DATE(H$4,12,31),$G7)-MAX(DATE(H$4,1,1),$C7)+1)*$F7/365))</f>
        <v>120.277282191781</v>
      </c>
      <c r="I7" s="21" t="n">
        <f aca="false">IF(OR($A7="",$E7=0),0,MIN($F7,MAX(0,MIN(DATE(I$4,12,31),$G7)-MAX(DATE(I$4,1,1),$C7)+1)*$F7/365))</f>
        <v>215.202</v>
      </c>
      <c r="J7" s="21" t="n">
        <f aca="false">IF(OR($A7="",$E7=0),0,MIN($F7,MAX(0,MIN(DATE(J$4,12,31),$G7)-MAX(DATE(J$4,1,1),$C7)+1)*$F7/365))</f>
        <v>215.202</v>
      </c>
      <c r="K7" s="21" t="n">
        <f aca="false">IF(OR($A7="",$E7=0),0,MIN($F7,MAX(0,MIN(DATE(K$4,12,31),$G7)-MAX(DATE(K$4,1,1),$C7)+1)*$F7/365))</f>
        <v>215.202</v>
      </c>
      <c r="L7" s="21" t="n">
        <f aca="false">IF(OR($A7="",$E7=0),0,MIN($F7,MAX(0,MIN(DATE(L$4,12,31),$G7)-MAX(DATE(L$4,1,1),$C7)+1)*$F7/365))</f>
        <v>215.202</v>
      </c>
      <c r="M7" s="45" t="s">
        <v>442</v>
      </c>
    </row>
    <row r="8" customFormat="false" ht="15" hidden="false" customHeight="true" outlineLevel="0" collapsed="false">
      <c r="A8" s="11" t="s">
        <v>58</v>
      </c>
      <c r="B8" s="11" t="s">
        <v>443</v>
      </c>
      <c r="C8" s="13" t="n">
        <v>45867</v>
      </c>
      <c r="D8" s="24" t="n">
        <v>1590.11</v>
      </c>
      <c r="E8" s="43" t="n">
        <v>10</v>
      </c>
      <c r="F8" s="21" t="n">
        <f aca="false">IF(OR(A8="",E8=0),0,D8/E8)</f>
        <v>159.011</v>
      </c>
      <c r="G8" s="44" t="n">
        <f aca="false">IF(OR(A8="",E8=0),"",EDATE(C8,ROUND(E8*12,0))-1)</f>
        <v>49518</v>
      </c>
      <c r="H8" s="21" t="n">
        <f aca="false">IF(OR($A8="",$E8=0),0,MIN($F8,MAX(0,MIN(DATE(H$4,12,31),$G8)-MAX(DATE(H$4,1,1),$C8)+1)*$F8/365))</f>
        <v>0</v>
      </c>
      <c r="I8" s="21" t="n">
        <f aca="false">IF(OR($A8="",$E8=0),0,MIN($F8,MAX(0,MIN(DATE(I$4,12,31),$G8)-MAX(DATE(I$4,1,1),$C8)+1)*$F8/365))</f>
        <v>67.9608657534247</v>
      </c>
      <c r="J8" s="21" t="n">
        <f aca="false">IF(OR($A8="",$E8=0),0,MIN($F8,MAX(0,MIN(DATE(J$4,12,31),$G8)-MAX(DATE(J$4,1,1),$C8)+1)*$F8/365))</f>
        <v>159.011</v>
      </c>
      <c r="K8" s="21" t="n">
        <f aca="false">IF(OR($A8="",$E8=0),0,MIN($F8,MAX(0,MIN(DATE(K$4,12,31),$G8)-MAX(DATE(K$4,1,1),$C8)+1)*$F8/365))</f>
        <v>159.011</v>
      </c>
      <c r="L8" s="21" t="n">
        <f aca="false">IF(OR($A8="",$E8=0),0,MIN($F8,MAX(0,MIN(DATE(L$4,12,31),$G8)-MAX(DATE(L$4,1,1),$C8)+1)*$F8/365))</f>
        <v>159.011</v>
      </c>
      <c r="M8" s="45" t="s">
        <v>444</v>
      </c>
    </row>
    <row r="9" customFormat="false" ht="15" hidden="false" customHeight="true" outlineLevel="0" collapsed="false">
      <c r="A9" s="11" t="s">
        <v>58</v>
      </c>
      <c r="B9" s="11" t="s">
        <v>445</v>
      </c>
      <c r="C9" s="13" t="n">
        <v>43049</v>
      </c>
      <c r="D9" s="24" t="n">
        <v>7440</v>
      </c>
      <c r="E9" s="43" t="n">
        <v>0</v>
      </c>
      <c r="F9" s="21" t="n">
        <f aca="false">IF(OR(A9="",E9=0),0,D9/E9)</f>
        <v>0</v>
      </c>
      <c r="G9" s="44" t="str">
        <f aca="false">IF(OR(A9="",E9=0),"",EDATE(C9,ROUND(E9*12,0))-1)</f>
        <v/>
      </c>
      <c r="H9" s="21" t="n">
        <f aca="false">IF(OR($A9="",$E9=0),0,MIN($F9,MAX(0,MIN(DATE(H$4,12,31),$G9)-MAX(DATE(H$4,1,1),$C9)+1)*$F9/365))</f>
        <v>0</v>
      </c>
      <c r="I9" s="21" t="n">
        <f aca="false">IF(OR($A9="",$E9=0),0,MIN($F9,MAX(0,MIN(DATE(I$4,12,31),$G9)-MAX(DATE(I$4,1,1),$C9)+1)*$F9/365))</f>
        <v>0</v>
      </c>
      <c r="J9" s="21" t="n">
        <f aca="false">IF(OR($A9="",$E9=0),0,MIN($F9,MAX(0,MIN(DATE(J$4,12,31),$G9)-MAX(DATE(J$4,1,1),$C9)+1)*$F9/365))</f>
        <v>0</v>
      </c>
      <c r="K9" s="21" t="n">
        <f aca="false">IF(OR($A9="",$E9=0),0,MIN($F9,MAX(0,MIN(DATE(K$4,12,31),$G9)-MAX(DATE(K$4,1,1),$C9)+1)*$F9/365))</f>
        <v>0</v>
      </c>
      <c r="L9" s="21" t="n">
        <f aca="false">IF(OR($A9="",$E9=0),0,MIN($F9,MAX(0,MIN(DATE(L$4,12,31),$G9)-MAX(DATE(L$4,1,1),$C9)+1)*$F9/365))</f>
        <v>0</v>
      </c>
      <c r="M9" s="45" t="s">
        <v>446</v>
      </c>
    </row>
    <row r="10" customFormat="false" ht="15" hidden="false" customHeight="true" outlineLevel="0" collapsed="false">
      <c r="A10" s="11"/>
      <c r="B10" s="11"/>
      <c r="C10" s="13"/>
      <c r="D10" s="24"/>
      <c r="E10" s="43"/>
      <c r="F10" s="21" t="n">
        <f aca="false">IF(OR(A10="",E10=0),0,D10/E10)</f>
        <v>0</v>
      </c>
      <c r="G10" s="44" t="str">
        <f aca="false">IF(OR(A10="",E10=0),"",EDATE(C10,ROUND(E10*12,0))-1)</f>
        <v/>
      </c>
      <c r="H10" s="21" t="n">
        <f aca="false">IF(OR($A10="",$E10=0),0,MIN($F10,MAX(0,MIN(DATE(H$4,12,31),$G10)-MAX(DATE(H$4,1,1),$C10)+1)*$F10/365))</f>
        <v>0</v>
      </c>
      <c r="I10" s="21" t="n">
        <f aca="false">IF(OR($A10="",$E10=0),0,MIN($F10,MAX(0,MIN(DATE(I$4,12,31),$G10)-MAX(DATE(I$4,1,1),$C10)+1)*$F10/365))</f>
        <v>0</v>
      </c>
      <c r="J10" s="21" t="n">
        <f aca="false">IF(OR($A10="",$E10=0),0,MIN($F10,MAX(0,MIN(DATE(J$4,12,31),$G10)-MAX(DATE(J$4,1,1),$C10)+1)*$F10/365))</f>
        <v>0</v>
      </c>
      <c r="K10" s="21" t="n">
        <f aca="false">IF(OR($A10="",$E10=0),0,MIN($F10,MAX(0,MIN(DATE(K$4,12,31),$G10)-MAX(DATE(K$4,1,1),$C10)+1)*$F10/365))</f>
        <v>0</v>
      </c>
      <c r="L10" s="21" t="n">
        <f aca="false">IF(OR($A10="",$E10=0),0,MIN($F10,MAX(0,MIN(DATE(L$4,12,31),$G10)-MAX(DATE(L$4,1,1),$C10)+1)*$F10/365))</f>
        <v>0</v>
      </c>
    </row>
    <row r="11" customFormat="false" ht="15" hidden="false" customHeight="true" outlineLevel="0" collapsed="false">
      <c r="A11" s="11"/>
      <c r="B11" s="11"/>
      <c r="C11" s="13"/>
      <c r="D11" s="24"/>
      <c r="E11" s="43"/>
      <c r="F11" s="21" t="n">
        <f aca="false">IF(OR(A11="",E11=0),0,D11/E11)</f>
        <v>0</v>
      </c>
      <c r="G11" s="44" t="str">
        <f aca="false">IF(OR(A11="",E11=0),"",EDATE(C11,ROUND(E11*12,0))-1)</f>
        <v/>
      </c>
      <c r="H11" s="21" t="n">
        <f aca="false">IF(OR($A11="",$E11=0),0,MIN($F11,MAX(0,MIN(DATE(H$4,12,31),$G11)-MAX(DATE(H$4,1,1),$C11)+1)*$F11/365))</f>
        <v>0</v>
      </c>
      <c r="I11" s="21" t="n">
        <f aca="false">IF(OR($A11="",$E11=0),0,MIN($F11,MAX(0,MIN(DATE(I$4,12,31),$G11)-MAX(DATE(I$4,1,1),$C11)+1)*$F11/365))</f>
        <v>0</v>
      </c>
      <c r="J11" s="21" t="n">
        <f aca="false">IF(OR($A11="",$E11=0),0,MIN($F11,MAX(0,MIN(DATE(J$4,12,31),$G11)-MAX(DATE(J$4,1,1),$C11)+1)*$F11/365))</f>
        <v>0</v>
      </c>
      <c r="K11" s="21" t="n">
        <f aca="false">IF(OR($A11="",$E11=0),0,MIN($F11,MAX(0,MIN(DATE(K$4,12,31),$G11)-MAX(DATE(K$4,1,1),$C11)+1)*$F11/365))</f>
        <v>0</v>
      </c>
      <c r="L11" s="21" t="n">
        <f aca="false">IF(OR($A11="",$E11=0),0,MIN($F11,MAX(0,MIN(DATE(L$4,12,31),$G11)-MAX(DATE(L$4,1,1),$C11)+1)*$F11/365))</f>
        <v>0</v>
      </c>
    </row>
    <row r="12" customFormat="false" ht="15" hidden="false" customHeight="true" outlineLevel="0" collapsed="false">
      <c r="A12" s="11"/>
      <c r="B12" s="11"/>
      <c r="C12" s="13"/>
      <c r="D12" s="24"/>
      <c r="E12" s="43"/>
      <c r="F12" s="21" t="n">
        <f aca="false">IF(OR(A12="",E12=0),0,D12/E12)</f>
        <v>0</v>
      </c>
      <c r="G12" s="44" t="str">
        <f aca="false">IF(OR(A12="",E12=0),"",EDATE(C12,ROUND(E12*12,0))-1)</f>
        <v/>
      </c>
      <c r="H12" s="21" t="n">
        <f aca="false">IF(OR($A12="",$E12=0),0,MIN($F12,MAX(0,MIN(DATE(H$4,12,31),$G12)-MAX(DATE(H$4,1,1),$C12)+1)*$F12/365))</f>
        <v>0</v>
      </c>
      <c r="I12" s="21" t="n">
        <f aca="false">IF(OR($A12="",$E12=0),0,MIN($F12,MAX(0,MIN(DATE(I$4,12,31),$G12)-MAX(DATE(I$4,1,1),$C12)+1)*$F12/365))</f>
        <v>0</v>
      </c>
      <c r="J12" s="21" t="n">
        <f aca="false">IF(OR($A12="",$E12=0),0,MIN($F12,MAX(0,MIN(DATE(J$4,12,31),$G12)-MAX(DATE(J$4,1,1),$C12)+1)*$F12/365))</f>
        <v>0</v>
      </c>
      <c r="K12" s="21" t="n">
        <f aca="false">IF(OR($A12="",$E12=0),0,MIN($F12,MAX(0,MIN(DATE(K$4,12,31),$G12)-MAX(DATE(K$4,1,1),$C12)+1)*$F12/365))</f>
        <v>0</v>
      </c>
      <c r="L12" s="21" t="n">
        <f aca="false">IF(OR($A12="",$E12=0),0,MIN($F12,MAX(0,MIN(DATE(L$4,12,31),$G12)-MAX(DATE(L$4,1,1),$C12)+1)*$F12/365))</f>
        <v>0</v>
      </c>
    </row>
    <row r="13" customFormat="false" ht="15" hidden="false" customHeight="true" outlineLevel="0" collapsed="false">
      <c r="A13" s="11"/>
      <c r="B13" s="11"/>
      <c r="C13" s="13"/>
      <c r="D13" s="24"/>
      <c r="E13" s="43"/>
      <c r="F13" s="21" t="n">
        <f aca="false">IF(OR(A13="",E13=0),0,D13/E13)</f>
        <v>0</v>
      </c>
      <c r="G13" s="44" t="str">
        <f aca="false">IF(OR(A13="",E13=0),"",EDATE(C13,ROUND(E13*12,0))-1)</f>
        <v/>
      </c>
      <c r="H13" s="21" t="n">
        <f aca="false">IF(OR($A13="",$E13=0),0,MIN($F13,MAX(0,MIN(DATE(H$4,12,31),$G13)-MAX(DATE(H$4,1,1),$C13)+1)*$F13/365))</f>
        <v>0</v>
      </c>
      <c r="I13" s="21" t="n">
        <f aca="false">IF(OR($A13="",$E13=0),0,MIN($F13,MAX(0,MIN(DATE(I$4,12,31),$G13)-MAX(DATE(I$4,1,1),$C13)+1)*$F13/365))</f>
        <v>0</v>
      </c>
      <c r="J13" s="21" t="n">
        <f aca="false">IF(OR($A13="",$E13=0),0,MIN($F13,MAX(0,MIN(DATE(J$4,12,31),$G13)-MAX(DATE(J$4,1,1),$C13)+1)*$F13/365))</f>
        <v>0</v>
      </c>
      <c r="K13" s="21" t="n">
        <f aca="false">IF(OR($A13="",$E13=0),0,MIN($F13,MAX(0,MIN(DATE(K$4,12,31),$G13)-MAX(DATE(K$4,1,1),$C13)+1)*$F13/365))</f>
        <v>0</v>
      </c>
      <c r="L13" s="21" t="n">
        <f aca="false">IF(OR($A13="",$E13=0),0,MIN($F13,MAX(0,MIN(DATE(L$4,12,31),$G13)-MAX(DATE(L$4,1,1),$C13)+1)*$F13/365))</f>
        <v>0</v>
      </c>
    </row>
    <row r="14" customFormat="false" ht="15" hidden="false" customHeight="true" outlineLevel="0" collapsed="false">
      <c r="A14" s="11"/>
      <c r="B14" s="11"/>
      <c r="C14" s="13"/>
      <c r="D14" s="24"/>
      <c r="E14" s="43"/>
      <c r="F14" s="21" t="n">
        <f aca="false">IF(OR(A14="",E14=0),0,D14/E14)</f>
        <v>0</v>
      </c>
      <c r="G14" s="44" t="str">
        <f aca="false">IF(OR(A14="",E14=0),"",EDATE(C14,ROUND(E14*12,0))-1)</f>
        <v/>
      </c>
      <c r="H14" s="21" t="n">
        <f aca="false">IF(OR($A14="",$E14=0),0,MIN($F14,MAX(0,MIN(DATE(H$4,12,31),$G14)-MAX(DATE(H$4,1,1),$C14)+1)*$F14/365))</f>
        <v>0</v>
      </c>
      <c r="I14" s="21" t="n">
        <f aca="false">IF(OR($A14="",$E14=0),0,MIN($F14,MAX(0,MIN(DATE(I$4,12,31),$G14)-MAX(DATE(I$4,1,1),$C14)+1)*$F14/365))</f>
        <v>0</v>
      </c>
      <c r="J14" s="21" t="n">
        <f aca="false">IF(OR($A14="",$E14=0),0,MIN($F14,MAX(0,MIN(DATE(J$4,12,31),$G14)-MAX(DATE(J$4,1,1),$C14)+1)*$F14/365))</f>
        <v>0</v>
      </c>
      <c r="K14" s="21" t="n">
        <f aca="false">IF(OR($A14="",$E14=0),0,MIN($F14,MAX(0,MIN(DATE(K$4,12,31),$G14)-MAX(DATE(K$4,1,1),$C14)+1)*$F14/365))</f>
        <v>0</v>
      </c>
      <c r="L14" s="21" t="n">
        <f aca="false">IF(OR($A14="",$E14=0),0,MIN($F14,MAX(0,MIN(DATE(L$4,12,31),$G14)-MAX(DATE(L$4,1,1),$C14)+1)*$F14/365))</f>
        <v>0</v>
      </c>
    </row>
    <row r="15" customFormat="false" ht="15" hidden="false" customHeight="true" outlineLevel="0" collapsed="false">
      <c r="A15" s="11"/>
      <c r="B15" s="11"/>
      <c r="C15" s="13"/>
      <c r="D15" s="24"/>
      <c r="E15" s="43"/>
      <c r="F15" s="21" t="n">
        <f aca="false">IF(OR(A15="",E15=0),0,D15/E15)</f>
        <v>0</v>
      </c>
      <c r="G15" s="44" t="str">
        <f aca="false">IF(OR(A15="",E15=0),"",EDATE(C15,ROUND(E15*12,0))-1)</f>
        <v/>
      </c>
      <c r="H15" s="21" t="n">
        <f aca="false">IF(OR($A15="",$E15=0),0,MIN($F15,MAX(0,MIN(DATE(H$4,12,31),$G15)-MAX(DATE(H$4,1,1),$C15)+1)*$F15/365))</f>
        <v>0</v>
      </c>
      <c r="I15" s="21" t="n">
        <f aca="false">IF(OR($A15="",$E15=0),0,MIN($F15,MAX(0,MIN(DATE(I$4,12,31),$G15)-MAX(DATE(I$4,1,1),$C15)+1)*$F15/365))</f>
        <v>0</v>
      </c>
      <c r="J15" s="21" t="n">
        <f aca="false">IF(OR($A15="",$E15=0),0,MIN($F15,MAX(0,MIN(DATE(J$4,12,31),$G15)-MAX(DATE(J$4,1,1),$C15)+1)*$F15/365))</f>
        <v>0</v>
      </c>
      <c r="K15" s="21" t="n">
        <f aca="false">IF(OR($A15="",$E15=0),0,MIN($F15,MAX(0,MIN(DATE(K$4,12,31),$G15)-MAX(DATE(K$4,1,1),$C15)+1)*$F15/365))</f>
        <v>0</v>
      </c>
      <c r="L15" s="21" t="n">
        <f aca="false">IF(OR($A15="",$E15=0),0,MIN($F15,MAX(0,MIN(DATE(L$4,12,31),$G15)-MAX(DATE(L$4,1,1),$C15)+1)*$F15/365))</f>
        <v>0</v>
      </c>
    </row>
    <row r="16" customFormat="false" ht="15" hidden="false" customHeight="true" outlineLevel="0" collapsed="false">
      <c r="A16" s="11"/>
      <c r="B16" s="11"/>
      <c r="C16" s="13"/>
      <c r="D16" s="24"/>
      <c r="E16" s="43"/>
      <c r="F16" s="21" t="n">
        <f aca="false">IF(OR(A16="",E16=0),0,D16/E16)</f>
        <v>0</v>
      </c>
      <c r="G16" s="44" t="str">
        <f aca="false">IF(OR(A16="",E16=0),"",EDATE(C16,ROUND(E16*12,0))-1)</f>
        <v/>
      </c>
      <c r="H16" s="21" t="n">
        <f aca="false">IF(OR($A16="",$E16=0),0,MIN($F16,MAX(0,MIN(DATE(H$4,12,31),$G16)-MAX(DATE(H$4,1,1),$C16)+1)*$F16/365))</f>
        <v>0</v>
      </c>
      <c r="I16" s="21" t="n">
        <f aca="false">IF(OR($A16="",$E16=0),0,MIN($F16,MAX(0,MIN(DATE(I$4,12,31),$G16)-MAX(DATE(I$4,1,1),$C16)+1)*$F16/365))</f>
        <v>0</v>
      </c>
      <c r="J16" s="21" t="n">
        <f aca="false">IF(OR($A16="",$E16=0),0,MIN($F16,MAX(0,MIN(DATE(J$4,12,31),$G16)-MAX(DATE(J$4,1,1),$C16)+1)*$F16/365))</f>
        <v>0</v>
      </c>
      <c r="K16" s="21" t="n">
        <f aca="false">IF(OR($A16="",$E16=0),0,MIN($F16,MAX(0,MIN(DATE(K$4,12,31),$G16)-MAX(DATE(K$4,1,1),$C16)+1)*$F16/365))</f>
        <v>0</v>
      </c>
      <c r="L16" s="21" t="n">
        <f aca="false">IF(OR($A16="",$E16=0),0,MIN($F16,MAX(0,MIN(DATE(L$4,12,31),$G16)-MAX(DATE(L$4,1,1),$C16)+1)*$F16/365))</f>
        <v>0</v>
      </c>
    </row>
    <row r="17" customFormat="false" ht="15" hidden="false" customHeight="true" outlineLevel="0" collapsed="false">
      <c r="A17" s="11"/>
      <c r="B17" s="11"/>
      <c r="C17" s="13"/>
      <c r="D17" s="24"/>
      <c r="E17" s="43"/>
      <c r="F17" s="21" t="n">
        <f aca="false">IF(OR(A17="",E17=0),0,D17/E17)</f>
        <v>0</v>
      </c>
      <c r="G17" s="44" t="str">
        <f aca="false">IF(OR(A17="",E17=0),"",EDATE(C17,ROUND(E17*12,0))-1)</f>
        <v/>
      </c>
      <c r="H17" s="21" t="n">
        <f aca="false">IF(OR($A17="",$E17=0),0,MIN($F17,MAX(0,MIN(DATE(H$4,12,31),$G17)-MAX(DATE(H$4,1,1),$C17)+1)*$F17/365))</f>
        <v>0</v>
      </c>
      <c r="I17" s="21" t="n">
        <f aca="false">IF(OR($A17="",$E17=0),0,MIN($F17,MAX(0,MIN(DATE(I$4,12,31),$G17)-MAX(DATE(I$4,1,1),$C17)+1)*$F17/365))</f>
        <v>0</v>
      </c>
      <c r="J17" s="21" t="n">
        <f aca="false">IF(OR($A17="",$E17=0),0,MIN($F17,MAX(0,MIN(DATE(J$4,12,31),$G17)-MAX(DATE(J$4,1,1),$C17)+1)*$F17/365))</f>
        <v>0</v>
      </c>
      <c r="K17" s="21" t="n">
        <f aca="false">IF(OR($A17="",$E17=0),0,MIN($F17,MAX(0,MIN(DATE(K$4,12,31),$G17)-MAX(DATE(K$4,1,1),$C17)+1)*$F17/365))</f>
        <v>0</v>
      </c>
      <c r="L17" s="21" t="n">
        <f aca="false">IF(OR($A17="",$E17=0),0,MIN($F17,MAX(0,MIN(DATE(L$4,12,31),$G17)-MAX(DATE(L$4,1,1),$C17)+1)*$F17/365))</f>
        <v>0</v>
      </c>
    </row>
    <row r="18" customFormat="false" ht="15" hidden="false" customHeight="true" outlineLevel="0" collapsed="false">
      <c r="A18" s="11"/>
      <c r="B18" s="11"/>
      <c r="C18" s="13"/>
      <c r="D18" s="24"/>
      <c r="E18" s="43"/>
      <c r="F18" s="21" t="n">
        <f aca="false">IF(OR(A18="",E18=0),0,D18/E18)</f>
        <v>0</v>
      </c>
      <c r="G18" s="44" t="str">
        <f aca="false">IF(OR(A18="",E18=0),"",EDATE(C18,ROUND(E18*12,0))-1)</f>
        <v/>
      </c>
      <c r="H18" s="21" t="n">
        <f aca="false">IF(OR($A18="",$E18=0),0,MIN($F18,MAX(0,MIN(DATE(H$4,12,31),$G18)-MAX(DATE(H$4,1,1),$C18)+1)*$F18/365))</f>
        <v>0</v>
      </c>
      <c r="I18" s="21" t="n">
        <f aca="false">IF(OR($A18="",$E18=0),0,MIN($F18,MAX(0,MIN(DATE(I$4,12,31),$G18)-MAX(DATE(I$4,1,1),$C18)+1)*$F18/365))</f>
        <v>0</v>
      </c>
      <c r="J18" s="21" t="n">
        <f aca="false">IF(OR($A18="",$E18=0),0,MIN($F18,MAX(0,MIN(DATE(J$4,12,31),$G18)-MAX(DATE(J$4,1,1),$C18)+1)*$F18/365))</f>
        <v>0</v>
      </c>
      <c r="K18" s="21" t="n">
        <f aca="false">IF(OR($A18="",$E18=0),0,MIN($F18,MAX(0,MIN(DATE(K$4,12,31),$G18)-MAX(DATE(K$4,1,1),$C18)+1)*$F18/365))</f>
        <v>0</v>
      </c>
      <c r="L18" s="21" t="n">
        <f aca="false">IF(OR($A18="",$E18=0),0,MIN($F18,MAX(0,MIN(DATE(L$4,12,31),$G18)-MAX(DATE(L$4,1,1),$C18)+1)*$F18/365))</f>
        <v>0</v>
      </c>
    </row>
    <row r="19" customFormat="false" ht="15" hidden="false" customHeight="true" outlineLevel="0" collapsed="false">
      <c r="A19" s="11"/>
      <c r="B19" s="11"/>
      <c r="C19" s="13"/>
      <c r="D19" s="24"/>
      <c r="E19" s="43"/>
      <c r="F19" s="21" t="n">
        <f aca="false">IF(OR(A19="",E19=0),0,D19/E19)</f>
        <v>0</v>
      </c>
      <c r="G19" s="44" t="str">
        <f aca="false">IF(OR(A19="",E19=0),"",EDATE(C19,ROUND(E19*12,0))-1)</f>
        <v/>
      </c>
      <c r="H19" s="21" t="n">
        <f aca="false">IF(OR($A19="",$E19=0),0,MIN($F19,MAX(0,MIN(DATE(H$4,12,31),$G19)-MAX(DATE(H$4,1,1),$C19)+1)*$F19/365))</f>
        <v>0</v>
      </c>
      <c r="I19" s="21" t="n">
        <f aca="false">IF(OR($A19="",$E19=0),0,MIN($F19,MAX(0,MIN(DATE(I$4,12,31),$G19)-MAX(DATE(I$4,1,1),$C19)+1)*$F19/365))</f>
        <v>0</v>
      </c>
      <c r="J19" s="21" t="n">
        <f aca="false">IF(OR($A19="",$E19=0),0,MIN($F19,MAX(0,MIN(DATE(J$4,12,31),$G19)-MAX(DATE(J$4,1,1),$C19)+1)*$F19/365))</f>
        <v>0</v>
      </c>
      <c r="K19" s="21" t="n">
        <f aca="false">IF(OR($A19="",$E19=0),0,MIN($F19,MAX(0,MIN(DATE(K$4,12,31),$G19)-MAX(DATE(K$4,1,1),$C19)+1)*$F19/365))</f>
        <v>0</v>
      </c>
      <c r="L19" s="21" t="n">
        <f aca="false">IF(OR($A19="",$E19=0),0,MIN($F19,MAX(0,MIN(DATE(L$4,12,31),$G19)-MAX(DATE(L$4,1,1),$C19)+1)*$F19/365))</f>
        <v>0</v>
      </c>
    </row>
    <row r="20" customFormat="false" ht="15" hidden="false" customHeight="true" outlineLevel="0" collapsed="false">
      <c r="A20" s="11"/>
      <c r="B20" s="11"/>
      <c r="C20" s="13"/>
      <c r="D20" s="24"/>
      <c r="E20" s="43"/>
      <c r="F20" s="21" t="n">
        <f aca="false">IF(OR(A20="",E20=0),0,D20/E20)</f>
        <v>0</v>
      </c>
      <c r="G20" s="44" t="str">
        <f aca="false">IF(OR(A20="",E20=0),"",EDATE(C20,ROUND(E20*12,0))-1)</f>
        <v/>
      </c>
      <c r="H20" s="21" t="n">
        <f aca="false">IF(OR($A20="",$E20=0),0,MIN($F20,MAX(0,MIN(DATE(H$4,12,31),$G20)-MAX(DATE(H$4,1,1),$C20)+1)*$F20/365))</f>
        <v>0</v>
      </c>
      <c r="I20" s="21" t="n">
        <f aca="false">IF(OR($A20="",$E20=0),0,MIN($F20,MAX(0,MIN(DATE(I$4,12,31),$G20)-MAX(DATE(I$4,1,1),$C20)+1)*$F20/365))</f>
        <v>0</v>
      </c>
      <c r="J20" s="21" t="n">
        <f aca="false">IF(OR($A20="",$E20=0),0,MIN($F20,MAX(0,MIN(DATE(J$4,12,31),$G20)-MAX(DATE(J$4,1,1),$C20)+1)*$F20/365))</f>
        <v>0</v>
      </c>
      <c r="K20" s="21" t="n">
        <f aca="false">IF(OR($A20="",$E20=0),0,MIN($F20,MAX(0,MIN(DATE(K$4,12,31),$G20)-MAX(DATE(K$4,1,1),$C20)+1)*$F20/365))</f>
        <v>0</v>
      </c>
      <c r="L20" s="21" t="n">
        <f aca="false">IF(OR($A20="",$E20=0),0,MIN($F20,MAX(0,MIN(DATE(L$4,12,31),$G20)-MAX(DATE(L$4,1,1),$C20)+1)*$F20/365))</f>
        <v>0</v>
      </c>
    </row>
    <row r="21" customFormat="false" ht="15" hidden="false" customHeight="true" outlineLevel="0" collapsed="false">
      <c r="A21" s="11"/>
      <c r="B21" s="11"/>
      <c r="C21" s="13"/>
      <c r="D21" s="24"/>
      <c r="E21" s="43"/>
      <c r="F21" s="21" t="n">
        <f aca="false">IF(OR(A21="",E21=0),0,D21/E21)</f>
        <v>0</v>
      </c>
      <c r="G21" s="44" t="str">
        <f aca="false">IF(OR(A21="",E21=0),"",EDATE(C21,ROUND(E21*12,0))-1)</f>
        <v/>
      </c>
      <c r="H21" s="21" t="n">
        <f aca="false">IF(OR($A21="",$E21=0),0,MIN($F21,MAX(0,MIN(DATE(H$4,12,31),$G21)-MAX(DATE(H$4,1,1),$C21)+1)*$F21/365))</f>
        <v>0</v>
      </c>
      <c r="I21" s="21" t="n">
        <f aca="false">IF(OR($A21="",$E21=0),0,MIN($F21,MAX(0,MIN(DATE(I$4,12,31),$G21)-MAX(DATE(I$4,1,1),$C21)+1)*$F21/365))</f>
        <v>0</v>
      </c>
      <c r="J21" s="21" t="n">
        <f aca="false">IF(OR($A21="",$E21=0),0,MIN($F21,MAX(0,MIN(DATE(J$4,12,31),$G21)-MAX(DATE(J$4,1,1),$C21)+1)*$F21/365))</f>
        <v>0</v>
      </c>
      <c r="K21" s="21" t="n">
        <f aca="false">IF(OR($A21="",$E21=0),0,MIN($F21,MAX(0,MIN(DATE(K$4,12,31),$G21)-MAX(DATE(K$4,1,1),$C21)+1)*$F21/365))</f>
        <v>0</v>
      </c>
      <c r="L21" s="21" t="n">
        <f aca="false">IF(OR($A21="",$E21=0),0,MIN($F21,MAX(0,MIN(DATE(L$4,12,31),$G21)-MAX(DATE(L$4,1,1),$C21)+1)*$F21/365))</f>
        <v>0</v>
      </c>
    </row>
    <row r="22" customFormat="false" ht="15" hidden="false" customHeight="true" outlineLevel="0" collapsed="false">
      <c r="A22" s="11"/>
      <c r="B22" s="11"/>
      <c r="C22" s="13"/>
      <c r="D22" s="24"/>
      <c r="E22" s="43"/>
      <c r="F22" s="21" t="n">
        <f aca="false">IF(OR(A22="",E22=0),0,D22/E22)</f>
        <v>0</v>
      </c>
      <c r="G22" s="44" t="str">
        <f aca="false">IF(OR(A22="",E22=0),"",EDATE(C22,ROUND(E22*12,0))-1)</f>
        <v/>
      </c>
      <c r="H22" s="21" t="n">
        <f aca="false">IF(OR($A22="",$E22=0),0,MIN($F22,MAX(0,MIN(DATE(H$4,12,31),$G22)-MAX(DATE(H$4,1,1),$C22)+1)*$F22/365))</f>
        <v>0</v>
      </c>
      <c r="I22" s="21" t="n">
        <f aca="false">IF(OR($A22="",$E22=0),0,MIN($F22,MAX(0,MIN(DATE(I$4,12,31),$G22)-MAX(DATE(I$4,1,1),$C22)+1)*$F22/365))</f>
        <v>0</v>
      </c>
      <c r="J22" s="21" t="n">
        <f aca="false">IF(OR($A22="",$E22=0),0,MIN($F22,MAX(0,MIN(DATE(J$4,12,31),$G22)-MAX(DATE(J$4,1,1),$C22)+1)*$F22/365))</f>
        <v>0</v>
      </c>
      <c r="K22" s="21" t="n">
        <f aca="false">IF(OR($A22="",$E22=0),0,MIN($F22,MAX(0,MIN(DATE(K$4,12,31),$G22)-MAX(DATE(K$4,1,1),$C22)+1)*$F22/365))</f>
        <v>0</v>
      </c>
      <c r="L22" s="21" t="n">
        <f aca="false">IF(OR($A22="",$E22=0),0,MIN($F22,MAX(0,MIN(DATE(L$4,12,31),$G22)-MAX(DATE(L$4,1,1),$C22)+1)*$F22/365))</f>
        <v>0</v>
      </c>
    </row>
    <row r="23" customFormat="false" ht="15" hidden="false" customHeight="true" outlineLevel="0" collapsed="false">
      <c r="A23" s="11"/>
      <c r="B23" s="11"/>
      <c r="C23" s="13"/>
      <c r="D23" s="24"/>
      <c r="E23" s="43"/>
      <c r="F23" s="21" t="n">
        <f aca="false">IF(OR(A23="",E23=0),0,D23/E23)</f>
        <v>0</v>
      </c>
      <c r="G23" s="44" t="str">
        <f aca="false">IF(OR(A23="",E23=0),"",EDATE(C23,ROUND(E23*12,0))-1)</f>
        <v/>
      </c>
      <c r="H23" s="21" t="n">
        <f aca="false">IF(OR($A23="",$E23=0),0,MIN($F23,MAX(0,MIN(DATE(H$4,12,31),$G23)-MAX(DATE(H$4,1,1),$C23)+1)*$F23/365))</f>
        <v>0</v>
      </c>
      <c r="I23" s="21" t="n">
        <f aca="false">IF(OR($A23="",$E23=0),0,MIN($F23,MAX(0,MIN(DATE(I$4,12,31),$G23)-MAX(DATE(I$4,1,1),$C23)+1)*$F23/365))</f>
        <v>0</v>
      </c>
      <c r="J23" s="21" t="n">
        <f aca="false">IF(OR($A23="",$E23=0),0,MIN($F23,MAX(0,MIN(DATE(J$4,12,31),$G23)-MAX(DATE(J$4,1,1),$C23)+1)*$F23/365))</f>
        <v>0</v>
      </c>
      <c r="K23" s="21" t="n">
        <f aca="false">IF(OR($A23="",$E23=0),0,MIN($F23,MAX(0,MIN(DATE(K$4,12,31),$G23)-MAX(DATE(K$4,1,1),$C23)+1)*$F23/365))</f>
        <v>0</v>
      </c>
      <c r="L23" s="21" t="n">
        <f aca="false">IF(OR($A23="",$E23=0),0,MIN($F23,MAX(0,MIN(DATE(L$4,12,31),$G23)-MAX(DATE(L$4,1,1),$C23)+1)*$F23/365))</f>
        <v>0</v>
      </c>
    </row>
    <row r="24" customFormat="false" ht="15" hidden="false" customHeight="true" outlineLevel="0" collapsed="false">
      <c r="A24" s="11"/>
      <c r="B24" s="11"/>
      <c r="C24" s="13"/>
      <c r="D24" s="24"/>
      <c r="E24" s="43"/>
      <c r="F24" s="21" t="n">
        <f aca="false">IF(OR(A24="",E24=0),0,D24/E24)</f>
        <v>0</v>
      </c>
      <c r="G24" s="44" t="str">
        <f aca="false">IF(OR(A24="",E24=0),"",EDATE(C24,ROUND(E24*12,0))-1)</f>
        <v/>
      </c>
      <c r="H24" s="21" t="n">
        <f aca="false">IF(OR($A24="",$E24=0),0,MIN($F24,MAX(0,MIN(DATE(H$4,12,31),$G24)-MAX(DATE(H$4,1,1),$C24)+1)*$F24/365))</f>
        <v>0</v>
      </c>
      <c r="I24" s="21" t="n">
        <f aca="false">IF(OR($A24="",$E24=0),0,MIN($F24,MAX(0,MIN(DATE(I$4,12,31),$G24)-MAX(DATE(I$4,1,1),$C24)+1)*$F24/365))</f>
        <v>0</v>
      </c>
      <c r="J24" s="21" t="n">
        <f aca="false">IF(OR($A24="",$E24=0),0,MIN($F24,MAX(0,MIN(DATE(J$4,12,31),$G24)-MAX(DATE(J$4,1,1),$C24)+1)*$F24/365))</f>
        <v>0</v>
      </c>
      <c r="K24" s="21" t="n">
        <f aca="false">IF(OR($A24="",$E24=0),0,MIN($F24,MAX(0,MIN(DATE(K$4,12,31),$G24)-MAX(DATE(K$4,1,1),$C24)+1)*$F24/365))</f>
        <v>0</v>
      </c>
      <c r="L24" s="21" t="n">
        <f aca="false">IF(OR($A24="",$E24=0),0,MIN($F24,MAX(0,MIN(DATE(L$4,12,31),$G24)-MAX(DATE(L$4,1,1),$C24)+1)*$F24/365))</f>
        <v>0</v>
      </c>
    </row>
    <row r="25" customFormat="false" ht="15" hidden="false" customHeight="true" outlineLevel="0" collapsed="false">
      <c r="A25" s="11"/>
      <c r="B25" s="11"/>
      <c r="C25" s="13"/>
      <c r="D25" s="24"/>
      <c r="E25" s="43"/>
      <c r="F25" s="21" t="n">
        <f aca="false">IF(OR(A25="",E25=0),0,D25/E25)</f>
        <v>0</v>
      </c>
      <c r="G25" s="44" t="str">
        <f aca="false">IF(OR(A25="",E25=0),"",EDATE(C25,ROUND(E25*12,0))-1)</f>
        <v/>
      </c>
      <c r="H25" s="21" t="n">
        <f aca="false">IF(OR($A25="",$E25=0),0,MIN($F25,MAX(0,MIN(DATE(H$4,12,31),$G25)-MAX(DATE(H$4,1,1),$C25)+1)*$F25/365))</f>
        <v>0</v>
      </c>
      <c r="I25" s="21" t="n">
        <f aca="false">IF(OR($A25="",$E25=0),0,MIN($F25,MAX(0,MIN(DATE(I$4,12,31),$G25)-MAX(DATE(I$4,1,1),$C25)+1)*$F25/365))</f>
        <v>0</v>
      </c>
      <c r="J25" s="21" t="n">
        <f aca="false">IF(OR($A25="",$E25=0),0,MIN($F25,MAX(0,MIN(DATE(J$4,12,31),$G25)-MAX(DATE(J$4,1,1),$C25)+1)*$F25/365))</f>
        <v>0</v>
      </c>
      <c r="K25" s="21" t="n">
        <f aca="false">IF(OR($A25="",$E25=0),0,MIN($F25,MAX(0,MIN(DATE(K$4,12,31),$G25)-MAX(DATE(K$4,1,1),$C25)+1)*$F25/365))</f>
        <v>0</v>
      </c>
      <c r="L25" s="21" t="n">
        <f aca="false">IF(OR($A25="",$E25=0),0,MIN($F25,MAX(0,MIN(DATE(L$4,12,31),$G25)-MAX(DATE(L$4,1,1),$C25)+1)*$F25/365))</f>
        <v>0</v>
      </c>
    </row>
    <row r="26" customFormat="false" ht="15" hidden="false" customHeight="true" outlineLevel="0" collapsed="false">
      <c r="A26" s="11"/>
      <c r="B26" s="11"/>
      <c r="C26" s="13"/>
      <c r="D26" s="24"/>
      <c r="E26" s="43"/>
      <c r="F26" s="21" t="n">
        <f aca="false">IF(OR(A26="",E26=0),0,D26/E26)</f>
        <v>0</v>
      </c>
      <c r="G26" s="44" t="str">
        <f aca="false">IF(OR(A26="",E26=0),"",EDATE(C26,ROUND(E26*12,0))-1)</f>
        <v/>
      </c>
      <c r="H26" s="21" t="n">
        <f aca="false">IF(OR($A26="",$E26=0),0,MIN($F26,MAX(0,MIN(DATE(H$4,12,31),$G26)-MAX(DATE(H$4,1,1),$C26)+1)*$F26/365))</f>
        <v>0</v>
      </c>
      <c r="I26" s="21" t="n">
        <f aca="false">IF(OR($A26="",$E26=0),0,MIN($F26,MAX(0,MIN(DATE(I$4,12,31),$G26)-MAX(DATE(I$4,1,1),$C26)+1)*$F26/365))</f>
        <v>0</v>
      </c>
      <c r="J26" s="21" t="n">
        <f aca="false">IF(OR($A26="",$E26=0),0,MIN($F26,MAX(0,MIN(DATE(J$4,12,31),$G26)-MAX(DATE(J$4,1,1),$C26)+1)*$F26/365))</f>
        <v>0</v>
      </c>
      <c r="K26" s="21" t="n">
        <f aca="false">IF(OR($A26="",$E26=0),0,MIN($F26,MAX(0,MIN(DATE(K$4,12,31),$G26)-MAX(DATE(K$4,1,1),$C26)+1)*$F26/365))</f>
        <v>0</v>
      </c>
      <c r="L26" s="21" t="n">
        <f aca="false">IF(OR($A26="",$E26=0),0,MIN($F26,MAX(0,MIN(DATE(L$4,12,31),$G26)-MAX(DATE(L$4,1,1),$C26)+1)*$F26/365))</f>
        <v>0</v>
      </c>
    </row>
    <row r="27" customFormat="false" ht="15" hidden="false" customHeight="true" outlineLevel="0" collapsed="false">
      <c r="A27" s="11"/>
      <c r="B27" s="11"/>
      <c r="C27" s="13"/>
      <c r="D27" s="24"/>
      <c r="E27" s="43"/>
      <c r="F27" s="21" t="n">
        <f aca="false">IF(OR(A27="",E27=0),0,D27/E27)</f>
        <v>0</v>
      </c>
      <c r="G27" s="44" t="str">
        <f aca="false">IF(OR(A27="",E27=0),"",EDATE(C27,ROUND(E27*12,0))-1)</f>
        <v/>
      </c>
      <c r="H27" s="21" t="n">
        <f aca="false">IF(OR($A27="",$E27=0),0,MIN($F27,MAX(0,MIN(DATE(H$4,12,31),$G27)-MAX(DATE(H$4,1,1),$C27)+1)*$F27/365))</f>
        <v>0</v>
      </c>
      <c r="I27" s="21" t="n">
        <f aca="false">IF(OR($A27="",$E27=0),0,MIN($F27,MAX(0,MIN(DATE(I$4,12,31),$G27)-MAX(DATE(I$4,1,1),$C27)+1)*$F27/365))</f>
        <v>0</v>
      </c>
      <c r="J27" s="21" t="n">
        <f aca="false">IF(OR($A27="",$E27=0),0,MIN($F27,MAX(0,MIN(DATE(J$4,12,31),$G27)-MAX(DATE(J$4,1,1),$C27)+1)*$F27/365))</f>
        <v>0</v>
      </c>
      <c r="K27" s="21" t="n">
        <f aca="false">IF(OR($A27="",$E27=0),0,MIN($F27,MAX(0,MIN(DATE(K$4,12,31),$G27)-MAX(DATE(K$4,1,1),$C27)+1)*$F27/365))</f>
        <v>0</v>
      </c>
      <c r="L27" s="21" t="n">
        <f aca="false">IF(OR($A27="",$E27=0),0,MIN($F27,MAX(0,MIN(DATE(L$4,12,31),$G27)-MAX(DATE(L$4,1,1),$C27)+1)*$F27/365))</f>
        <v>0</v>
      </c>
    </row>
    <row r="28" customFormat="false" ht="15" hidden="false" customHeight="true" outlineLevel="0" collapsed="false">
      <c r="A28" s="11"/>
      <c r="B28" s="11"/>
      <c r="C28" s="13"/>
      <c r="D28" s="24"/>
      <c r="E28" s="43"/>
      <c r="F28" s="21" t="n">
        <f aca="false">IF(OR(A28="",E28=0),0,D28/E28)</f>
        <v>0</v>
      </c>
      <c r="G28" s="44" t="str">
        <f aca="false">IF(OR(A28="",E28=0),"",EDATE(C28,ROUND(E28*12,0))-1)</f>
        <v/>
      </c>
      <c r="H28" s="21" t="n">
        <f aca="false">IF(OR($A28="",$E28=0),0,MIN($F28,MAX(0,MIN(DATE(H$4,12,31),$G28)-MAX(DATE(H$4,1,1),$C28)+1)*$F28/365))</f>
        <v>0</v>
      </c>
      <c r="I28" s="21" t="n">
        <f aca="false">IF(OR($A28="",$E28=0),0,MIN($F28,MAX(0,MIN(DATE(I$4,12,31),$G28)-MAX(DATE(I$4,1,1),$C28)+1)*$F28/365))</f>
        <v>0</v>
      </c>
      <c r="J28" s="21" t="n">
        <f aca="false">IF(OR($A28="",$E28=0),0,MIN($F28,MAX(0,MIN(DATE(J$4,12,31),$G28)-MAX(DATE(J$4,1,1),$C28)+1)*$F28/365))</f>
        <v>0</v>
      </c>
      <c r="K28" s="21" t="n">
        <f aca="false">IF(OR($A28="",$E28=0),0,MIN($F28,MAX(0,MIN(DATE(K$4,12,31),$G28)-MAX(DATE(K$4,1,1),$C28)+1)*$F28/365))</f>
        <v>0</v>
      </c>
      <c r="L28" s="21" t="n">
        <f aca="false">IF(OR($A28="",$E28=0),0,MIN($F28,MAX(0,MIN(DATE(L$4,12,31),$G28)-MAX(DATE(L$4,1,1),$C28)+1)*$F28/365))</f>
        <v>0</v>
      </c>
    </row>
    <row r="29" customFormat="false" ht="15" hidden="false" customHeight="true" outlineLevel="0" collapsed="false">
      <c r="A29" s="11"/>
      <c r="B29" s="11"/>
      <c r="C29" s="13"/>
      <c r="D29" s="24"/>
      <c r="E29" s="43"/>
      <c r="F29" s="21" t="n">
        <f aca="false">IF(OR(A29="",E29=0),0,D29/E29)</f>
        <v>0</v>
      </c>
      <c r="G29" s="44" t="str">
        <f aca="false">IF(OR(A29="",E29=0),"",EDATE(C29,ROUND(E29*12,0))-1)</f>
        <v/>
      </c>
      <c r="H29" s="21" t="n">
        <f aca="false">IF(OR($A29="",$E29=0),0,MIN($F29,MAX(0,MIN(DATE(H$4,12,31),$G29)-MAX(DATE(H$4,1,1),$C29)+1)*$F29/365))</f>
        <v>0</v>
      </c>
      <c r="I29" s="21" t="n">
        <f aca="false">IF(OR($A29="",$E29=0),0,MIN($F29,MAX(0,MIN(DATE(I$4,12,31),$G29)-MAX(DATE(I$4,1,1),$C29)+1)*$F29/365))</f>
        <v>0</v>
      </c>
      <c r="J29" s="21" t="n">
        <f aca="false">IF(OR($A29="",$E29=0),0,MIN($F29,MAX(0,MIN(DATE(J$4,12,31),$G29)-MAX(DATE(J$4,1,1),$C29)+1)*$F29/365))</f>
        <v>0</v>
      </c>
      <c r="K29" s="21" t="n">
        <f aca="false">IF(OR($A29="",$E29=0),0,MIN($F29,MAX(0,MIN(DATE(K$4,12,31),$G29)-MAX(DATE(K$4,1,1),$C29)+1)*$F29/365))</f>
        <v>0</v>
      </c>
      <c r="L29" s="21" t="n">
        <f aca="false">IF(OR($A29="",$E29=0),0,MIN($F29,MAX(0,MIN(DATE(L$4,12,31),$G29)-MAX(DATE(L$4,1,1),$C29)+1)*$F29/365))</f>
        <v>0</v>
      </c>
    </row>
    <row r="30" customFormat="false" ht="15" hidden="false" customHeight="true" outlineLevel="0" collapsed="false">
      <c r="A30" s="11"/>
      <c r="B30" s="11"/>
      <c r="C30" s="13"/>
      <c r="D30" s="24"/>
      <c r="E30" s="43"/>
      <c r="F30" s="21" t="n">
        <f aca="false">IF(OR(A30="",E30=0),0,D30/E30)</f>
        <v>0</v>
      </c>
      <c r="G30" s="44" t="str">
        <f aca="false">IF(OR(A30="",E30=0),"",EDATE(C30,ROUND(E30*12,0))-1)</f>
        <v/>
      </c>
      <c r="H30" s="21" t="n">
        <f aca="false">IF(OR($A30="",$E30=0),0,MIN($F30,MAX(0,MIN(DATE(H$4,12,31),$G30)-MAX(DATE(H$4,1,1),$C30)+1)*$F30/365))</f>
        <v>0</v>
      </c>
      <c r="I30" s="21" t="n">
        <f aca="false">IF(OR($A30="",$E30=0),0,MIN($F30,MAX(0,MIN(DATE(I$4,12,31),$G30)-MAX(DATE(I$4,1,1),$C30)+1)*$F30/365))</f>
        <v>0</v>
      </c>
      <c r="J30" s="21" t="n">
        <f aca="false">IF(OR($A30="",$E30=0),0,MIN($F30,MAX(0,MIN(DATE(J$4,12,31),$G30)-MAX(DATE(J$4,1,1),$C30)+1)*$F30/365))</f>
        <v>0</v>
      </c>
      <c r="K30" s="21" t="n">
        <f aca="false">IF(OR($A30="",$E30=0),0,MIN($F30,MAX(0,MIN(DATE(K$4,12,31),$G30)-MAX(DATE(K$4,1,1),$C30)+1)*$F30/365))</f>
        <v>0</v>
      </c>
      <c r="L30" s="21" t="n">
        <f aca="false">IF(OR($A30="",$E30=0),0,MIN($F30,MAX(0,MIN(DATE(L$4,12,31),$G30)-MAX(DATE(L$4,1,1),$C30)+1)*$F30/365))</f>
        <v>0</v>
      </c>
    </row>
    <row r="31" customFormat="false" ht="15" hidden="false" customHeight="true" outlineLevel="0" collapsed="false">
      <c r="A31" s="11"/>
      <c r="B31" s="11"/>
      <c r="C31" s="13"/>
      <c r="D31" s="24"/>
      <c r="E31" s="43"/>
      <c r="F31" s="21" t="n">
        <f aca="false">IF(OR(A31="",E31=0),0,D31/E31)</f>
        <v>0</v>
      </c>
      <c r="G31" s="44" t="str">
        <f aca="false">IF(OR(A31="",E31=0),"",EDATE(C31,ROUND(E31*12,0))-1)</f>
        <v/>
      </c>
      <c r="H31" s="21" t="n">
        <f aca="false">IF(OR($A31="",$E31=0),0,MIN($F31,MAX(0,MIN(DATE(H$4,12,31),$G31)-MAX(DATE(H$4,1,1),$C31)+1)*$F31/365))</f>
        <v>0</v>
      </c>
      <c r="I31" s="21" t="n">
        <f aca="false">IF(OR($A31="",$E31=0),0,MIN($F31,MAX(0,MIN(DATE(I$4,12,31),$G31)-MAX(DATE(I$4,1,1),$C31)+1)*$F31/365))</f>
        <v>0</v>
      </c>
      <c r="J31" s="21" t="n">
        <f aca="false">IF(OR($A31="",$E31=0),0,MIN($F31,MAX(0,MIN(DATE(J$4,12,31),$G31)-MAX(DATE(J$4,1,1),$C31)+1)*$F31/365))</f>
        <v>0</v>
      </c>
      <c r="K31" s="21" t="n">
        <f aca="false">IF(OR($A31="",$E31=0),0,MIN($F31,MAX(0,MIN(DATE(K$4,12,31),$G31)-MAX(DATE(K$4,1,1),$C31)+1)*$F31/365))</f>
        <v>0</v>
      </c>
      <c r="L31" s="21" t="n">
        <f aca="false">IF(OR($A31="",$E31=0),0,MIN($F31,MAX(0,MIN(DATE(L$4,12,31),$G31)-MAX(DATE(L$4,1,1),$C31)+1)*$F31/365))</f>
        <v>0</v>
      </c>
    </row>
    <row r="32" customFormat="false" ht="15" hidden="false" customHeight="true" outlineLevel="0" collapsed="false">
      <c r="A32" s="11"/>
      <c r="B32" s="11"/>
      <c r="C32" s="13"/>
      <c r="D32" s="24"/>
      <c r="E32" s="43"/>
      <c r="F32" s="21" t="n">
        <f aca="false">IF(OR(A32="",E32=0),0,D32/E32)</f>
        <v>0</v>
      </c>
      <c r="G32" s="44" t="str">
        <f aca="false">IF(OR(A32="",E32=0),"",EDATE(C32,ROUND(E32*12,0))-1)</f>
        <v/>
      </c>
      <c r="H32" s="21" t="n">
        <f aca="false">IF(OR($A32="",$E32=0),0,MIN($F32,MAX(0,MIN(DATE(H$4,12,31),$G32)-MAX(DATE(H$4,1,1),$C32)+1)*$F32/365))</f>
        <v>0</v>
      </c>
      <c r="I32" s="21" t="n">
        <f aca="false">IF(OR($A32="",$E32=0),0,MIN($F32,MAX(0,MIN(DATE(I$4,12,31),$G32)-MAX(DATE(I$4,1,1),$C32)+1)*$F32/365))</f>
        <v>0</v>
      </c>
      <c r="J32" s="21" t="n">
        <f aca="false">IF(OR($A32="",$E32=0),0,MIN($F32,MAX(0,MIN(DATE(J$4,12,31),$G32)-MAX(DATE(J$4,1,1),$C32)+1)*$F32/365))</f>
        <v>0</v>
      </c>
      <c r="K32" s="21" t="n">
        <f aca="false">IF(OR($A32="",$E32=0),0,MIN($F32,MAX(0,MIN(DATE(K$4,12,31),$G32)-MAX(DATE(K$4,1,1),$C32)+1)*$F32/365))</f>
        <v>0</v>
      </c>
      <c r="L32" s="21" t="n">
        <f aca="false">IF(OR($A32="",$E32=0),0,MIN($F32,MAX(0,MIN(DATE(L$4,12,31),$G32)-MAX(DATE(L$4,1,1),$C32)+1)*$F32/365))</f>
        <v>0</v>
      </c>
    </row>
    <row r="33" customFormat="false" ht="15" hidden="false" customHeight="true" outlineLevel="0" collapsed="false">
      <c r="A33" s="11"/>
      <c r="B33" s="11"/>
      <c r="C33" s="13"/>
      <c r="D33" s="24"/>
      <c r="E33" s="43"/>
      <c r="F33" s="21" t="n">
        <f aca="false">IF(OR(A33="",E33=0),0,D33/E33)</f>
        <v>0</v>
      </c>
      <c r="G33" s="44" t="str">
        <f aca="false">IF(OR(A33="",E33=0),"",EDATE(C33,ROUND(E33*12,0))-1)</f>
        <v/>
      </c>
      <c r="H33" s="21" t="n">
        <f aca="false">IF(OR($A33="",$E33=0),0,MIN($F33,MAX(0,MIN(DATE(H$4,12,31),$G33)-MAX(DATE(H$4,1,1),$C33)+1)*$F33/365))</f>
        <v>0</v>
      </c>
      <c r="I33" s="21" t="n">
        <f aca="false">IF(OR($A33="",$E33=0),0,MIN($F33,MAX(0,MIN(DATE(I$4,12,31),$G33)-MAX(DATE(I$4,1,1),$C33)+1)*$F33/365))</f>
        <v>0</v>
      </c>
      <c r="J33" s="21" t="n">
        <f aca="false">IF(OR($A33="",$E33=0),0,MIN($F33,MAX(0,MIN(DATE(J$4,12,31),$G33)-MAX(DATE(J$4,1,1),$C33)+1)*$F33/365))</f>
        <v>0</v>
      </c>
      <c r="K33" s="21" t="n">
        <f aca="false">IF(OR($A33="",$E33=0),0,MIN($F33,MAX(0,MIN(DATE(K$4,12,31),$G33)-MAX(DATE(K$4,1,1),$C33)+1)*$F33/365))</f>
        <v>0</v>
      </c>
      <c r="L33" s="21" t="n">
        <f aca="false">IF(OR($A33="",$E33=0),0,MIN($F33,MAX(0,MIN(DATE(L$4,12,31),$G33)-MAX(DATE(L$4,1,1),$C33)+1)*$F33/365))</f>
        <v>0</v>
      </c>
    </row>
    <row r="34" customFormat="false" ht="15" hidden="false" customHeight="true" outlineLevel="0" collapsed="false">
      <c r="A34" s="11"/>
      <c r="B34" s="11"/>
      <c r="C34" s="13"/>
      <c r="D34" s="24"/>
      <c r="E34" s="43"/>
      <c r="F34" s="21" t="n">
        <f aca="false">IF(OR(A34="",E34=0),0,D34/E34)</f>
        <v>0</v>
      </c>
      <c r="G34" s="44" t="str">
        <f aca="false">IF(OR(A34="",E34=0),"",EDATE(C34,ROUND(E34*12,0))-1)</f>
        <v/>
      </c>
      <c r="H34" s="21" t="n">
        <f aca="false">IF(OR($A34="",$E34=0),0,MIN($F34,MAX(0,MIN(DATE(H$4,12,31),$G34)-MAX(DATE(H$4,1,1),$C34)+1)*$F34/365))</f>
        <v>0</v>
      </c>
      <c r="I34" s="21" t="n">
        <f aca="false">IF(OR($A34="",$E34=0),0,MIN($F34,MAX(0,MIN(DATE(I$4,12,31),$G34)-MAX(DATE(I$4,1,1),$C34)+1)*$F34/365))</f>
        <v>0</v>
      </c>
      <c r="J34" s="21" t="n">
        <f aca="false">IF(OR($A34="",$E34=0),0,MIN($F34,MAX(0,MIN(DATE(J$4,12,31),$G34)-MAX(DATE(J$4,1,1),$C34)+1)*$F34/365))</f>
        <v>0</v>
      </c>
      <c r="K34" s="21" t="n">
        <f aca="false">IF(OR($A34="",$E34=0),0,MIN($F34,MAX(0,MIN(DATE(K$4,12,31),$G34)-MAX(DATE(K$4,1,1),$C34)+1)*$F34/365))</f>
        <v>0</v>
      </c>
      <c r="L34" s="21" t="n">
        <f aca="false">IF(OR($A34="",$E34=0),0,MIN($F34,MAX(0,MIN(DATE(L$4,12,31),$G34)-MAX(DATE(L$4,1,1),$C34)+1)*$F34/365))</f>
        <v>0</v>
      </c>
    </row>
    <row r="35" customFormat="false" ht="15" hidden="false" customHeight="true" outlineLevel="0" collapsed="false">
      <c r="A35" s="11"/>
      <c r="B35" s="11"/>
      <c r="C35" s="13"/>
      <c r="D35" s="24"/>
      <c r="E35" s="43"/>
      <c r="F35" s="21" t="n">
        <f aca="false">IF(OR(A35="",E35=0),0,D35/E35)</f>
        <v>0</v>
      </c>
      <c r="G35" s="44" t="str">
        <f aca="false">IF(OR(A35="",E35=0),"",EDATE(C35,ROUND(E35*12,0))-1)</f>
        <v/>
      </c>
      <c r="H35" s="21" t="n">
        <f aca="false">IF(OR($A35="",$E35=0),0,MIN($F35,MAX(0,MIN(DATE(H$4,12,31),$G35)-MAX(DATE(H$4,1,1),$C35)+1)*$F35/365))</f>
        <v>0</v>
      </c>
      <c r="I35" s="21" t="n">
        <f aca="false">IF(OR($A35="",$E35=0),0,MIN($F35,MAX(0,MIN(DATE(I$4,12,31),$G35)-MAX(DATE(I$4,1,1),$C35)+1)*$F35/365))</f>
        <v>0</v>
      </c>
      <c r="J35" s="21" t="n">
        <f aca="false">IF(OR($A35="",$E35=0),0,MIN($F35,MAX(0,MIN(DATE(J$4,12,31),$G35)-MAX(DATE(J$4,1,1),$C35)+1)*$F35/365))</f>
        <v>0</v>
      </c>
      <c r="K35" s="21" t="n">
        <f aca="false">IF(OR($A35="",$E35=0),0,MIN($F35,MAX(0,MIN(DATE(K$4,12,31),$G35)-MAX(DATE(K$4,1,1),$C35)+1)*$F35/365))</f>
        <v>0</v>
      </c>
      <c r="L35" s="21" t="n">
        <f aca="false">IF(OR($A35="",$E35=0),0,MIN($F35,MAX(0,MIN(DATE(L$4,12,31),$G35)-MAX(DATE(L$4,1,1),$C35)+1)*$F35/365))</f>
        <v>0</v>
      </c>
    </row>
    <row r="36" customFormat="false" ht="15" hidden="false" customHeight="true" outlineLevel="0" collapsed="false">
      <c r="A36" s="11"/>
      <c r="B36" s="11"/>
      <c r="C36" s="13"/>
      <c r="D36" s="24"/>
      <c r="E36" s="43"/>
      <c r="F36" s="21" t="n">
        <f aca="false">IF(OR(A36="",E36=0),0,D36/E36)</f>
        <v>0</v>
      </c>
      <c r="G36" s="44" t="str">
        <f aca="false">IF(OR(A36="",E36=0),"",EDATE(C36,ROUND(E36*12,0))-1)</f>
        <v/>
      </c>
      <c r="H36" s="21" t="n">
        <f aca="false">IF(OR($A36="",$E36=0),0,MIN($F36,MAX(0,MIN(DATE(H$4,12,31),$G36)-MAX(DATE(H$4,1,1),$C36)+1)*$F36/365))</f>
        <v>0</v>
      </c>
      <c r="I36" s="21" t="n">
        <f aca="false">IF(OR($A36="",$E36=0),0,MIN($F36,MAX(0,MIN(DATE(I$4,12,31),$G36)-MAX(DATE(I$4,1,1),$C36)+1)*$F36/365))</f>
        <v>0</v>
      </c>
      <c r="J36" s="21" t="n">
        <f aca="false">IF(OR($A36="",$E36=0),0,MIN($F36,MAX(0,MIN(DATE(J$4,12,31),$G36)-MAX(DATE(J$4,1,1),$C36)+1)*$F36/365))</f>
        <v>0</v>
      </c>
      <c r="K36" s="21" t="n">
        <f aca="false">IF(OR($A36="",$E36=0),0,MIN($F36,MAX(0,MIN(DATE(K$4,12,31),$G36)-MAX(DATE(K$4,1,1),$C36)+1)*$F36/365))</f>
        <v>0</v>
      </c>
      <c r="L36" s="21" t="n">
        <f aca="false">IF(OR($A36="",$E36=0),0,MIN($F36,MAX(0,MIN(DATE(L$4,12,31),$G36)-MAX(DATE(L$4,1,1),$C36)+1)*$F36/365))</f>
        <v>0</v>
      </c>
    </row>
    <row r="37" customFormat="false" ht="15" hidden="false" customHeight="true" outlineLevel="0" collapsed="false">
      <c r="A37" s="11"/>
      <c r="B37" s="11"/>
      <c r="C37" s="13"/>
      <c r="D37" s="24"/>
      <c r="E37" s="43"/>
      <c r="F37" s="21" t="n">
        <f aca="false">IF(OR(A37="",E37=0),0,D37/E37)</f>
        <v>0</v>
      </c>
      <c r="G37" s="44" t="str">
        <f aca="false">IF(OR(A37="",E37=0),"",EDATE(C37,ROUND(E37*12,0))-1)</f>
        <v/>
      </c>
      <c r="H37" s="21" t="n">
        <f aca="false">IF(OR($A37="",$E37=0),0,MIN($F37,MAX(0,MIN(DATE(H$4,12,31),$G37)-MAX(DATE(H$4,1,1),$C37)+1)*$F37/365))</f>
        <v>0</v>
      </c>
      <c r="I37" s="21" t="n">
        <f aca="false">IF(OR($A37="",$E37=0),0,MIN($F37,MAX(0,MIN(DATE(I$4,12,31),$G37)-MAX(DATE(I$4,1,1),$C37)+1)*$F37/365))</f>
        <v>0</v>
      </c>
      <c r="J37" s="21" t="n">
        <f aca="false">IF(OR($A37="",$E37=0),0,MIN($F37,MAX(0,MIN(DATE(J$4,12,31),$G37)-MAX(DATE(J$4,1,1),$C37)+1)*$F37/365))</f>
        <v>0</v>
      </c>
      <c r="K37" s="21" t="n">
        <f aca="false">IF(OR($A37="",$E37=0),0,MIN($F37,MAX(0,MIN(DATE(K$4,12,31),$G37)-MAX(DATE(K$4,1,1),$C37)+1)*$F37/365))</f>
        <v>0</v>
      </c>
      <c r="L37" s="21" t="n">
        <f aca="false">IF(OR($A37="",$E37=0),0,MIN($F37,MAX(0,MIN(DATE(L$4,12,31),$G37)-MAX(DATE(L$4,1,1),$C37)+1)*$F37/365))</f>
        <v>0</v>
      </c>
    </row>
    <row r="38" customFormat="false" ht="15" hidden="false" customHeight="true" outlineLevel="0" collapsed="false">
      <c r="A38" s="11"/>
      <c r="B38" s="11"/>
      <c r="C38" s="13"/>
      <c r="D38" s="24"/>
      <c r="E38" s="43"/>
      <c r="F38" s="21" t="n">
        <f aca="false">IF(OR(A38="",E38=0),0,D38/E38)</f>
        <v>0</v>
      </c>
      <c r="G38" s="44" t="str">
        <f aca="false">IF(OR(A38="",E38=0),"",EDATE(C38,ROUND(E38*12,0))-1)</f>
        <v/>
      </c>
      <c r="H38" s="21" t="n">
        <f aca="false">IF(OR($A38="",$E38=0),0,MIN($F38,MAX(0,MIN(DATE(H$4,12,31),$G38)-MAX(DATE(H$4,1,1),$C38)+1)*$F38/365))</f>
        <v>0</v>
      </c>
      <c r="I38" s="21" t="n">
        <f aca="false">IF(OR($A38="",$E38=0),0,MIN($F38,MAX(0,MIN(DATE(I$4,12,31),$G38)-MAX(DATE(I$4,1,1),$C38)+1)*$F38/365))</f>
        <v>0</v>
      </c>
      <c r="J38" s="21" t="n">
        <f aca="false">IF(OR($A38="",$E38=0),0,MIN($F38,MAX(0,MIN(DATE(J$4,12,31),$G38)-MAX(DATE(J$4,1,1),$C38)+1)*$F38/365))</f>
        <v>0</v>
      </c>
      <c r="K38" s="21" t="n">
        <f aca="false">IF(OR($A38="",$E38=0),0,MIN($F38,MAX(0,MIN(DATE(K$4,12,31),$G38)-MAX(DATE(K$4,1,1),$C38)+1)*$F38/365))</f>
        <v>0</v>
      </c>
      <c r="L38" s="21" t="n">
        <f aca="false">IF(OR($A38="",$E38=0),0,MIN($F38,MAX(0,MIN(DATE(L$4,12,31),$G38)-MAX(DATE(L$4,1,1),$C38)+1)*$F38/365))</f>
        <v>0</v>
      </c>
    </row>
    <row r="39" customFormat="false" ht="15" hidden="false" customHeight="true" outlineLevel="0" collapsed="false">
      <c r="A39" s="11"/>
      <c r="B39" s="11"/>
      <c r="C39" s="13"/>
      <c r="D39" s="24"/>
      <c r="E39" s="43"/>
      <c r="F39" s="21" t="n">
        <f aca="false">IF(OR(A39="",E39=0),0,D39/E39)</f>
        <v>0</v>
      </c>
      <c r="G39" s="44" t="str">
        <f aca="false">IF(OR(A39="",E39=0),"",EDATE(C39,ROUND(E39*12,0))-1)</f>
        <v/>
      </c>
      <c r="H39" s="21" t="n">
        <f aca="false">IF(OR($A39="",$E39=0),0,MIN($F39,MAX(0,MIN(DATE(H$4,12,31),$G39)-MAX(DATE(H$4,1,1),$C39)+1)*$F39/365))</f>
        <v>0</v>
      </c>
      <c r="I39" s="21" t="n">
        <f aca="false">IF(OR($A39="",$E39=0),0,MIN($F39,MAX(0,MIN(DATE(I$4,12,31),$G39)-MAX(DATE(I$4,1,1),$C39)+1)*$F39/365))</f>
        <v>0</v>
      </c>
      <c r="J39" s="21" t="n">
        <f aca="false">IF(OR($A39="",$E39=0),0,MIN($F39,MAX(0,MIN(DATE(J$4,12,31),$G39)-MAX(DATE(J$4,1,1),$C39)+1)*$F39/365))</f>
        <v>0</v>
      </c>
      <c r="K39" s="21" t="n">
        <f aca="false">IF(OR($A39="",$E39=0),0,MIN($F39,MAX(0,MIN(DATE(K$4,12,31),$G39)-MAX(DATE(K$4,1,1),$C39)+1)*$F39/365))</f>
        <v>0</v>
      </c>
      <c r="L39" s="21" t="n">
        <f aca="false">IF(OR($A39="",$E39=0),0,MIN($F39,MAX(0,MIN(DATE(L$4,12,31),$G39)-MAX(DATE(L$4,1,1),$C39)+1)*$F39/365))</f>
        <v>0</v>
      </c>
    </row>
    <row r="40" customFormat="false" ht="15" hidden="false" customHeight="true" outlineLevel="0" collapsed="false">
      <c r="A40" s="11"/>
      <c r="B40" s="11"/>
      <c r="C40" s="13"/>
      <c r="D40" s="24"/>
      <c r="E40" s="43"/>
      <c r="F40" s="21" t="n">
        <f aca="false">IF(OR(A40="",E40=0),0,D40/E40)</f>
        <v>0</v>
      </c>
      <c r="G40" s="44" t="str">
        <f aca="false">IF(OR(A40="",E40=0),"",EDATE(C40,ROUND(E40*12,0))-1)</f>
        <v/>
      </c>
      <c r="H40" s="21" t="n">
        <f aca="false">IF(OR($A40="",$E40=0),0,MIN($F40,MAX(0,MIN(DATE(H$4,12,31),$G40)-MAX(DATE(H$4,1,1),$C40)+1)*$F40/365))</f>
        <v>0</v>
      </c>
      <c r="I40" s="21" t="n">
        <f aca="false">IF(OR($A40="",$E40=0),0,MIN($F40,MAX(0,MIN(DATE(I$4,12,31),$G40)-MAX(DATE(I$4,1,1),$C40)+1)*$F40/365))</f>
        <v>0</v>
      </c>
      <c r="J40" s="21" t="n">
        <f aca="false">IF(OR($A40="",$E40=0),0,MIN($F40,MAX(0,MIN(DATE(J$4,12,31),$G40)-MAX(DATE(J$4,1,1),$C40)+1)*$F40/365))</f>
        <v>0</v>
      </c>
      <c r="K40" s="21" t="n">
        <f aca="false">IF(OR($A40="",$E40=0),0,MIN($F40,MAX(0,MIN(DATE(K$4,12,31),$G40)-MAX(DATE(K$4,1,1),$C40)+1)*$F40/365))</f>
        <v>0</v>
      </c>
      <c r="L40" s="21" t="n">
        <f aca="false">IF(OR($A40="",$E40=0),0,MIN($F40,MAX(0,MIN(DATE(L$4,12,31),$G40)-MAX(DATE(L$4,1,1),$C40)+1)*$F40/365))</f>
        <v>0</v>
      </c>
    </row>
  </sheetData>
  <dataValidations count="1">
    <dataValidation allowBlank="true" errorStyle="stop" operator="between" showDropDown="false" showErrorMessage="false" showInputMessage="false" sqref="A5:A40" type="list">
      <formula1>lst_biens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D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8"/>
    <col collapsed="false" customWidth="true" hidden="false" outlineLevel="0" max="3" min="3" style="1" width="16"/>
    <col collapsed="false" customWidth="true" hidden="false" outlineLevel="0" max="4" min="4" style="1" width="90"/>
  </cols>
  <sheetData>
    <row r="1" customFormat="false" ht="19.5" hidden="false" customHeight="true" outlineLevel="0" collapsed="false">
      <c r="A1" s="2" t="s">
        <v>447</v>
      </c>
    </row>
    <row r="2" customFormat="false" ht="15" hidden="false" customHeight="true" outlineLevel="0" collapsed="false">
      <c r="A2" s="3" t="s">
        <v>448</v>
      </c>
    </row>
    <row r="4" customFormat="false" ht="15" hidden="false" customHeight="true" outlineLevel="0" collapsed="false">
      <c r="B4" s="12" t="s">
        <v>449</v>
      </c>
    </row>
    <row r="5" customFormat="false" ht="15" hidden="false" customHeight="true" outlineLevel="0" collapsed="false">
      <c r="B5" s="20" t="s">
        <v>57</v>
      </c>
      <c r="C5" s="11" t="s">
        <v>58</v>
      </c>
    </row>
    <row r="6" customFormat="false" ht="15" hidden="false" customHeight="true" outlineLevel="0" collapsed="false">
      <c r="B6" s="20" t="s">
        <v>450</v>
      </c>
      <c r="C6" s="13" t="n">
        <v>46568</v>
      </c>
    </row>
    <row r="7" customFormat="false" ht="15" hidden="false" customHeight="true" outlineLevel="0" collapsed="false">
      <c r="B7" s="20" t="s">
        <v>451</v>
      </c>
      <c r="C7" s="36" t="n">
        <v>279000</v>
      </c>
    </row>
    <row r="8" customFormat="false" ht="15" hidden="false" customHeight="true" outlineLevel="0" collapsed="false">
      <c r="B8" s="20" t="s">
        <v>452</v>
      </c>
      <c r="C8" s="46" t="n">
        <v>0</v>
      </c>
      <c r="D8" s="23" t="s">
        <v>453</v>
      </c>
    </row>
    <row r="9" customFormat="false" ht="15" hidden="false" customHeight="true" outlineLevel="0" collapsed="false">
      <c r="B9" s="20" t="s">
        <v>454</v>
      </c>
      <c r="C9" s="36" t="n">
        <v>1674</v>
      </c>
    </row>
    <row r="10" customFormat="false" ht="15" hidden="false" customHeight="true" outlineLevel="0" collapsed="false">
      <c r="B10" s="20" t="s">
        <v>455</v>
      </c>
      <c r="C10" s="36" t="n">
        <v>0</v>
      </c>
      <c r="D10" s="23" t="s">
        <v>456</v>
      </c>
    </row>
    <row r="11" customFormat="false" ht="15" hidden="false" customHeight="true" outlineLevel="0" collapsed="false">
      <c r="B11" s="20" t="s">
        <v>457</v>
      </c>
      <c r="C11" s="36" t="n">
        <v>27900</v>
      </c>
      <c r="D11" s="23" t="s">
        <v>458</v>
      </c>
    </row>
    <row r="12" customFormat="false" ht="15" hidden="false" customHeight="true" outlineLevel="0" collapsed="false">
      <c r="B12" s="20" t="s">
        <v>459</v>
      </c>
      <c r="C12" s="46" t="n">
        <v>0.19</v>
      </c>
    </row>
    <row r="13" customFormat="false" ht="15" hidden="false" customHeight="true" outlineLevel="0" collapsed="false">
      <c r="B13" s="20" t="s">
        <v>460</v>
      </c>
      <c r="C13" s="46" t="n">
        <v>0.172</v>
      </c>
      <c r="D13" s="23" t="s">
        <v>461</v>
      </c>
    </row>
    <row r="15" customFormat="false" ht="15" hidden="false" customHeight="true" outlineLevel="0" collapsed="false">
      <c r="B15" s="12" t="s">
        <v>462</v>
      </c>
    </row>
    <row r="16" customFormat="false" ht="15" hidden="false" customHeight="true" outlineLevel="0" collapsed="false">
      <c r="B16" s="20" t="s">
        <v>463</v>
      </c>
      <c r="C16" s="26" t="n">
        <f aca="false">C7</f>
        <v>279000</v>
      </c>
    </row>
    <row r="17" customFormat="false" ht="15" hidden="false" customHeight="true" outlineLevel="0" collapsed="false">
      <c r="B17" s="20" t="s">
        <v>464</v>
      </c>
      <c r="C17" s="26" t="n">
        <f aca="false">-C7*C8</f>
        <v>-0</v>
      </c>
    </row>
    <row r="18" customFormat="false" ht="15" hidden="false" customHeight="true" outlineLevel="0" collapsed="false">
      <c r="B18" s="20" t="s">
        <v>465</v>
      </c>
      <c r="C18" s="26" t="n">
        <f aca="false">-C9</f>
        <v>-1674</v>
      </c>
    </row>
    <row r="19" customFormat="false" ht="15" hidden="false" customHeight="true" outlineLevel="0" collapsed="false">
      <c r="B19" s="20" t="s">
        <v>466</v>
      </c>
      <c r="C19" s="26" t="n">
        <f aca="false">-(SUMIFS(Prêts!$E$5:$E$14,Prêts!$B$5:$B$14,$C$5)-SUMIFS(Échéancier!$F$5:$F$300,Échéancier!$J$5:$J$300,$C$5,Échéancier!$C$5:$C$300,"&lt;="&amp;C6))</f>
        <v>-94982.35</v>
      </c>
    </row>
    <row r="20" customFormat="false" ht="15" hidden="false" customHeight="true" outlineLevel="0" collapsed="false">
      <c r="B20" s="20" t="s">
        <v>467</v>
      </c>
      <c r="C20" s="26" t="n">
        <f aca="false">-C10</f>
        <v>-0</v>
      </c>
    </row>
    <row r="21" customFormat="false" ht="15" hidden="false" customHeight="true" outlineLevel="0" collapsed="false">
      <c r="B21" s="10" t="s">
        <v>468</v>
      </c>
      <c r="C21" s="47" t="n">
        <f aca="false">SUM(C16:C20)</f>
        <v>182343.65</v>
      </c>
    </row>
    <row r="22" customFormat="false" ht="15" hidden="false" customHeight="true" outlineLevel="0" collapsed="false">
      <c r="B22" s="20" t="s">
        <v>469</v>
      </c>
      <c r="C22" s="26" t="n">
        <f aca="false">-C46</f>
        <v>-0</v>
      </c>
    </row>
    <row r="23" customFormat="false" ht="15" hidden="false" customHeight="true" outlineLevel="0" collapsed="false">
      <c r="B23" s="10" t="s">
        <v>470</v>
      </c>
      <c r="C23" s="47" t="n">
        <f aca="false">C21+C22</f>
        <v>182343.65</v>
      </c>
    </row>
    <row r="25" customFormat="false" ht="15" hidden="false" customHeight="true" outlineLevel="0" collapsed="false">
      <c r="B25" s="20" t="s">
        <v>471</v>
      </c>
      <c r="C25" s="26" t="n">
        <f aca="false">IFERROR(INDEX(Biens!$N$5:$N$30,MATCH($C$5,Biens!$A$5:$A$30,0)),0)</f>
        <v>97968.99</v>
      </c>
    </row>
    <row r="26" customFormat="false" ht="15" hidden="false" customHeight="true" outlineLevel="0" collapsed="false">
      <c r="B26" s="20" t="s">
        <v>472</v>
      </c>
      <c r="C26" s="26" t="n">
        <f aca="false">SUMIFS(Journal!$K$5:$K$1004,Journal!$C$5:$C$1004,$C$5,Journal!$A$5:$A$1004,"&lt;="&amp;MIN(C6,Synthèse!$C$4))-SUMIFS(Échéancier!$I$5:$I$300,Échéancier!$J$5:$J$300,$C$5,Échéancier!$K$5:$K$300,1,Échéancier!$C$5:$C$300,"&lt;="&amp;MIN(C6,Synthèse!$C$4))</f>
        <v>-9915.98</v>
      </c>
      <c r="D26" s="23" t="s">
        <v>473</v>
      </c>
    </row>
    <row r="27" customFormat="false" ht="15" hidden="false" customHeight="true" outlineLevel="0" collapsed="false">
      <c r="B27" s="20" t="s">
        <v>474</v>
      </c>
      <c r="C27" s="26" t="n">
        <f aca="false">IFERROR(INDEX(Biens!$V$5:$V$30,MATCH($C$5,Biens!$A$5:$A$30,0)),0)</f>
        <v>2064.6</v>
      </c>
    </row>
    <row r="32" customFormat="false" ht="15" hidden="false" customHeight="true" outlineLevel="0" collapsed="false">
      <c r="B32" s="12" t="s">
        <v>475</v>
      </c>
    </row>
    <row r="33" customFormat="false" ht="15" hidden="false" customHeight="true" outlineLevel="0" collapsed="false">
      <c r="B33" s="20" t="s">
        <v>476</v>
      </c>
      <c r="C33" s="48" t="n">
        <f aca="false">DATEDIF(IFERROR(INDEX(Biens!$H$5:$H$30,MATCH($C$5,Biens!$A$5:$A$30,0)),0),C6,"y")</f>
        <v>9</v>
      </c>
    </row>
    <row r="34" customFormat="false" ht="15" hidden="false" customHeight="true" outlineLevel="0" collapsed="false">
      <c r="B34" s="20" t="s">
        <v>477</v>
      </c>
      <c r="C34" s="26" t="n">
        <f aca="false">C7-C7*C8-C9</f>
        <v>277326</v>
      </c>
    </row>
    <row r="35" customFormat="false" ht="15" hidden="false" customHeight="true" outlineLevel="0" collapsed="false">
      <c r="B35" s="20" t="s">
        <v>478</v>
      </c>
      <c r="C35" s="26" t="n">
        <f aca="false">IFERROR(INDEX(Biens!$I$5:$I$30,MATCH($C$5,Biens!$A$5:$A$30,0)),0)-IFERROR(INDEX(Biens!$J$5:$J$30,MATCH($C$5,Biens!$A$5:$A$30,0)),0)</f>
        <v>231570</v>
      </c>
    </row>
    <row r="36" customFormat="false" ht="15" hidden="false" customHeight="true" outlineLevel="0" collapsed="false">
      <c r="B36" s="20" t="s">
        <v>479</v>
      </c>
      <c r="C36" s="26" t="n">
        <f aca="false">MAX(C11,0.075*C35)</f>
        <v>27900</v>
      </c>
    </row>
    <row r="37" customFormat="false" ht="15" hidden="false" customHeight="true" outlineLevel="0" collapsed="false">
      <c r="B37" s="20" t="s">
        <v>480</v>
      </c>
      <c r="C37" s="26" t="n">
        <f aca="false">IF(C33&gt;5,0.15*C35,0)</f>
        <v>34735.5</v>
      </c>
    </row>
    <row r="38" customFormat="false" ht="15" hidden="false" customHeight="true" outlineLevel="0" collapsed="false">
      <c r="B38" s="20" t="s">
        <v>481</v>
      </c>
      <c r="C38" s="26" t="n">
        <f aca="false">-SUM(IF(ISNUMBER(Synthèse!D32),Synthèse!D25+Synthèse!D26-Synthèse!D32,N(Synthèse!D27)),IF(ISNUMBER(Synthèse!E32),Synthèse!E25+Synthèse!E26-Synthèse!E32,N(Synthèse!E27)),IF(ISNUMBER(Synthèse!F32),Synthèse!F25+Synthèse!F26-Synthèse!F32,N(Synthèse!F27)),IF(ISNUMBER(Synthèse!G32),Synthèse!G25+Synthèse!G26-Synthèse!G32,N(Synthèse!G27)),IF(ISNUMBER(Synthèse!H32),Synthèse!H25+Synthèse!H26-Synthèse!H32,N(Synthèse!H27)))</f>
        <v>-13921.5155271233</v>
      </c>
      <c r="D38" s="23" t="s">
        <v>482</v>
      </c>
    </row>
    <row r="39" customFormat="false" ht="15" hidden="false" customHeight="true" outlineLevel="0" collapsed="false">
      <c r="B39" s="10" t="s">
        <v>483</v>
      </c>
      <c r="C39" s="47" t="n">
        <f aca="false">SUM(C35:C38)</f>
        <v>280283.984472877</v>
      </c>
    </row>
    <row r="40" customFormat="false" ht="15" hidden="false" customHeight="true" outlineLevel="0" collapsed="false">
      <c r="B40" s="10" t="s">
        <v>484</v>
      </c>
      <c r="C40" s="47" t="n">
        <f aca="false">MAX(0,C34-C39)</f>
        <v>0</v>
      </c>
    </row>
    <row r="41" customFormat="false" ht="15" hidden="false" customHeight="true" outlineLevel="0" collapsed="false">
      <c r="B41" s="20" t="s">
        <v>485</v>
      </c>
      <c r="C41" s="27" t="n">
        <f aca="false">IF(C33&lt;6,0,IF(C33&lt;=21,(C33-5)*0.06,1))</f>
        <v>0.24</v>
      </c>
    </row>
    <row r="42" customFormat="false" ht="15" hidden="false" customHeight="true" outlineLevel="0" collapsed="false">
      <c r="B42" s="20" t="s">
        <v>486</v>
      </c>
      <c r="C42" s="27" t="n">
        <f aca="false">IF(C33&lt;6,0,IF(C33&lt;=21,(C33-5)*0.0165,IF(C33=22,0.28,MIN(1,0.28+(C33-22)*0.09))))</f>
        <v>0.066</v>
      </c>
    </row>
    <row r="43" customFormat="false" ht="15" hidden="false" customHeight="true" outlineLevel="0" collapsed="false">
      <c r="B43" s="20" t="s">
        <v>487</v>
      </c>
      <c r="C43" s="26" t="n">
        <f aca="false">C40*(1-C41)*C12</f>
        <v>0</v>
      </c>
    </row>
    <row r="44" customFormat="false" ht="15" hidden="false" customHeight="true" outlineLevel="0" collapsed="false">
      <c r="B44" s="20" t="s">
        <v>488</v>
      </c>
      <c r="C44" s="26" t="n">
        <f aca="false">C40*(1-C42)*C13</f>
        <v>0</v>
      </c>
    </row>
    <row r="45" customFormat="false" ht="15" hidden="false" customHeight="true" outlineLevel="0" collapsed="false">
      <c r="B45" s="20" t="s">
        <v>489</v>
      </c>
      <c r="C45" s="26" t="n">
        <f aca="false">IF(C40*(1-C41)&gt;50000,"À calculer",0)</f>
        <v>0</v>
      </c>
    </row>
    <row r="46" customFormat="false" ht="15" hidden="false" customHeight="true" outlineLevel="0" collapsed="false">
      <c r="B46" s="10" t="s">
        <v>490</v>
      </c>
      <c r="C46" s="47" t="n">
        <f aca="false">C43+C44+N(C45)</f>
        <v>0</v>
      </c>
    </row>
    <row r="48" customFormat="false" ht="15" hidden="false" customHeight="true" outlineLevel="0" collapsed="false">
      <c r="B48" s="49" t="s">
        <v>491</v>
      </c>
      <c r="C48" s="49"/>
      <c r="D48" s="49"/>
    </row>
    <row r="49" customFormat="false" ht="15" hidden="false" customHeight="true" outlineLevel="0" collapsed="false">
      <c r="B49" s="49"/>
      <c r="C49" s="49"/>
      <c r="D49" s="49"/>
    </row>
    <row r="50" customFormat="false" ht="15" hidden="false" customHeight="true" outlineLevel="0" collapsed="false">
      <c r="B50" s="49"/>
      <c r="C50" s="49"/>
      <c r="D50" s="49"/>
    </row>
    <row r="51" customFormat="false" ht="15" hidden="false" customHeight="true" outlineLevel="0" collapsed="false">
      <c r="B51" s="49"/>
      <c r="C51" s="49"/>
      <c r="D51" s="49"/>
    </row>
  </sheetData>
  <mergeCells count="1">
    <mergeCell ref="B48:D51"/>
  </mergeCells>
  <dataValidations count="1">
    <dataValidation allowBlank="false" errorStyle="stop" operator="between" showDropDown="false" showErrorMessage="false" showInputMessage="false" sqref="C5" type="list">
      <formula1>lst_biens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L4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4"/>
    <col collapsed="false" customWidth="true" hidden="false" outlineLevel="0" max="5" min="3" style="1" width="14"/>
    <col collapsed="false" customWidth="true" hidden="false" outlineLevel="0" max="7" min="6" style="1" width="16"/>
    <col collapsed="false" customWidth="true" hidden="false" outlineLevel="0" max="8" min="8" style="1" width="14"/>
    <col collapsed="false" customWidth="true" hidden="false" outlineLevel="0" max="12" min="9" style="1" width="13"/>
  </cols>
  <sheetData>
    <row r="1" customFormat="false" ht="19.5" hidden="false" customHeight="true" outlineLevel="0" collapsed="false">
      <c r="A1" s="2" t="s">
        <v>492</v>
      </c>
    </row>
    <row r="2" customFormat="false" ht="15" hidden="false" customHeight="true" outlineLevel="0" collapsed="false">
      <c r="A2" s="3" t="s">
        <v>493</v>
      </c>
    </row>
    <row r="4" customFormat="false" ht="15" hidden="false" customHeight="true" outlineLevel="0" collapsed="false">
      <c r="B4" s="19" t="s">
        <v>494</v>
      </c>
    </row>
    <row r="5" customFormat="false" ht="15" hidden="false" customHeight="true" outlineLevel="0" collapsed="false">
      <c r="B5" s="20" t="s">
        <v>57</v>
      </c>
      <c r="C5" s="50" t="str">
        <f aca="false">Revente!C5</f>
        <v>APPART-01</v>
      </c>
      <c r="D5" s="51" t="s">
        <v>495</v>
      </c>
    </row>
    <row r="6" customFormat="false" ht="15" hidden="false" customHeight="true" outlineLevel="0" collapsed="false">
      <c r="B6" s="20" t="s">
        <v>496</v>
      </c>
      <c r="C6" s="52" t="n">
        <f aca="false">Synthèse!C4</f>
        <v>46320</v>
      </c>
      <c r="D6" s="51" t="s">
        <v>497</v>
      </c>
    </row>
    <row r="7" customFormat="false" ht="15" hidden="false" customHeight="true" outlineLevel="0" collapsed="false">
      <c r="B7" s="20" t="s">
        <v>341</v>
      </c>
      <c r="C7" s="52" t="n">
        <f aca="false">IFERROR(INDEX(Biens!$H$5:$H$30,MATCH($C$5,Biens!$A$5:$A$30,0)),0)</f>
        <v>43049</v>
      </c>
      <c r="D7" s="51" t="s">
        <v>498</v>
      </c>
    </row>
    <row r="8" customFormat="false" ht="15" hidden="false" customHeight="true" outlineLevel="0" collapsed="false">
      <c r="B8" s="20" t="s">
        <v>346</v>
      </c>
      <c r="C8" s="53" t="n">
        <f aca="false">IFERROR(INDEX(Biens!$N$5:$N$30,MATCH($C$5,Biens!$A$5:$A$30,0)),0)</f>
        <v>97968.99</v>
      </c>
      <c r="D8" s="51" t="s">
        <v>498</v>
      </c>
    </row>
    <row r="9" customFormat="false" ht="15" hidden="false" customHeight="true" outlineLevel="0" collapsed="false">
      <c r="B9" s="20" t="s">
        <v>499</v>
      </c>
      <c r="C9" s="13" t="n">
        <v>45231</v>
      </c>
      <c r="D9" s="51" t="s">
        <v>500</v>
      </c>
    </row>
    <row r="10" customFormat="false" ht="15" hidden="false" customHeight="true" outlineLevel="0" collapsed="false">
      <c r="B10" s="20" t="s">
        <v>501</v>
      </c>
      <c r="C10" s="36" t="n">
        <v>976.5</v>
      </c>
      <c r="D10" s="51" t="s">
        <v>502</v>
      </c>
    </row>
    <row r="11" customFormat="false" ht="15" hidden="false" customHeight="true" outlineLevel="0" collapsed="false">
      <c r="B11" s="20" t="s">
        <v>503</v>
      </c>
      <c r="C11" s="46" t="n">
        <v>0.0178</v>
      </c>
      <c r="D11" s="51" t="s">
        <v>504</v>
      </c>
    </row>
    <row r="12" customFormat="false" ht="15" hidden="false" customHeight="true" outlineLevel="0" collapsed="false">
      <c r="B12" s="20" t="s">
        <v>505</v>
      </c>
      <c r="C12" s="24" t="n">
        <v>1056.61</v>
      </c>
      <c r="D12" s="51" t="s">
        <v>506</v>
      </c>
    </row>
    <row r="13" customFormat="false" ht="15" hidden="false" customHeight="true" outlineLevel="0" collapsed="false">
      <c r="B13" s="20" t="s">
        <v>507</v>
      </c>
      <c r="C13" s="36" t="n">
        <v>5598.6</v>
      </c>
      <c r="D13" s="51" t="s">
        <v>508</v>
      </c>
    </row>
    <row r="14" customFormat="false" ht="15" hidden="false" customHeight="true" outlineLevel="0" collapsed="false">
      <c r="B14" s="20" t="s">
        <v>509</v>
      </c>
      <c r="C14" s="46" t="n">
        <v>0.015</v>
      </c>
    </row>
    <row r="15" customFormat="false" ht="15" hidden="false" customHeight="true" outlineLevel="0" collapsed="false">
      <c r="B15" s="20" t="s">
        <v>510</v>
      </c>
      <c r="C15" s="36" t="n">
        <v>4185</v>
      </c>
      <c r="D15" s="51" t="s">
        <v>511</v>
      </c>
    </row>
    <row r="16" customFormat="false" ht="15" hidden="false" customHeight="true" outlineLevel="0" collapsed="false">
      <c r="B16" s="20" t="s">
        <v>512</v>
      </c>
      <c r="C16" s="36" t="n">
        <v>558</v>
      </c>
      <c r="D16" s="51" t="s">
        <v>513</v>
      </c>
    </row>
    <row r="17" customFormat="false" ht="15" hidden="false" customHeight="true" outlineLevel="0" collapsed="false">
      <c r="B17" s="20" t="s">
        <v>514</v>
      </c>
      <c r="C17" s="46" t="n">
        <v>1</v>
      </c>
      <c r="D17" s="51" t="s">
        <v>515</v>
      </c>
    </row>
    <row r="18" customFormat="false" ht="15" hidden="false" customHeight="true" outlineLevel="0" collapsed="false">
      <c r="B18" s="20" t="s">
        <v>516</v>
      </c>
      <c r="C18" s="36" t="n">
        <v>0</v>
      </c>
      <c r="D18" s="51" t="s">
        <v>517</v>
      </c>
    </row>
    <row r="20" customFormat="false" ht="15" hidden="false" customHeight="true" outlineLevel="0" collapsed="false">
      <c r="B20" s="19" t="s">
        <v>518</v>
      </c>
    </row>
    <row r="21" customFormat="false" ht="15" hidden="false" customHeight="true" outlineLevel="0" collapsed="false">
      <c r="B21" s="54" t="s">
        <v>61</v>
      </c>
      <c r="C21" s="55" t="s">
        <v>519</v>
      </c>
      <c r="D21" s="55" t="s">
        <v>520</v>
      </c>
      <c r="E21" s="55" t="s">
        <v>521</v>
      </c>
      <c r="F21" s="54" t="s">
        <v>522</v>
      </c>
    </row>
    <row r="22" customFormat="false" ht="15" hidden="false" customHeight="true" outlineLevel="0" collapsed="false">
      <c r="B22" s="20" t="s">
        <v>523</v>
      </c>
      <c r="C22" s="13" t="n">
        <v>46568</v>
      </c>
      <c r="D22" s="13" t="n">
        <v>46934</v>
      </c>
      <c r="E22" s="13" t="n">
        <v>47299</v>
      </c>
    </row>
    <row r="23" customFormat="false" ht="15" hidden="false" customHeight="true" outlineLevel="0" collapsed="false">
      <c r="B23" s="20" t="s">
        <v>451</v>
      </c>
      <c r="C23" s="36" t="n">
        <v>279000</v>
      </c>
      <c r="D23" s="36" t="n">
        <v>279000</v>
      </c>
      <c r="E23" s="36" t="n">
        <v>279000</v>
      </c>
    </row>
    <row r="25" customFormat="false" ht="15" hidden="false" customHeight="true" outlineLevel="0" collapsed="false">
      <c r="B25" s="56" t="s">
        <v>524</v>
      </c>
    </row>
    <row r="26" customFormat="false" ht="15" hidden="false" customHeight="true" outlineLevel="0" collapsed="false">
      <c r="B26" s="20" t="s">
        <v>463</v>
      </c>
      <c r="C26" s="26" t="n">
        <f aca="false">C23</f>
        <v>279000</v>
      </c>
      <c r="D26" s="26" t="n">
        <f aca="false">D23</f>
        <v>279000</v>
      </c>
      <c r="E26" s="26" t="n">
        <f aca="false">E23</f>
        <v>279000</v>
      </c>
    </row>
    <row r="27" customFormat="false" ht="15" hidden="false" customHeight="true" outlineLevel="0" collapsed="false">
      <c r="B27" s="20" t="s">
        <v>464</v>
      </c>
      <c r="C27" s="26" t="n">
        <f aca="false">-C23*Revente!$C$8</f>
        <v>-0</v>
      </c>
      <c r="D27" s="26" t="n">
        <f aca="false">-D23*Revente!$C$8</f>
        <v>-0</v>
      </c>
      <c r="E27" s="26" t="n">
        <f aca="false">-E23*Revente!$C$8</f>
        <v>-0</v>
      </c>
    </row>
    <row r="28" customFormat="false" ht="15" hidden="false" customHeight="true" outlineLevel="0" collapsed="false">
      <c r="B28" s="20" t="s">
        <v>465</v>
      </c>
      <c r="C28" s="26" t="n">
        <f aca="false">-Revente!$C$9</f>
        <v>-1674</v>
      </c>
      <c r="D28" s="26" t="n">
        <f aca="false">-Revente!$C$9</f>
        <v>-1674</v>
      </c>
      <c r="E28" s="26" t="n">
        <f aca="false">-Revente!$C$9</f>
        <v>-1674</v>
      </c>
    </row>
    <row r="29" customFormat="false" ht="15" hidden="false" customHeight="true" outlineLevel="0" collapsed="false">
      <c r="B29" s="20" t="s">
        <v>525</v>
      </c>
      <c r="C29" s="26" t="n">
        <f aca="false">-(SUMIFS(Prêts!$E$5:$E$14,Prêts!$B$5:$B$14,$C$5)-SUMIFS(Échéancier!$F$5:$F$300,Échéancier!$J$5:$J$300,$C$5,Échéancier!$C$5:$C$300,"&lt;="&amp;C22))</f>
        <v>-94982.35</v>
      </c>
      <c r="D29" s="26" t="n">
        <f aca="false">-(SUMIFS(Prêts!$E$5:$E$14,Prêts!$B$5:$B$14,$C$5)-SUMIFS(Échéancier!$F$5:$F$300,Échéancier!$J$5:$J$300,$C$5,Échéancier!$C$5:$C$300,"&lt;="&amp;D22))</f>
        <v>-86493.93</v>
      </c>
      <c r="E29" s="26" t="n">
        <f aca="false">-(SUMIFS(Prêts!$E$5:$E$14,Prêts!$B$5:$B$14,$C$5)-SUMIFS(Échéancier!$F$5:$F$300,Échéancier!$J$5:$J$300,$C$5,Échéancier!$C$5:$C$300,"&lt;="&amp;E22))</f>
        <v>-77877.34</v>
      </c>
    </row>
    <row r="30" customFormat="false" ht="15" hidden="false" customHeight="true" outlineLevel="0" collapsed="false">
      <c r="B30" s="20" t="s">
        <v>467</v>
      </c>
      <c r="C30" s="26" t="n">
        <f aca="false">-Revente!$C$10</f>
        <v>-0</v>
      </c>
      <c r="D30" s="26" t="n">
        <f aca="false">-Revente!$C$10</f>
        <v>-0</v>
      </c>
      <c r="E30" s="26" t="n">
        <f aca="false">-Revente!$C$10</f>
        <v>-0</v>
      </c>
    </row>
    <row r="31" customFormat="false" ht="15" hidden="false" customHeight="true" outlineLevel="0" collapsed="false">
      <c r="B31" s="20" t="s">
        <v>526</v>
      </c>
      <c r="C31" s="26" t="n">
        <f aca="false">-C44</f>
        <v>-0</v>
      </c>
      <c r="D31" s="26" t="n">
        <f aca="false">-D44</f>
        <v>-356.828385442726</v>
      </c>
      <c r="E31" s="26" t="n">
        <f aca="false">-E44</f>
        <v>-1496.81195836754</v>
      </c>
      <c r="F31" s="51" t="s">
        <v>527</v>
      </c>
    </row>
    <row r="32" customFormat="false" ht="15" hidden="false" customHeight="true" outlineLevel="0" collapsed="false">
      <c r="B32" s="10" t="s">
        <v>528</v>
      </c>
      <c r="C32" s="47" t="n">
        <f aca="false">SUM(C26:C31)</f>
        <v>182343.65</v>
      </c>
      <c r="D32" s="47" t="n">
        <f aca="false">SUM(D26:D31)</f>
        <v>190475.241614557</v>
      </c>
      <c r="E32" s="47" t="n">
        <f aca="false">SUM(E26:E31)</f>
        <v>197951.848041632</v>
      </c>
    </row>
    <row r="33" customFormat="false" ht="15" hidden="false" customHeight="true" outlineLevel="0" collapsed="false">
      <c r="B33" s="20" t="s">
        <v>529</v>
      </c>
      <c r="C33" s="26" t="n">
        <f aca="false">-$C$18</f>
        <v>-0</v>
      </c>
      <c r="D33" s="26" t="n">
        <f aca="false">-$C$18</f>
        <v>-0</v>
      </c>
      <c r="E33" s="26" t="n">
        <f aca="false">-$C$18</f>
        <v>-0</v>
      </c>
    </row>
    <row r="34" customFormat="false" ht="15" hidden="false" customHeight="true" outlineLevel="0" collapsed="false">
      <c r="B34" s="10" t="s">
        <v>530</v>
      </c>
      <c r="C34" s="47" t="n">
        <f aca="false">C32+C33</f>
        <v>182343.65</v>
      </c>
      <c r="D34" s="47" t="n">
        <f aca="false">D32+D33</f>
        <v>190475.241614557</v>
      </c>
      <c r="E34" s="47" t="n">
        <f aca="false">E32+E33</f>
        <v>197951.848041632</v>
      </c>
    </row>
    <row r="36" customFormat="false" ht="15" hidden="false" customHeight="true" outlineLevel="0" collapsed="false">
      <c r="B36" s="56" t="s">
        <v>531</v>
      </c>
    </row>
    <row r="37" customFormat="false" ht="15" hidden="false" customHeight="true" outlineLevel="0" collapsed="false">
      <c r="B37" s="20" t="s">
        <v>476</v>
      </c>
      <c r="C37" s="57" t="n">
        <f aca="false">DATEDIF($C$7,C22,"y")</f>
        <v>9</v>
      </c>
      <c r="D37" s="57" t="n">
        <f aca="false">DATEDIF($C$7,D22,"y")</f>
        <v>10</v>
      </c>
      <c r="E37" s="57" t="n">
        <f aca="false">DATEDIF($C$7,E22,"y")</f>
        <v>11</v>
      </c>
    </row>
    <row r="38" customFormat="false" ht="15" hidden="false" customHeight="true" outlineLevel="0" collapsed="false">
      <c r="B38" s="20" t="s">
        <v>477</v>
      </c>
      <c r="C38" s="26" t="n">
        <f aca="false">C23*(1-Revente!$C$8)-Revente!$C$9</f>
        <v>277326</v>
      </c>
      <c r="D38" s="26" t="n">
        <f aca="false">D23*(1-Revente!$C$8)-Revente!$C$9</f>
        <v>277326</v>
      </c>
      <c r="E38" s="26" t="n">
        <f aca="false">E23*(1-Revente!$C$8)-Revente!$C$9</f>
        <v>277326</v>
      </c>
    </row>
    <row r="39" customFormat="false" ht="15" hidden="false" customHeight="true" outlineLevel="0" collapsed="false">
      <c r="B39" s="20" t="s">
        <v>532</v>
      </c>
      <c r="C39" s="26" t="n">
        <f aca="false">(IFERROR(INDEX(Biens!$I$5:$I$30,MATCH($C$5,Biens!$A$5:$A$30,0)),0)-IFERROR(INDEX(Biens!$J$5:$J$30,MATCH($C$5,Biens!$A$5:$A$30,0)),0))+MAX(Revente!$C$11,0.075*(IFERROR(INDEX(Biens!$I$5:$I$30,MATCH($C$5,Biens!$A$5:$A$30,0)),0)-IFERROR(INDEX(Biens!$J$5:$J$30,MATCH($C$5,Biens!$A$5:$A$30,0)),0)))+IF(C37&gt;5,0.15*(IFERROR(INDEX(Biens!$I$5:$I$30,MATCH($C$5,Biens!$A$5:$A$30,0)),0)-IFERROR(INDEX(Biens!$J$5:$J$30,MATCH($C$5,Biens!$A$5:$A$30,0)),0)),0)</f>
        <v>294205.5</v>
      </c>
      <c r="D39" s="26" t="n">
        <f aca="false">(IFERROR(INDEX(Biens!$I$5:$I$30,MATCH($C$5,Biens!$A$5:$A$30,0)),0)-IFERROR(INDEX(Biens!$J$5:$J$30,MATCH($C$5,Biens!$A$5:$A$30,0)),0))+MAX(Revente!$C$11,0.075*(IFERROR(INDEX(Biens!$I$5:$I$30,MATCH($C$5,Biens!$A$5:$A$30,0)),0)-IFERROR(INDEX(Biens!$J$5:$J$30,MATCH($C$5,Biens!$A$5:$A$30,0)),0)))+IF(D37&gt;5,0.15*(IFERROR(INDEX(Biens!$I$5:$I$30,MATCH($C$5,Biens!$A$5:$A$30,0)),0)-IFERROR(INDEX(Biens!$J$5:$J$30,MATCH($C$5,Biens!$A$5:$A$30,0)),0)),0)</f>
        <v>294205.5</v>
      </c>
      <c r="E39" s="26" t="n">
        <f aca="false">(IFERROR(INDEX(Biens!$I$5:$I$30,MATCH($C$5,Biens!$A$5:$A$30,0)),0)-IFERROR(INDEX(Biens!$J$5:$J$30,MATCH($C$5,Biens!$A$5:$A$30,0)),0))+MAX(Revente!$C$11,0.075*(IFERROR(INDEX(Biens!$I$5:$I$30,MATCH($C$5,Biens!$A$5:$A$30,0)),0)-IFERROR(INDEX(Biens!$J$5:$J$30,MATCH($C$5,Biens!$A$5:$A$30,0)),0)))+IF(E37&gt;5,0.15*(IFERROR(INDEX(Biens!$I$5:$I$30,MATCH($C$5,Biens!$A$5:$A$30,0)),0)-IFERROR(INDEX(Biens!$J$5:$J$30,MATCH($C$5,Biens!$A$5:$A$30,0)),0)),0)</f>
        <v>294205.5</v>
      </c>
      <c r="F39" s="51" t="s">
        <v>533</v>
      </c>
    </row>
    <row r="40" customFormat="false" ht="15" hidden="false" customHeight="true" outlineLevel="0" collapsed="false">
      <c r="B40" s="20" t="s">
        <v>534</v>
      </c>
      <c r="C40" s="26" t="n">
        <f aca="false">-SUMPRODUCT(($B$113:$B$128&lt;YEAR(C22))*$C$113:$C$128)</f>
        <v>-13921.5155271233</v>
      </c>
      <c r="D40" s="26" t="n">
        <f aca="false">-SUMPRODUCT(($B$113:$B$128&lt;YEAR(D22))*$C$113:$C$128)</f>
        <v>-18106.5155271233</v>
      </c>
      <c r="E40" s="26" t="n">
        <f aca="false">-SUMPRODUCT(($B$113:$B$128&lt;YEAR(E22))*$C$113:$C$128)</f>
        <v>-22291.5155271233</v>
      </c>
      <c r="F40" s="51" t="s">
        <v>535</v>
      </c>
    </row>
    <row r="41" customFormat="false" ht="15" hidden="false" customHeight="true" outlineLevel="0" collapsed="false">
      <c r="B41" s="10" t="s">
        <v>484</v>
      </c>
      <c r="C41" s="47" t="n">
        <f aca="false">MAX(0,C38-C39-C40)</f>
        <v>0</v>
      </c>
      <c r="D41" s="47" t="n">
        <f aca="false">MAX(0,D38-D39-D40)</f>
        <v>1227.0155271233</v>
      </c>
      <c r="E41" s="47" t="n">
        <f aca="false">MAX(0,E38-E39-E40)</f>
        <v>5412.0155271233</v>
      </c>
    </row>
    <row r="42" customFormat="false" ht="15" hidden="false" customHeight="true" outlineLevel="0" collapsed="false">
      <c r="B42" s="20" t="s">
        <v>485</v>
      </c>
      <c r="C42" s="27" t="n">
        <f aca="false">IF(C37&lt;6,0,IF(C37&lt;=21,(C37-5)*0.06,1))</f>
        <v>0.24</v>
      </c>
      <c r="D42" s="27" t="n">
        <f aca="false">IF(D37&lt;6,0,IF(D37&lt;=21,(D37-5)*0.06,1))</f>
        <v>0.3</v>
      </c>
      <c r="E42" s="27" t="n">
        <f aca="false">IF(E37&lt;6,0,IF(E37&lt;=21,(E37-5)*0.06,1))</f>
        <v>0.36</v>
      </c>
    </row>
    <row r="43" customFormat="false" ht="15" hidden="false" customHeight="true" outlineLevel="0" collapsed="false">
      <c r="B43" s="20" t="s">
        <v>486</v>
      </c>
      <c r="C43" s="27" t="n">
        <f aca="false">IF(C37&lt;6,0,IF(C37&lt;=21,(C37-5)*0.0165,IF(C37=22,0.28,MIN(1,0.28+(C37-22)*0.09))))</f>
        <v>0.066</v>
      </c>
      <c r="D43" s="27" t="n">
        <f aca="false">IF(D37&lt;6,0,IF(D37&lt;=21,(D37-5)*0.0165,IF(D37=22,0.28,MIN(1,0.28+(D37-22)*0.09))))</f>
        <v>0.0825</v>
      </c>
      <c r="E43" s="27" t="n">
        <f aca="false">IF(E37&lt;6,0,IF(E37&lt;=21,(E37-5)*0.0165,IF(E37=22,0.28,MIN(1,0.28+(E37-22)*0.09))))</f>
        <v>0.099</v>
      </c>
    </row>
    <row r="44" customFormat="false" ht="15" hidden="false" customHeight="true" outlineLevel="0" collapsed="false">
      <c r="B44" s="10" t="s">
        <v>536</v>
      </c>
      <c r="C44" s="47" t="n">
        <f aca="false">C41*(1-C42)*Revente!$C$12+C41*(1-C43)*Revente!$C$13</f>
        <v>0</v>
      </c>
      <c r="D44" s="47" t="n">
        <f aca="false">D41*(1-D42)*Revente!$C$12+D41*(1-D43)*Revente!$C$13</f>
        <v>356.828385442726</v>
      </c>
      <c r="E44" s="47" t="n">
        <f aca="false">E41*(1-E42)*Revente!$C$12+E41*(1-E43)*Revente!$C$13</f>
        <v>1496.81195836754</v>
      </c>
      <c r="F44" s="51" t="s">
        <v>537</v>
      </c>
    </row>
    <row r="45" customFormat="false" ht="15" hidden="false" customHeight="true" outlineLevel="0" collapsed="false">
      <c r="B45" s="20" t="s">
        <v>538</v>
      </c>
      <c r="C45" s="58" t="str">
        <f aca="false">IF($C$9="","Non applicable",IF(C22&gt;=EDATE($C$9,48),"Oui","Non"))</f>
        <v>Non</v>
      </c>
      <c r="D45" s="58" t="str">
        <f aca="false">IF($C$9="","Non applicable",IF(D22&gt;=EDATE($C$9,48),"Oui","Non"))</f>
        <v>Oui</v>
      </c>
      <c r="E45" s="58" t="str">
        <f aca="false">IF($C$9="","Non applicable",IF(E22&gt;=EDATE($C$9,48),"Oui","Non"))</f>
        <v>Oui</v>
      </c>
      <c r="F45" s="51" t="s">
        <v>539</v>
      </c>
    </row>
    <row r="46" customFormat="false" ht="15" hidden="false" customHeight="true" outlineLevel="0" collapsed="false">
      <c r="B46" s="20" t="s">
        <v>540</v>
      </c>
      <c r="C46" s="26" t="n">
        <f aca="false">IF(C45="Oui",C44*$C$17,0)</f>
        <v>0</v>
      </c>
      <c r="D46" s="26" t="n">
        <f aca="false">IF(D45="Oui",D44*$C$17,0)</f>
        <v>356.828385442726</v>
      </c>
      <c r="E46" s="26" t="n">
        <f aca="false">IF(E45="Oui",E44*$C$17,0)</f>
        <v>1496.81195836754</v>
      </c>
    </row>
    <row r="47" customFormat="false" ht="15" hidden="false" customHeight="true" outlineLevel="0" collapsed="false">
      <c r="B47" s="10" t="s">
        <v>541</v>
      </c>
      <c r="C47" s="47" t="n">
        <f aca="false">C32+C46</f>
        <v>182343.65</v>
      </c>
      <c r="D47" s="47" t="n">
        <f aca="false">D32+D46</f>
        <v>190832.07</v>
      </c>
      <c r="E47" s="47" t="n">
        <f aca="false">E32+E46</f>
        <v>199448.66</v>
      </c>
    </row>
    <row r="49" customFormat="false" ht="15" hidden="false" customHeight="true" outlineLevel="0" collapsed="false">
      <c r="B49" s="56" t="s">
        <v>542</v>
      </c>
    </row>
    <row r="50" customFormat="false" ht="15" hidden="false" customHeight="true" outlineLevel="0" collapsed="false">
      <c r="B50" s="20" t="s">
        <v>543</v>
      </c>
      <c r="C50" s="48" t="n">
        <f aca="false">SUMPRODUCT(($B$133:$B$432&gt;$C$6)*($C$133:$C$432&lt;=C22))</f>
        <v>8</v>
      </c>
      <c r="D50" s="48" t="n">
        <f aca="false">SUMPRODUCT(($B$133:$B$432&gt;$C$6)*($C$133:$C$432&lt;=D22))</f>
        <v>20</v>
      </c>
      <c r="E50" s="48" t="n">
        <f aca="false">SUMPRODUCT(($B$133:$B$432&gt;$C$6)*($C$133:$C$432&lt;=E22))</f>
        <v>32</v>
      </c>
    </row>
    <row r="51" customFormat="false" ht="15" hidden="false" customHeight="true" outlineLevel="0" collapsed="false">
      <c r="B51" s="20" t="s">
        <v>544</v>
      </c>
      <c r="C51" s="26" t="n">
        <f aca="false">SUMPRODUCT(($B$133:$B$432&gt;$C$6)*($C$133:$C$432&lt;=C22)*($E$133:$E$432+$H$133:$H$432))-$C$16</f>
        <v>-2515.0246</v>
      </c>
      <c r="D51" s="26" t="n">
        <f aca="false">SUMPRODUCT(($B$133:$B$432&gt;$C$6)*($C$133:$C$432&lt;=D22)*($E$133:$E$432+$H$133:$H$432))-$C$16</f>
        <v>-5370.091819</v>
      </c>
      <c r="E51" s="26" t="n">
        <f aca="false">SUMPRODUCT(($B$133:$B$432&gt;$C$6)*($C$133:$C$432&lt;=E22)*($E$133:$E$432+$H$133:$H$432))-$C$16</f>
        <v>-8116.54654628501</v>
      </c>
      <c r="F51" s="51" t="s">
        <v>545</v>
      </c>
    </row>
    <row r="52" customFormat="false" ht="15" hidden="false" customHeight="true" outlineLevel="0" collapsed="false">
      <c r="B52" s="20" t="s">
        <v>546</v>
      </c>
      <c r="C52" s="26" t="n">
        <f aca="false">IF(C50&gt;0,C51/C50,0)</f>
        <v>-314.378075</v>
      </c>
      <c r="D52" s="26" t="n">
        <f aca="false">IF(D50&gt;0,D51/D50,0)</f>
        <v>-268.50459095</v>
      </c>
      <c r="E52" s="26" t="n">
        <f aca="false">IF(E50&gt;0,E51/E50,0)</f>
        <v>-253.642079571407</v>
      </c>
    </row>
    <row r="53" customFormat="false" ht="15" hidden="false" customHeight="true" outlineLevel="0" collapsed="false">
      <c r="B53" s="20" t="s">
        <v>547</v>
      </c>
      <c r="C53" s="26" t="n">
        <f aca="false">SUMIFS(Échéancier!$F$5:$F$300,Échéancier!$J$5:$J$300,$C$5,Échéancier!$C$5:$C$300,"&gt;"&amp;$C$6,Échéancier!$C$5:$C$300,"&lt;="&amp;C22)</f>
        <v>5588.65</v>
      </c>
      <c r="D53" s="26" t="n">
        <f aca="false">SUMIFS(Échéancier!$F$5:$F$300,Échéancier!$J$5:$J$300,$C$5,Échéancier!$C$5:$C$300,"&gt;"&amp;$C$6,Échéancier!$C$5:$C$300,"&lt;="&amp;D22)</f>
        <v>14077.07</v>
      </c>
      <c r="E53" s="26" t="n">
        <f aca="false">SUMIFS(Échéancier!$F$5:$F$300,Échéancier!$J$5:$J$300,$C$5,Échéancier!$C$5:$C$300,"&gt;"&amp;$C$6,Échéancier!$C$5:$C$300,"&lt;="&amp;E22)</f>
        <v>22693.66</v>
      </c>
    </row>
    <row r="55" customFormat="false" ht="15" hidden="false" customHeight="true" outlineLevel="0" collapsed="false">
      <c r="B55" s="56" t="s">
        <v>548</v>
      </c>
    </row>
    <row r="56" customFormat="false" ht="15" hidden="false" customHeight="true" outlineLevel="0" collapsed="false">
      <c r="B56" s="10" t="s">
        <v>549</v>
      </c>
      <c r="C56" s="47" t="n">
        <f aca="false">SUM(J132:J435)</f>
        <v>61716.8363939327</v>
      </c>
      <c r="D56" s="47" t="n">
        <f aca="false">SUM(K132:K435)</f>
        <v>66993.36078949</v>
      </c>
      <c r="E56" s="47" t="n">
        <f aca="false">SUM(L132:L435)</f>
        <v>71723.5124892802</v>
      </c>
      <c r="F56" s="51" t="s">
        <v>550</v>
      </c>
    </row>
    <row r="57" customFormat="false" ht="15" hidden="false" customHeight="true" outlineLevel="0" collapsed="false">
      <c r="B57" s="10" t="s">
        <v>551</v>
      </c>
      <c r="C57" s="59" t="n">
        <f aca="false">XIRR(J132:J435,$C$132:$C$435)</f>
        <v>0.0498831056783381</v>
      </c>
      <c r="D57" s="59" t="n">
        <f aca="false">XIRR(K132:K435,$C$132:$C$435)</f>
        <v>0.0476547662446876</v>
      </c>
      <c r="E57" s="59" t="n">
        <f aca="false">XIRR(L132:L435,$C$132:$C$435)</f>
        <v>0.0454396443715652</v>
      </c>
    </row>
    <row r="58" customFormat="false" ht="15" hidden="false" customHeight="true" outlineLevel="0" collapsed="false">
      <c r="B58" s="20" t="s">
        <v>552</v>
      </c>
      <c r="C58" s="26" t="str">
        <f aca="false">""</f>
        <v/>
      </c>
      <c r="D58" s="26" t="n">
        <f aca="false">D56-C56</f>
        <v>5276.52439555728</v>
      </c>
      <c r="E58" s="26" t="n">
        <f aca="false">E56-D56</f>
        <v>4730.15169979016</v>
      </c>
    </row>
    <row r="59" customFormat="false" ht="15" hidden="false" customHeight="true" outlineLevel="0" collapsed="false">
      <c r="B59" s="20" t="s">
        <v>553</v>
      </c>
      <c r="C59" s="27" t="str">
        <f aca="false">""</f>
        <v/>
      </c>
      <c r="D59" s="27" t="n">
        <f aca="false">IF(D22&gt;C22,D58/C32/((D22-C22)/365),"")</f>
        <v>0.0288581898093851</v>
      </c>
      <c r="E59" s="27" t="n">
        <f aca="false">IF(E22&gt;D22,E58/D32/((E22-D22)/365),"")</f>
        <v>0.0248334201321662</v>
      </c>
      <c r="F59" s="51" t="s">
        <v>554</v>
      </c>
    </row>
    <row r="61" customFormat="false" ht="24" hidden="false" customHeight="true" outlineLevel="0" collapsed="false">
      <c r="B61" s="49" t="s">
        <v>555</v>
      </c>
      <c r="C61" s="49"/>
      <c r="D61" s="49"/>
      <c r="E61" s="49"/>
      <c r="F61" s="49"/>
    </row>
    <row r="62" customFormat="false" ht="15" hidden="false" customHeight="true" outlineLevel="0" collapsed="false">
      <c r="B62" s="49"/>
      <c r="C62" s="49"/>
      <c r="D62" s="49"/>
      <c r="E62" s="49"/>
      <c r="F62" s="49"/>
    </row>
    <row r="65" customFormat="false" ht="15" hidden="false" customHeight="true" outlineLevel="0" collapsed="false">
      <c r="B65" s="19" t="s">
        <v>556</v>
      </c>
    </row>
    <row r="66" customFormat="false" ht="15" hidden="false" customHeight="true" outlineLevel="0" collapsed="false">
      <c r="B66" s="49" t="s">
        <v>557</v>
      </c>
      <c r="C66" s="49"/>
      <c r="D66" s="49"/>
      <c r="E66" s="49"/>
      <c r="F66" s="49"/>
    </row>
    <row r="67" customFormat="false" ht="15" hidden="false" customHeight="true" outlineLevel="0" collapsed="false">
      <c r="B67" s="60" t="s">
        <v>116</v>
      </c>
      <c r="C67" s="60" t="s">
        <v>112</v>
      </c>
      <c r="D67" s="60" t="s">
        <v>558</v>
      </c>
      <c r="E67" s="60" t="s">
        <v>57</v>
      </c>
      <c r="F67" s="60" t="s">
        <v>559</v>
      </c>
    </row>
    <row r="68" customFormat="false" ht="15" hidden="false" customHeight="true" outlineLevel="0" collapsed="false">
      <c r="B68" s="11" t="s">
        <v>560</v>
      </c>
      <c r="C68" s="13" t="n">
        <v>43049</v>
      </c>
      <c r="D68" s="24" t="n">
        <v>59.38</v>
      </c>
      <c r="E68" s="11" t="s">
        <v>58</v>
      </c>
      <c r="F68" s="11" t="s">
        <v>561</v>
      </c>
    </row>
    <row r="69" customFormat="false" ht="15" hidden="false" customHeight="true" outlineLevel="0" collapsed="false">
      <c r="B69" s="11" t="s">
        <v>562</v>
      </c>
      <c r="C69" s="13" t="n">
        <v>43084</v>
      </c>
      <c r="D69" s="24" t="n">
        <v>278.07</v>
      </c>
      <c r="E69" s="11" t="s">
        <v>58</v>
      </c>
      <c r="F69" s="11" t="s">
        <v>563</v>
      </c>
    </row>
    <row r="70" customFormat="false" ht="15" hidden="false" customHeight="true" outlineLevel="0" collapsed="false">
      <c r="B70" s="11" t="s">
        <v>564</v>
      </c>
      <c r="C70" s="13" t="n">
        <v>43282</v>
      </c>
      <c r="D70" s="24" t="n">
        <v>1953</v>
      </c>
      <c r="E70" s="11" t="s">
        <v>58</v>
      </c>
      <c r="F70" s="11" t="s">
        <v>565</v>
      </c>
    </row>
    <row r="71" customFormat="false" ht="15" hidden="false" customHeight="true" outlineLevel="0" collapsed="false">
      <c r="B71" s="11" t="s">
        <v>566</v>
      </c>
      <c r="C71" s="13" t="n">
        <v>43388</v>
      </c>
      <c r="D71" s="24" t="n">
        <v>430.59</v>
      </c>
      <c r="E71" s="11" t="s">
        <v>58</v>
      </c>
      <c r="F71" s="11" t="s">
        <v>567</v>
      </c>
    </row>
    <row r="72" customFormat="false" ht="15" hidden="false" customHeight="true" outlineLevel="0" collapsed="false">
      <c r="B72" s="11" t="s">
        <v>568</v>
      </c>
      <c r="C72" s="13" t="n">
        <v>43647</v>
      </c>
      <c r="D72" s="24" t="n">
        <v>1953</v>
      </c>
      <c r="E72" s="11" t="s">
        <v>58</v>
      </c>
      <c r="F72" s="11" t="s">
        <v>565</v>
      </c>
    </row>
    <row r="73" customFormat="false" ht="15" hidden="false" customHeight="true" outlineLevel="0" collapsed="false">
      <c r="B73" s="11" t="s">
        <v>569</v>
      </c>
      <c r="C73" s="13" t="n">
        <v>43753</v>
      </c>
      <c r="D73" s="24" t="n">
        <v>440.82</v>
      </c>
      <c r="E73" s="11" t="s">
        <v>58</v>
      </c>
      <c r="F73" s="11" t="s">
        <v>567</v>
      </c>
    </row>
    <row r="74" customFormat="false" ht="15" hidden="false" customHeight="true" outlineLevel="0" collapsed="false">
      <c r="B74" s="11" t="s">
        <v>570</v>
      </c>
      <c r="C74" s="13" t="n">
        <v>44013</v>
      </c>
      <c r="D74" s="24" t="n">
        <v>1953</v>
      </c>
      <c r="E74" s="11" t="s">
        <v>58</v>
      </c>
      <c r="F74" s="11" t="s">
        <v>565</v>
      </c>
    </row>
    <row r="75" customFormat="false" ht="15" hidden="false" customHeight="true" outlineLevel="0" collapsed="false">
      <c r="B75" s="11" t="s">
        <v>571</v>
      </c>
      <c r="C75" s="13" t="n">
        <v>44119</v>
      </c>
      <c r="D75" s="24" t="n">
        <v>445.47</v>
      </c>
      <c r="E75" s="11" t="s">
        <v>58</v>
      </c>
      <c r="F75" s="11" t="s">
        <v>567</v>
      </c>
    </row>
    <row r="76" customFormat="false" ht="15" hidden="false" customHeight="true" outlineLevel="0" collapsed="false">
      <c r="B76" s="11" t="s">
        <v>572</v>
      </c>
      <c r="C76" s="13" t="n">
        <v>44378</v>
      </c>
      <c r="D76" s="24" t="n">
        <v>1953</v>
      </c>
      <c r="E76" s="11" t="s">
        <v>58</v>
      </c>
      <c r="F76" s="11" t="s">
        <v>565</v>
      </c>
    </row>
    <row r="77" customFormat="false" ht="15" hidden="false" customHeight="true" outlineLevel="0" collapsed="false">
      <c r="B77" s="11" t="s">
        <v>573</v>
      </c>
      <c r="C77" s="13" t="n">
        <v>44484</v>
      </c>
      <c r="D77" s="24" t="n">
        <v>446.4</v>
      </c>
      <c r="E77" s="11" t="s">
        <v>58</v>
      </c>
      <c r="F77" s="11" t="s">
        <v>567</v>
      </c>
    </row>
    <row r="78" customFormat="false" ht="15" hidden="false" customHeight="true" outlineLevel="0" collapsed="false">
      <c r="B78" s="11" t="s">
        <v>574</v>
      </c>
      <c r="C78" s="13" t="n">
        <v>44743</v>
      </c>
      <c r="D78" s="24" t="n">
        <v>1953</v>
      </c>
      <c r="E78" s="11" t="s">
        <v>58</v>
      </c>
      <c r="F78" s="11" t="s">
        <v>565</v>
      </c>
    </row>
    <row r="79" customFormat="false" ht="15" hidden="false" customHeight="true" outlineLevel="0" collapsed="false">
      <c r="B79" s="11" t="s">
        <v>575</v>
      </c>
      <c r="C79" s="13" t="n">
        <v>44849</v>
      </c>
      <c r="D79" s="24" t="n">
        <v>462.21</v>
      </c>
      <c r="E79" s="11" t="s">
        <v>58</v>
      </c>
      <c r="F79" s="11" t="s">
        <v>576</v>
      </c>
    </row>
    <row r="80" customFormat="false" ht="15" hidden="false" customHeight="true" outlineLevel="0" collapsed="false">
      <c r="B80" s="11" t="s">
        <v>577</v>
      </c>
      <c r="C80" s="13" t="n">
        <v>44920</v>
      </c>
      <c r="D80" s="24" t="n">
        <v>696.94</v>
      </c>
      <c r="E80" s="11" t="s">
        <v>58</v>
      </c>
      <c r="F80" s="11" t="s">
        <v>578</v>
      </c>
    </row>
    <row r="81" customFormat="false" ht="15" hidden="false" customHeight="true" outlineLevel="0" collapsed="false">
      <c r="B81" s="11" t="s">
        <v>579</v>
      </c>
      <c r="C81" s="13" t="n">
        <v>45012</v>
      </c>
      <c r="D81" s="24" t="n">
        <v>631</v>
      </c>
      <c r="E81" s="11" t="s">
        <v>58</v>
      </c>
      <c r="F81" s="11" t="s">
        <v>578</v>
      </c>
    </row>
    <row r="82" customFormat="false" ht="15" hidden="false" customHeight="true" outlineLevel="0" collapsed="false">
      <c r="B82" s="11" t="s">
        <v>580</v>
      </c>
      <c r="C82" s="13" t="n">
        <v>45033</v>
      </c>
      <c r="D82" s="24" t="n">
        <v>197.85</v>
      </c>
      <c r="E82" s="11" t="s">
        <v>58</v>
      </c>
      <c r="F82" s="11" t="s">
        <v>578</v>
      </c>
    </row>
    <row r="83" customFormat="false" ht="15" hidden="false" customHeight="true" outlineLevel="0" collapsed="false">
      <c r="B83" s="11" t="s">
        <v>581</v>
      </c>
      <c r="C83" s="13" t="n">
        <v>45105</v>
      </c>
      <c r="D83" s="24" t="n">
        <v>433.14</v>
      </c>
      <c r="E83" s="11" t="s">
        <v>58</v>
      </c>
      <c r="F83" s="11" t="s">
        <v>578</v>
      </c>
    </row>
    <row r="84" customFormat="false" ht="15" hidden="false" customHeight="true" outlineLevel="0" collapsed="false">
      <c r="B84" s="11" t="s">
        <v>582</v>
      </c>
      <c r="C84" s="13" t="n">
        <v>45195</v>
      </c>
      <c r="D84" s="24" t="n">
        <v>253.29</v>
      </c>
      <c r="E84" s="11" t="s">
        <v>58</v>
      </c>
      <c r="F84" s="11" t="s">
        <v>578</v>
      </c>
    </row>
    <row r="85" customFormat="false" ht="15" hidden="false" customHeight="true" outlineLevel="0" collapsed="false">
      <c r="B85" s="11" t="s">
        <v>583</v>
      </c>
      <c r="C85" s="13" t="n">
        <v>45201</v>
      </c>
      <c r="D85" s="24" t="n">
        <v>802.29</v>
      </c>
      <c r="E85" s="11" t="s">
        <v>58</v>
      </c>
      <c r="F85" s="11" t="s">
        <v>578</v>
      </c>
    </row>
    <row r="86" customFormat="false" ht="15" hidden="false" customHeight="true" outlineLevel="0" collapsed="false">
      <c r="B86" s="11" t="s">
        <v>584</v>
      </c>
      <c r="C86" s="13" t="n">
        <v>45214</v>
      </c>
      <c r="D86" s="24" t="n">
        <v>495.69</v>
      </c>
      <c r="E86" s="11" t="s">
        <v>58</v>
      </c>
      <c r="F86" s="11" t="s">
        <v>585</v>
      </c>
    </row>
    <row r="87" customFormat="false" ht="15" hidden="false" customHeight="true" outlineLevel="0" collapsed="false">
      <c r="B87" s="11" t="s">
        <v>586</v>
      </c>
      <c r="C87" s="13" t="n">
        <v>45231</v>
      </c>
      <c r="D87" s="24" t="n">
        <v>181.35</v>
      </c>
      <c r="E87" s="11" t="s">
        <v>58</v>
      </c>
      <c r="F87" s="11" t="s">
        <v>578</v>
      </c>
    </row>
    <row r="88" customFormat="false" ht="15" hidden="false" customHeight="true" outlineLevel="0" collapsed="false">
      <c r="B88" s="11" t="s">
        <v>587</v>
      </c>
      <c r="C88" s="13" t="n">
        <v>45335</v>
      </c>
      <c r="D88" s="24" t="n">
        <v>796.96</v>
      </c>
      <c r="E88" s="11" t="s">
        <v>58</v>
      </c>
      <c r="F88" s="11" t="s">
        <v>588</v>
      </c>
    </row>
    <row r="89" customFormat="false" ht="15" hidden="false" customHeight="true" outlineLevel="0" collapsed="false">
      <c r="B89" s="11" t="s">
        <v>589</v>
      </c>
      <c r="C89" s="13" t="n">
        <v>45369</v>
      </c>
      <c r="D89" s="24" t="n">
        <v>181.35</v>
      </c>
      <c r="E89" s="11" t="s">
        <v>58</v>
      </c>
      <c r="F89" s="11" t="s">
        <v>590</v>
      </c>
    </row>
    <row r="90" customFormat="false" ht="15" hidden="false" customHeight="true" outlineLevel="0" collapsed="false">
      <c r="B90" s="11" t="s">
        <v>591</v>
      </c>
      <c r="C90" s="13" t="n">
        <v>45392</v>
      </c>
      <c r="D90" s="24" t="n">
        <v>752.3</v>
      </c>
      <c r="E90" s="11" t="s">
        <v>58</v>
      </c>
      <c r="F90" s="11" t="s">
        <v>590</v>
      </c>
    </row>
    <row r="91" customFormat="false" ht="15" hidden="false" customHeight="true" outlineLevel="0" collapsed="false">
      <c r="B91" s="11"/>
      <c r="C91" s="13"/>
      <c r="D91" s="24"/>
      <c r="E91" s="11"/>
      <c r="F91" s="11"/>
    </row>
    <row r="92" customFormat="false" ht="15" hidden="false" customHeight="true" outlineLevel="0" collapsed="false">
      <c r="B92" s="11"/>
      <c r="C92" s="13"/>
      <c r="D92" s="24"/>
      <c r="E92" s="11"/>
      <c r="F92" s="11"/>
    </row>
    <row r="93" customFormat="false" ht="15" hidden="false" customHeight="true" outlineLevel="0" collapsed="false">
      <c r="B93" s="11"/>
      <c r="C93" s="13"/>
      <c r="D93" s="24"/>
      <c r="E93" s="11"/>
      <c r="F93" s="11"/>
    </row>
    <row r="94" customFormat="false" ht="15" hidden="false" customHeight="true" outlineLevel="0" collapsed="false">
      <c r="B94" s="11"/>
      <c r="C94" s="13"/>
      <c r="D94" s="24"/>
      <c r="E94" s="11"/>
      <c r="F94" s="11"/>
    </row>
    <row r="95" customFormat="false" ht="15" hidden="false" customHeight="true" outlineLevel="0" collapsed="false">
      <c r="B95" s="11"/>
      <c r="C95" s="13"/>
      <c r="D95" s="24"/>
      <c r="E95" s="11"/>
      <c r="F95" s="11"/>
    </row>
    <row r="96" customFormat="false" ht="15" hidden="false" customHeight="true" outlineLevel="0" collapsed="false">
      <c r="B96" s="11"/>
      <c r="C96" s="13"/>
      <c r="D96" s="24"/>
      <c r="E96" s="11"/>
      <c r="F96" s="11"/>
    </row>
    <row r="97" customFormat="false" ht="15" hidden="false" customHeight="true" outlineLevel="0" collapsed="false">
      <c r="B97" s="11"/>
      <c r="C97" s="13"/>
      <c r="D97" s="24"/>
      <c r="E97" s="11"/>
      <c r="F97" s="11"/>
    </row>
    <row r="98" customFormat="false" ht="15" hidden="false" customHeight="true" outlineLevel="0" collapsed="false">
      <c r="B98" s="11"/>
      <c r="C98" s="13"/>
      <c r="D98" s="24"/>
      <c r="E98" s="11"/>
      <c r="F98" s="11"/>
    </row>
    <row r="99" customFormat="false" ht="15" hidden="false" customHeight="true" outlineLevel="0" collapsed="false">
      <c r="B99" s="11"/>
      <c r="C99" s="13"/>
      <c r="D99" s="24"/>
      <c r="E99" s="11"/>
      <c r="F99" s="11"/>
    </row>
    <row r="100" customFormat="false" ht="15" hidden="false" customHeight="true" outlineLevel="0" collapsed="false">
      <c r="B100" s="11"/>
      <c r="C100" s="13"/>
      <c r="D100" s="24"/>
      <c r="E100" s="11"/>
      <c r="F100" s="11"/>
    </row>
    <row r="101" customFormat="false" ht="15" hidden="false" customHeight="true" outlineLevel="0" collapsed="false">
      <c r="B101" s="11"/>
      <c r="C101" s="13"/>
      <c r="D101" s="24"/>
      <c r="E101" s="11"/>
      <c r="F101" s="11"/>
    </row>
    <row r="102" customFormat="false" ht="15" hidden="false" customHeight="true" outlineLevel="0" collapsed="false">
      <c r="B102" s="11"/>
      <c r="C102" s="13"/>
      <c r="D102" s="24"/>
      <c r="E102" s="11"/>
      <c r="F102" s="11"/>
    </row>
    <row r="103" customFormat="false" ht="15" hidden="false" customHeight="true" outlineLevel="0" collapsed="false">
      <c r="B103" s="11"/>
      <c r="C103" s="13"/>
      <c r="D103" s="24"/>
      <c r="E103" s="11"/>
      <c r="F103" s="11"/>
    </row>
    <row r="104" customFormat="false" ht="15" hidden="false" customHeight="true" outlineLevel="0" collapsed="false">
      <c r="B104" s="11"/>
      <c r="C104" s="13"/>
      <c r="D104" s="24"/>
      <c r="E104" s="11"/>
      <c r="F104" s="11"/>
    </row>
    <row r="105" customFormat="false" ht="15" hidden="false" customHeight="true" outlineLevel="0" collapsed="false">
      <c r="B105" s="11"/>
      <c r="C105" s="13"/>
      <c r="D105" s="24"/>
      <c r="E105" s="11"/>
      <c r="F105" s="11"/>
    </row>
    <row r="106" customFormat="false" ht="15" hidden="false" customHeight="true" outlineLevel="0" collapsed="false">
      <c r="B106" s="11"/>
      <c r="C106" s="13"/>
      <c r="D106" s="24"/>
      <c r="E106" s="11"/>
      <c r="F106" s="11"/>
    </row>
    <row r="107" customFormat="false" ht="15" hidden="false" customHeight="true" outlineLevel="0" collapsed="false">
      <c r="B107" s="10" t="s">
        <v>592</v>
      </c>
      <c r="D107" s="61" t="n">
        <f aca="false">SUMIFS(D68:D106,E68:E106,$C$5)</f>
        <v>17750.1</v>
      </c>
    </row>
    <row r="110" customFormat="false" ht="15" hidden="false" customHeight="true" outlineLevel="0" collapsed="false">
      <c r="B110" s="19" t="s">
        <v>593</v>
      </c>
    </row>
    <row r="112" customFormat="false" ht="15" hidden="false" customHeight="true" outlineLevel="0" collapsed="false">
      <c r="B112" s="60" t="s">
        <v>113</v>
      </c>
      <c r="C112" s="60" t="s">
        <v>594</v>
      </c>
      <c r="D112" s="60" t="s">
        <v>595</v>
      </c>
    </row>
    <row r="113" customFormat="false" ht="15" hidden="false" customHeight="true" outlineLevel="0" collapsed="false">
      <c r="B113" s="48" t="n">
        <v>2017</v>
      </c>
      <c r="C113" s="21" t="n">
        <f aca="false">IF(B113&gt;YEAR($C$6),IF(B113&gt;=YEAR(IFERROR(INDEX(Biens!$O$5:$O$30,MATCH($C$5,Biens!$A$5:$A$30,0)),0)),$C$15,0),IFERROR(IF(ISNUMBER(INDEX(Synthèse!$D$32:$H$32,MATCH(B113,Synthèse!$D$7:$H$7,0))),INDEX(Synthèse!$D$25:$H$25,MATCH(B113,Synthèse!$D$7:$H$7,0))+INDEX(Synthèse!$D$26:$H$26,MATCH(B113,Synthèse!$D$7:$H$7,0))-INDEX(Synthèse!$D$32:$H$32,MATCH(B113,Synthèse!$D$7:$H$7,0)),N(INDEX(Synthèse!$D$27:$H$27,MATCH(B113,Synthèse!$D$7:$H$7,0)))),0))</f>
        <v>0</v>
      </c>
      <c r="D113" s="62" t="str">
        <f aca="false">IF(B113&gt;YEAR($C$6),IF(C113&gt;0,"Projection (C15)",""),IF(C113&gt;0,"Comptable, puis Synthèse pour l'année en cours",""))</f>
        <v/>
      </c>
    </row>
    <row r="114" customFormat="false" ht="15" hidden="false" customHeight="true" outlineLevel="0" collapsed="false">
      <c r="B114" s="48" t="n">
        <v>2018</v>
      </c>
      <c r="C114" s="21" t="n">
        <f aca="false">IF(B114&gt;YEAR($C$6),IF(B114&gt;=YEAR(IFERROR(INDEX(Biens!$O$5:$O$30,MATCH($C$5,Biens!$A$5:$A$30,0)),0)),$C$15,0),IFERROR(IF(ISNUMBER(INDEX(Synthèse!$D$32:$H$32,MATCH(B114,Synthèse!$D$7:$H$7,0))),INDEX(Synthèse!$D$25:$H$25,MATCH(B114,Synthèse!$D$7:$H$7,0))+INDEX(Synthèse!$D$26:$H$26,MATCH(B114,Synthèse!$D$7:$H$7,0))-INDEX(Synthèse!$D$32:$H$32,MATCH(B114,Synthèse!$D$7:$H$7,0)),N(INDEX(Synthèse!$D$27:$H$27,MATCH(B114,Synthèse!$D$7:$H$7,0)))),0))</f>
        <v>0</v>
      </c>
      <c r="D114" s="62" t="str">
        <f aca="false">IF(B114&gt;YEAR($C$6),IF(C114&gt;0,"Projection (C15)",""),IF(C114&gt;0,"Comptable, puis Synthèse pour l'année en cours",""))</f>
        <v/>
      </c>
    </row>
    <row r="115" customFormat="false" ht="15" hidden="false" customHeight="true" outlineLevel="0" collapsed="false">
      <c r="B115" s="48" t="n">
        <v>2019</v>
      </c>
      <c r="C115" s="21" t="n">
        <f aca="false">IF(B115&gt;YEAR($C$6),IF(B115&gt;=YEAR(IFERROR(INDEX(Biens!$O$5:$O$30,MATCH($C$5,Biens!$A$5:$A$30,0)),0)),$C$15,0),IFERROR(IF(ISNUMBER(INDEX(Synthèse!$D$32:$H$32,MATCH(B115,Synthèse!$D$7:$H$7,0))),INDEX(Synthèse!$D$25:$H$25,MATCH(B115,Synthèse!$D$7:$H$7,0))+INDEX(Synthèse!$D$26:$H$26,MATCH(B115,Synthèse!$D$7:$H$7,0))-INDEX(Synthèse!$D$32:$H$32,MATCH(B115,Synthèse!$D$7:$H$7,0)),N(INDEX(Synthèse!$D$27:$H$27,MATCH(B115,Synthèse!$D$7:$H$7,0)))),0))</f>
        <v>0</v>
      </c>
      <c r="D115" s="62" t="str">
        <f aca="false">IF(B115&gt;YEAR($C$6),IF(C115&gt;0,"Projection (C15)",""),IF(C115&gt;0,"Comptable, puis Synthèse pour l'année en cours",""))</f>
        <v/>
      </c>
    </row>
    <row r="116" customFormat="false" ht="15" hidden="false" customHeight="true" outlineLevel="0" collapsed="false">
      <c r="B116" s="48" t="n">
        <v>2020</v>
      </c>
      <c r="C116" s="21" t="n">
        <f aca="false">IF(B116&gt;YEAR($C$6),IF(B116&gt;=YEAR(IFERROR(INDEX(Biens!$O$5:$O$30,MATCH($C$5,Biens!$A$5:$A$30,0)),0)),$C$15,0),IFERROR(IF(ISNUMBER(INDEX(Synthèse!$D$32:$H$32,MATCH(B116,Synthèse!$D$7:$H$7,0))),INDEX(Synthèse!$D$25:$H$25,MATCH(B116,Synthèse!$D$7:$H$7,0))+INDEX(Synthèse!$D$26:$H$26,MATCH(B116,Synthèse!$D$7:$H$7,0))-INDEX(Synthèse!$D$32:$H$32,MATCH(B116,Synthèse!$D$7:$H$7,0)),N(INDEX(Synthèse!$D$27:$H$27,MATCH(B116,Synthèse!$D$7:$H$7,0)))),0))</f>
        <v>0</v>
      </c>
      <c r="D116" s="62" t="str">
        <f aca="false">IF(B116&gt;YEAR($C$6),IF(C116&gt;0,"Projection (C15)",""),IF(C116&gt;0,"Comptable, puis Synthèse pour l'année en cours",""))</f>
        <v/>
      </c>
    </row>
    <row r="117" customFormat="false" ht="15" hidden="false" customHeight="true" outlineLevel="0" collapsed="false">
      <c r="B117" s="48" t="n">
        <v>2021</v>
      </c>
      <c r="C117" s="21" t="n">
        <f aca="false">IF(B117&gt;YEAR($C$6),IF(B117&gt;=YEAR(IFERROR(INDEX(Biens!$O$5:$O$30,MATCH($C$5,Biens!$A$5:$A$30,0)),0)),$C$15,0),IFERROR(IF(ISNUMBER(INDEX(Synthèse!$D$32:$H$32,MATCH(B117,Synthèse!$D$7:$H$7,0))),INDEX(Synthèse!$D$25:$H$25,MATCH(B117,Synthèse!$D$7:$H$7,0))+INDEX(Synthèse!$D$26:$H$26,MATCH(B117,Synthèse!$D$7:$H$7,0))-INDEX(Synthèse!$D$32:$H$32,MATCH(B117,Synthèse!$D$7:$H$7,0)),N(INDEX(Synthèse!$D$27:$H$27,MATCH(B117,Synthèse!$D$7:$H$7,0)))),0))</f>
        <v>0</v>
      </c>
      <c r="D117" s="62" t="str">
        <f aca="false">IF(B117&gt;YEAR($C$6),IF(C117&gt;0,"Projection (C15)",""),IF(C117&gt;0,"Comptable, puis Synthèse pour l'année en cours",""))</f>
        <v/>
      </c>
    </row>
    <row r="118" customFormat="false" ht="15" hidden="false" customHeight="true" outlineLevel="0" collapsed="false">
      <c r="B118" s="48" t="n">
        <v>2022</v>
      </c>
      <c r="C118" s="21" t="n">
        <f aca="false">IF(B118&gt;YEAR($C$6),IF(B118&gt;=YEAR(IFERROR(INDEX(Biens!$O$5:$O$30,MATCH($C$5,Biens!$A$5:$A$30,0)),0)),$C$15,0),IFERROR(IF(ISNUMBER(INDEX(Synthèse!$D$32:$H$32,MATCH(B118,Synthèse!$D$7:$H$7,0))),INDEX(Synthèse!$D$25:$H$25,MATCH(B118,Synthèse!$D$7:$H$7,0))+INDEX(Synthèse!$D$26:$H$26,MATCH(B118,Synthèse!$D$7:$H$7,0))-INDEX(Synthèse!$D$32:$H$32,MATCH(B118,Synthèse!$D$7:$H$7,0)),N(INDEX(Synthèse!$D$27:$H$27,MATCH(B118,Synthèse!$D$7:$H$7,0)))),0))</f>
        <v>0</v>
      </c>
      <c r="D118" s="62" t="str">
        <f aca="false">IF(B118&gt;YEAR($C$6),IF(C118&gt;0,"Projection (C15)",""),IF(C118&gt;0,"Comptable, puis Synthèse pour l'année en cours",""))</f>
        <v/>
      </c>
    </row>
    <row r="119" customFormat="false" ht="15" hidden="false" customHeight="true" outlineLevel="0" collapsed="false">
      <c r="B119" s="48" t="n">
        <v>2023</v>
      </c>
      <c r="C119" s="21" t="n">
        <f aca="false">IF(B119&gt;YEAR($C$6),IF(B119&gt;=YEAR(IFERROR(INDEX(Biens!$O$5:$O$30,MATCH($C$5,Biens!$A$5:$A$30,0)),0)),$C$15,0),IFERROR(IF(ISNUMBER(INDEX(Synthèse!$D$32:$H$32,MATCH(B119,Synthèse!$D$7:$H$7,0))),INDEX(Synthèse!$D$25:$H$25,MATCH(B119,Synthèse!$D$7:$H$7,0))+INDEX(Synthèse!$D$26:$H$26,MATCH(B119,Synthèse!$D$7:$H$7,0))-INDEX(Synthèse!$D$32:$H$32,MATCH(B119,Synthèse!$D$7:$H$7,0)),N(INDEX(Synthèse!$D$27:$H$27,MATCH(B119,Synthèse!$D$7:$H$7,0)))),0))</f>
        <v>0</v>
      </c>
      <c r="D119" s="62" t="str">
        <f aca="false">IF(B119&gt;YEAR($C$6),IF(C119&gt;0,"Projection (C15)",""),IF(C119&gt;0,"Comptable, puis Synthèse pour l'année en cours",""))</f>
        <v/>
      </c>
    </row>
    <row r="120" customFormat="false" ht="15" hidden="false" customHeight="true" outlineLevel="0" collapsed="false">
      <c r="B120" s="48" t="n">
        <v>2024</v>
      </c>
      <c r="C120" s="21" t="n">
        <f aca="false">IF(B120&gt;YEAR($C$6),IF(B120&gt;=YEAR(IFERROR(INDEX(Biens!$O$5:$O$30,MATCH($C$5,Biens!$A$5:$A$30,0)),0)),$C$15,0),IFERROR(IF(ISNUMBER(INDEX(Synthèse!$D$32:$H$32,MATCH(B120,Synthèse!$D$7:$H$7,0))),INDEX(Synthèse!$D$25:$H$25,MATCH(B120,Synthèse!$D$7:$H$7,0))+INDEX(Synthèse!$D$26:$H$26,MATCH(B120,Synthèse!$D$7:$H$7,0))-INDEX(Synthèse!$D$32:$H$32,MATCH(B120,Synthèse!$D$7:$H$7,0)),N(INDEX(Synthèse!$D$27:$H$27,MATCH(B120,Synthèse!$D$7:$H$7,0)))),0))</f>
        <v>3916.35886136987</v>
      </c>
      <c r="D120" s="62" t="str">
        <f aca="false">IF(B120&gt;YEAR($C$6),IF(C120&gt;0,"Projection (C15)",""),IF(C120&gt;0,"Comptable, puis Synthèse pour l'année en cours",""))</f>
        <v>Comptable, puis Synthèse pour l'année en cours</v>
      </c>
    </row>
    <row r="121" customFormat="false" ht="15" hidden="false" customHeight="true" outlineLevel="0" collapsed="false">
      <c r="B121" s="48" t="n">
        <v>2025</v>
      </c>
      <c r="C121" s="21" t="n">
        <f aca="false">IF(B121&gt;YEAR($C$6),IF(B121&gt;=YEAR(IFERROR(INDEX(Biens!$O$5:$O$30,MATCH($C$5,Biens!$A$5:$A$30,0)),0)),$C$15,0),IFERROR(IF(ISNUMBER(INDEX(Synthèse!$D$32:$H$32,MATCH(B121,Synthèse!$D$7:$H$7,0))),INDEX(Synthèse!$D$25:$H$25,MATCH(B121,Synthèse!$D$7:$H$7,0))+INDEX(Synthèse!$D$26:$H$26,MATCH(B121,Synthèse!$D$7:$H$7,0))-INDEX(Synthèse!$D$32:$H$32,MATCH(B121,Synthèse!$D$7:$H$7,0)),N(INDEX(Synthèse!$D$27:$H$27,MATCH(B121,Synthèse!$D$7:$H$7,0)))),0))</f>
        <v>7307.72666575343</v>
      </c>
      <c r="D121" s="62" t="str">
        <f aca="false">IF(B121&gt;YEAR($C$6),IF(C121&gt;0,"Projection (C15)",""),IF(C121&gt;0,"Comptable, puis Synthèse pour l'année en cours",""))</f>
        <v>Comptable, puis Synthèse pour l'année en cours</v>
      </c>
    </row>
    <row r="122" customFormat="false" ht="15" hidden="false" customHeight="true" outlineLevel="0" collapsed="false">
      <c r="B122" s="48" t="n">
        <v>2026</v>
      </c>
      <c r="C122" s="21" t="n">
        <f aca="false">IF(B122&gt;YEAR($C$6),IF(B122&gt;=YEAR(IFERROR(INDEX(Biens!$O$5:$O$30,MATCH($C$5,Biens!$A$5:$A$30,0)),0)),$C$15,0),IFERROR(IF(ISNUMBER(INDEX(Synthèse!$D$32:$H$32,MATCH(B122,Synthèse!$D$7:$H$7,0))),INDEX(Synthèse!$D$25:$H$25,MATCH(B122,Synthèse!$D$7:$H$7,0))+INDEX(Synthèse!$D$26:$H$26,MATCH(B122,Synthèse!$D$7:$H$7,0))-INDEX(Synthèse!$D$32:$H$32,MATCH(B122,Synthèse!$D$7:$H$7,0)),N(INDEX(Synthèse!$D$27:$H$27,MATCH(B122,Synthèse!$D$7:$H$7,0)))),0))</f>
        <v>2697.43</v>
      </c>
      <c r="D122" s="62" t="str">
        <f aca="false">IF(B122&gt;YEAR($C$6),IF(C122&gt;0,"Projection (C15)",""),IF(C122&gt;0,"Comptable, puis Synthèse pour l'année en cours",""))</f>
        <v>Comptable, puis Synthèse pour l'année en cours</v>
      </c>
    </row>
    <row r="123" customFormat="false" ht="15" hidden="false" customHeight="true" outlineLevel="0" collapsed="false">
      <c r="B123" s="48" t="n">
        <v>2027</v>
      </c>
      <c r="C123" s="21" t="n">
        <f aca="false">IF(B123&gt;YEAR($C$6),IF(B123&gt;=YEAR(IFERROR(INDEX(Biens!$O$5:$O$30,MATCH($C$5,Biens!$A$5:$A$30,0)),0)),$C$15,0),IFERROR(IF(ISNUMBER(INDEX(Synthèse!$D$32:$H$32,MATCH(B123,Synthèse!$D$7:$H$7,0))),INDEX(Synthèse!$D$25:$H$25,MATCH(B123,Synthèse!$D$7:$H$7,0))+INDEX(Synthèse!$D$26:$H$26,MATCH(B123,Synthèse!$D$7:$H$7,0))-INDEX(Synthèse!$D$32:$H$32,MATCH(B123,Synthèse!$D$7:$H$7,0)),N(INDEX(Synthèse!$D$27:$H$27,MATCH(B123,Synthèse!$D$7:$H$7,0)))),0))</f>
        <v>4185</v>
      </c>
      <c r="D123" s="62" t="str">
        <f aca="false">IF(B123&gt;YEAR($C$6),IF(C123&gt;0,"Projection (C15)",""),IF(C123&gt;0,"Comptable, puis Synthèse pour l'année en cours",""))</f>
        <v>Projection (C15)</v>
      </c>
    </row>
    <row r="124" customFormat="false" ht="15" hidden="false" customHeight="true" outlineLevel="0" collapsed="false">
      <c r="B124" s="48" t="n">
        <v>2028</v>
      </c>
      <c r="C124" s="21" t="n">
        <f aca="false">IF(B124&gt;YEAR($C$6),IF(B124&gt;=YEAR(IFERROR(INDEX(Biens!$O$5:$O$30,MATCH($C$5,Biens!$A$5:$A$30,0)),0)),$C$15,0),IFERROR(IF(ISNUMBER(INDEX(Synthèse!$D$32:$H$32,MATCH(B124,Synthèse!$D$7:$H$7,0))),INDEX(Synthèse!$D$25:$H$25,MATCH(B124,Synthèse!$D$7:$H$7,0))+INDEX(Synthèse!$D$26:$H$26,MATCH(B124,Synthèse!$D$7:$H$7,0))-INDEX(Synthèse!$D$32:$H$32,MATCH(B124,Synthèse!$D$7:$H$7,0)),N(INDEX(Synthèse!$D$27:$H$27,MATCH(B124,Synthèse!$D$7:$H$7,0)))),0))</f>
        <v>4185</v>
      </c>
      <c r="D124" s="62" t="str">
        <f aca="false">IF(B124&gt;YEAR($C$6),IF(C124&gt;0,"Projection (C15)",""),IF(C124&gt;0,"Comptable, puis Synthèse pour l'année en cours",""))</f>
        <v>Projection (C15)</v>
      </c>
    </row>
    <row r="125" customFormat="false" ht="15" hidden="false" customHeight="true" outlineLevel="0" collapsed="false">
      <c r="B125" s="48" t="n">
        <v>2029</v>
      </c>
      <c r="C125" s="21" t="n">
        <f aca="false">IF(B125&gt;YEAR($C$6),IF(B125&gt;=YEAR(IFERROR(INDEX(Biens!$O$5:$O$30,MATCH($C$5,Biens!$A$5:$A$30,0)),0)),$C$15,0),IFERROR(IF(ISNUMBER(INDEX(Synthèse!$D$32:$H$32,MATCH(B125,Synthèse!$D$7:$H$7,0))),INDEX(Synthèse!$D$25:$H$25,MATCH(B125,Synthèse!$D$7:$H$7,0))+INDEX(Synthèse!$D$26:$H$26,MATCH(B125,Synthèse!$D$7:$H$7,0))-INDEX(Synthèse!$D$32:$H$32,MATCH(B125,Synthèse!$D$7:$H$7,0)),N(INDEX(Synthèse!$D$27:$H$27,MATCH(B125,Synthèse!$D$7:$H$7,0)))),0))</f>
        <v>4185</v>
      </c>
      <c r="D125" s="62" t="str">
        <f aca="false">IF(B125&gt;YEAR($C$6),IF(C125&gt;0,"Projection (C15)",""),IF(C125&gt;0,"Comptable, puis Synthèse pour l'année en cours",""))</f>
        <v>Projection (C15)</v>
      </c>
    </row>
    <row r="126" customFormat="false" ht="15" hidden="false" customHeight="true" outlineLevel="0" collapsed="false">
      <c r="B126" s="48" t="n">
        <v>2030</v>
      </c>
      <c r="C126" s="21" t="n">
        <f aca="false">IF(B126&gt;YEAR($C$6),IF(B126&gt;=YEAR(IFERROR(INDEX(Biens!$O$5:$O$30,MATCH($C$5,Biens!$A$5:$A$30,0)),0)),$C$15,0),IFERROR(IF(ISNUMBER(INDEX(Synthèse!$D$32:$H$32,MATCH(B126,Synthèse!$D$7:$H$7,0))),INDEX(Synthèse!$D$25:$H$25,MATCH(B126,Synthèse!$D$7:$H$7,0))+INDEX(Synthèse!$D$26:$H$26,MATCH(B126,Synthèse!$D$7:$H$7,0))-INDEX(Synthèse!$D$32:$H$32,MATCH(B126,Synthèse!$D$7:$H$7,0)),N(INDEX(Synthèse!$D$27:$H$27,MATCH(B126,Synthèse!$D$7:$H$7,0)))),0))</f>
        <v>4185</v>
      </c>
      <c r="D126" s="62" t="str">
        <f aca="false">IF(B126&gt;YEAR($C$6),IF(C126&gt;0,"Projection (C15)",""),IF(C126&gt;0,"Comptable, puis Synthèse pour l'année en cours",""))</f>
        <v>Projection (C15)</v>
      </c>
    </row>
    <row r="127" customFormat="false" ht="15" hidden="false" customHeight="true" outlineLevel="0" collapsed="false">
      <c r="B127" s="48" t="n">
        <v>2031</v>
      </c>
      <c r="C127" s="21" t="n">
        <f aca="false">IF(B127&gt;YEAR($C$6),IF(B127&gt;=YEAR(IFERROR(INDEX(Biens!$O$5:$O$30,MATCH($C$5,Biens!$A$5:$A$30,0)),0)),$C$15,0),IFERROR(IF(ISNUMBER(INDEX(Synthèse!$D$32:$H$32,MATCH(B127,Synthèse!$D$7:$H$7,0))),INDEX(Synthèse!$D$25:$H$25,MATCH(B127,Synthèse!$D$7:$H$7,0))+INDEX(Synthèse!$D$26:$H$26,MATCH(B127,Synthèse!$D$7:$H$7,0))-INDEX(Synthèse!$D$32:$H$32,MATCH(B127,Synthèse!$D$7:$H$7,0)),N(INDEX(Synthèse!$D$27:$H$27,MATCH(B127,Synthèse!$D$7:$H$7,0)))),0))</f>
        <v>4185</v>
      </c>
      <c r="D127" s="62" t="str">
        <f aca="false">IF(B127&gt;YEAR($C$6),IF(C127&gt;0,"Projection (C15)",""),IF(C127&gt;0,"Comptable, puis Synthèse pour l'année en cours",""))</f>
        <v>Projection (C15)</v>
      </c>
    </row>
    <row r="128" customFormat="false" ht="15" hidden="false" customHeight="true" outlineLevel="0" collapsed="false">
      <c r="B128" s="48" t="n">
        <v>2032</v>
      </c>
      <c r="C128" s="21" t="n">
        <f aca="false">IF(B128&gt;YEAR($C$6),IF(B128&gt;=YEAR(IFERROR(INDEX(Biens!$O$5:$O$30,MATCH($C$5,Biens!$A$5:$A$30,0)),0)),$C$15,0),IFERROR(IF(ISNUMBER(INDEX(Synthèse!$D$32:$H$32,MATCH(B128,Synthèse!$D$7:$H$7,0))),INDEX(Synthèse!$D$25:$H$25,MATCH(B128,Synthèse!$D$7:$H$7,0))+INDEX(Synthèse!$D$26:$H$26,MATCH(B128,Synthèse!$D$7:$H$7,0))-INDEX(Synthèse!$D$32:$H$32,MATCH(B128,Synthèse!$D$7:$H$7,0)),N(INDEX(Synthèse!$D$27:$H$27,MATCH(B128,Synthèse!$D$7:$H$7,0)))),0))</f>
        <v>4185</v>
      </c>
      <c r="D128" s="62" t="str">
        <f aca="false">IF(B128&gt;YEAR($C$6),IF(C128&gt;0,"Projection (C15)",""),IF(C128&gt;0,"Comptable, puis Synthèse pour l'année en cours",""))</f>
        <v>Projection (C15)</v>
      </c>
    </row>
    <row r="129" customFormat="false" ht="15" hidden="false" customHeight="true" outlineLevel="0" collapsed="false">
      <c r="B129" s="19" t="s">
        <v>596</v>
      </c>
    </row>
    <row r="130" customFormat="false" ht="15" hidden="false" customHeight="true" outlineLevel="0" collapsed="false">
      <c r="B130" s="49" t="s">
        <v>597</v>
      </c>
      <c r="C130" s="49"/>
      <c r="D130" s="49"/>
      <c r="E130" s="49"/>
      <c r="F130" s="49"/>
      <c r="G130" s="49"/>
      <c r="H130" s="49"/>
      <c r="I130" s="49"/>
      <c r="J130" s="49"/>
      <c r="K130" s="49"/>
      <c r="L130" s="49"/>
    </row>
    <row r="131" customFormat="false" ht="30" hidden="false" customHeight="true" outlineLevel="0" collapsed="false">
      <c r="B131" s="63" t="s">
        <v>598</v>
      </c>
      <c r="C131" s="63" t="s">
        <v>599</v>
      </c>
      <c r="D131" s="63" t="s">
        <v>600</v>
      </c>
      <c r="E131" s="63" t="s">
        <v>601</v>
      </c>
      <c r="F131" s="63" t="s">
        <v>602</v>
      </c>
      <c r="G131" s="63" t="s">
        <v>603</v>
      </c>
      <c r="H131" s="63" t="s">
        <v>604</v>
      </c>
      <c r="I131" s="63" t="s">
        <v>605</v>
      </c>
      <c r="J131" s="63" t="s">
        <v>519</v>
      </c>
      <c r="K131" s="63" t="s">
        <v>520</v>
      </c>
      <c r="L131" s="63" t="s">
        <v>521</v>
      </c>
    </row>
    <row r="132" customFormat="false" ht="15" hidden="false" customHeight="true" outlineLevel="0" collapsed="false">
      <c r="B132" s="33" t="s">
        <v>606</v>
      </c>
      <c r="C132" s="64" t="n">
        <f aca="false">$C$7</f>
        <v>43049</v>
      </c>
      <c r="D132" s="33"/>
      <c r="E132" s="33"/>
      <c r="F132" s="33"/>
      <c r="G132" s="33"/>
      <c r="H132" s="33"/>
      <c r="I132" s="33" t="n">
        <f aca="false">-$C$8</f>
        <v>-97968.99</v>
      </c>
      <c r="J132" s="33" t="n">
        <f aca="false">$I$132</f>
        <v>-97968.99</v>
      </c>
      <c r="K132" s="33" t="n">
        <f aca="false">$I$132</f>
        <v>-97968.99</v>
      </c>
      <c r="L132" s="33" t="n">
        <f aca="false">$I$132</f>
        <v>-97968.99</v>
      </c>
    </row>
    <row r="133" customFormat="false" ht="15" hidden="false" customHeight="true" outlineLevel="0" collapsed="false">
      <c r="B133" s="65" t="n">
        <f aca="false">DATE(YEAR($C$7),MONTH($C$7),1)</f>
        <v>43040</v>
      </c>
      <c r="C133" s="64" t="n">
        <f aca="false">B133+14</f>
        <v>43054</v>
      </c>
      <c r="D133" s="33" t="n">
        <f aca="false">IF(OR($C$9="",B133&gt;=$C$9),0,$C$10*(1+$C$11)^IF(B133&lt;$C$7,0,DATEDIF($C$7,B133,"y"))*MAX(0,MIN(EDATE(B133,1),$C$9)-MAX(B133,$C$7))/(EDATE(B133,1)-B133))</f>
        <v>683.55</v>
      </c>
      <c r="E133" s="33" t="n">
        <f aca="false">-SUMIFS(Échéancier!$I$5:$I$300,Échéancier!$J$5:$J$300,$C$5,Échéancier!$C$5:$C$300,"&gt;="&amp;B133,Échéancier!$C$5:$C$300,"&lt;"&amp;EDATE(B133,1))</f>
        <v>-0</v>
      </c>
      <c r="F133" s="33" t="n">
        <f aca="false">-SUMIFS($D$68:$D$106,$E$68:$E$106,$C$5,$C$68:$C$106,"&gt;="&amp;B133,$C$68:$C$106,"&lt;"&amp;EDATE(B133,1))</f>
        <v>-59.38</v>
      </c>
      <c r="G133" s="33" t="n">
        <f aca="false">SUMIFS(Journal!$K$5:$K$1004,Journal!$C$5:$C$1004,$C$5,Journal!$A$5:$A$1004,"&gt;="&amp;B133,Journal!$A$5:$A$1004,"&lt;"&amp;MIN(EDATE(B133,1),$C$6+1))</f>
        <v>0</v>
      </c>
      <c r="H133" s="33" t="n">
        <f aca="false">IF(B133&lt;=$C$6,0,($C$12-$C$13/12)*(1+$C$14)^(YEAR(B133)-YEAR($C$6)))</f>
        <v>0</v>
      </c>
      <c r="I133" s="33" t="n">
        <f aca="false">SUM(D133:H133)</f>
        <v>624.17</v>
      </c>
      <c r="J133" s="33" t="n">
        <f aca="false">IF(C133&lt;=$C$22,I133,0)</f>
        <v>624.17</v>
      </c>
      <c r="K133" s="33" t="n">
        <f aca="false">IF(C133&lt;=$D$22,I133,0)</f>
        <v>624.17</v>
      </c>
      <c r="L133" s="33" t="n">
        <f aca="false">IF(C133&lt;=$E$22,I133,0)</f>
        <v>624.17</v>
      </c>
    </row>
    <row r="134" customFormat="false" ht="15" hidden="false" customHeight="true" outlineLevel="0" collapsed="false">
      <c r="B134" s="65" t="n">
        <f aca="false">EDATE(B133,1)</f>
        <v>43070</v>
      </c>
      <c r="C134" s="64" t="n">
        <f aca="false">B134+14</f>
        <v>43084</v>
      </c>
      <c r="D134" s="33" t="n">
        <f aca="false">IF(OR($C$9="",B134&gt;=$C$9),0,$C$10*(1+$C$11)^IF(B134&lt;$C$7,0,DATEDIF($C$7,B134,"y"))*MAX(0,MIN(EDATE(B134,1),$C$9)-MAX(B134,$C$7))/(EDATE(B134,1)-B134))</f>
        <v>976.5</v>
      </c>
      <c r="E134" s="33" t="n">
        <f aca="false">-SUMIFS(Échéancier!$I$5:$I$300,Échéancier!$J$5:$J$300,$C$5,Échéancier!$C$5:$C$300,"&gt;="&amp;B134,Échéancier!$C$5:$C$300,"&lt;"&amp;EDATE(B134,1))</f>
        <v>-823.57</v>
      </c>
      <c r="F134" s="33" t="n">
        <f aca="false">-SUMIFS($D$68:$D$106,$E$68:$E$106,$C$5,$C$68:$C$106,"&gt;="&amp;B134,$C$68:$C$106,"&lt;"&amp;EDATE(B134,1))</f>
        <v>-278.07</v>
      </c>
      <c r="G134" s="33" t="n">
        <f aca="false">SUMIFS(Journal!$K$5:$K$1004,Journal!$C$5:$C$1004,$C$5,Journal!$A$5:$A$1004,"&gt;="&amp;B134,Journal!$A$5:$A$1004,"&lt;"&amp;MIN(EDATE(B134,1),$C$6+1))</f>
        <v>0</v>
      </c>
      <c r="H134" s="33" t="n">
        <f aca="false">IF(B134&lt;=$C$6,0,($C$12-$C$13/12)*(1+$C$14)^(YEAR(B134)-YEAR($C$6)))</f>
        <v>0</v>
      </c>
      <c r="I134" s="33" t="n">
        <f aca="false">SUM(D134:H134)</f>
        <v>-125.14</v>
      </c>
      <c r="J134" s="33" t="n">
        <f aca="false">IF(C134&lt;=$C$22,I134,0)</f>
        <v>-125.14</v>
      </c>
      <c r="K134" s="33" t="n">
        <f aca="false">IF(C134&lt;=$D$22,I134,0)</f>
        <v>-125.14</v>
      </c>
      <c r="L134" s="33" t="n">
        <f aca="false">IF(C134&lt;=$E$22,I134,0)</f>
        <v>-125.14</v>
      </c>
    </row>
    <row r="135" customFormat="false" ht="15" hidden="false" customHeight="true" outlineLevel="0" collapsed="false">
      <c r="B135" s="65" t="n">
        <f aca="false">EDATE(B134,1)</f>
        <v>43101</v>
      </c>
      <c r="C135" s="64" t="n">
        <f aca="false">B135+14</f>
        <v>43115</v>
      </c>
      <c r="D135" s="33" t="n">
        <f aca="false">IF(OR($C$9="",B135&gt;=$C$9),0,$C$10*(1+$C$11)^IF(B135&lt;$C$7,0,DATEDIF($C$7,B135,"y"))*MAX(0,MIN(EDATE(B135,1),$C$9)-MAX(B135,$C$7))/(EDATE(B135,1)-B135))</f>
        <v>976.5</v>
      </c>
      <c r="E135" s="33" t="n">
        <f aca="false">-SUMIFS(Échéancier!$I$5:$I$300,Échéancier!$J$5:$J$300,$C$5,Échéancier!$C$5:$C$300,"&gt;="&amp;B135,Échéancier!$C$5:$C$300,"&lt;"&amp;EDATE(B135,1))</f>
        <v>-841.32</v>
      </c>
      <c r="F135" s="33" t="n">
        <f aca="false">-SUMIFS($D$68:$D$106,$E$68:$E$106,$C$5,$C$68:$C$106,"&gt;="&amp;B135,$C$68:$C$106,"&lt;"&amp;EDATE(B135,1))</f>
        <v>-0</v>
      </c>
      <c r="G135" s="33" t="n">
        <f aca="false">SUMIFS(Journal!$K$5:$K$1004,Journal!$C$5:$C$1004,$C$5,Journal!$A$5:$A$1004,"&gt;="&amp;B135,Journal!$A$5:$A$1004,"&lt;"&amp;MIN(EDATE(B135,1),$C$6+1))</f>
        <v>0</v>
      </c>
      <c r="H135" s="33" t="n">
        <f aca="false">IF(B135&lt;=$C$6,0,($C$12-$C$13/12)*(1+$C$14)^(YEAR(B135)-YEAR($C$6)))</f>
        <v>0</v>
      </c>
      <c r="I135" s="33" t="n">
        <f aca="false">SUM(D135:H135)</f>
        <v>135.18</v>
      </c>
      <c r="J135" s="33" t="n">
        <f aca="false">IF(C135&lt;=$C$22,I135,0)</f>
        <v>135.18</v>
      </c>
      <c r="K135" s="33" t="n">
        <f aca="false">IF(C135&lt;=$D$22,I135,0)</f>
        <v>135.18</v>
      </c>
      <c r="L135" s="33" t="n">
        <f aca="false">IF(C135&lt;=$E$22,I135,0)</f>
        <v>135.18</v>
      </c>
    </row>
    <row r="136" customFormat="false" ht="15" hidden="false" customHeight="true" outlineLevel="0" collapsed="false">
      <c r="B136" s="65" t="n">
        <f aca="false">EDATE(B135,1)</f>
        <v>43132</v>
      </c>
      <c r="C136" s="64" t="n">
        <f aca="false">B136+14</f>
        <v>43146</v>
      </c>
      <c r="D136" s="33" t="n">
        <f aca="false">IF(OR($C$9="",B136&gt;=$C$9),0,$C$10*(1+$C$11)^IF(B136&lt;$C$7,0,DATEDIF($C$7,B136,"y"))*MAX(0,MIN(EDATE(B136,1),$C$9)-MAX(B136,$C$7))/(EDATE(B136,1)-B136))</f>
        <v>976.5</v>
      </c>
      <c r="E136" s="33" t="n">
        <f aca="false">-SUMIFS(Échéancier!$I$5:$I$300,Échéancier!$J$5:$J$300,$C$5,Échéancier!$C$5:$C$300,"&gt;="&amp;B136,Échéancier!$C$5:$C$300,"&lt;"&amp;EDATE(B136,1))</f>
        <v>-841.32</v>
      </c>
      <c r="F136" s="33" t="n">
        <f aca="false">-SUMIFS($D$68:$D$106,$E$68:$E$106,$C$5,$C$68:$C$106,"&gt;="&amp;B136,$C$68:$C$106,"&lt;"&amp;EDATE(B136,1))</f>
        <v>-0</v>
      </c>
      <c r="G136" s="33" t="n">
        <f aca="false">SUMIFS(Journal!$K$5:$K$1004,Journal!$C$5:$C$1004,$C$5,Journal!$A$5:$A$1004,"&gt;="&amp;B136,Journal!$A$5:$A$1004,"&lt;"&amp;MIN(EDATE(B136,1),$C$6+1))</f>
        <v>0</v>
      </c>
      <c r="H136" s="33" t="n">
        <f aca="false">IF(B136&lt;=$C$6,0,($C$12-$C$13/12)*(1+$C$14)^(YEAR(B136)-YEAR($C$6)))</f>
        <v>0</v>
      </c>
      <c r="I136" s="33" t="n">
        <f aca="false">SUM(D136:H136)</f>
        <v>135.18</v>
      </c>
      <c r="J136" s="33" t="n">
        <f aca="false">IF(C136&lt;=$C$22,I136,0)</f>
        <v>135.18</v>
      </c>
      <c r="K136" s="33" t="n">
        <f aca="false">IF(C136&lt;=$D$22,I136,0)</f>
        <v>135.18</v>
      </c>
      <c r="L136" s="33" t="n">
        <f aca="false">IF(C136&lt;=$E$22,I136,0)</f>
        <v>135.18</v>
      </c>
    </row>
    <row r="137" customFormat="false" ht="15" hidden="false" customHeight="true" outlineLevel="0" collapsed="false">
      <c r="B137" s="65" t="n">
        <f aca="false">EDATE(B136,1)</f>
        <v>43160</v>
      </c>
      <c r="C137" s="64" t="n">
        <f aca="false">B137+14</f>
        <v>43174</v>
      </c>
      <c r="D137" s="33" t="n">
        <f aca="false">IF(OR($C$9="",B137&gt;=$C$9),0,$C$10*(1+$C$11)^IF(B137&lt;$C$7,0,DATEDIF($C$7,B137,"y"))*MAX(0,MIN(EDATE(B137,1),$C$9)-MAX(B137,$C$7))/(EDATE(B137,1)-B137))</f>
        <v>976.5</v>
      </c>
      <c r="E137" s="33" t="n">
        <f aca="false">-SUMIFS(Échéancier!$I$5:$I$300,Échéancier!$J$5:$J$300,$C$5,Échéancier!$C$5:$C$300,"&gt;="&amp;B137,Échéancier!$C$5:$C$300,"&lt;"&amp;EDATE(B137,1))</f>
        <v>-841.33</v>
      </c>
      <c r="F137" s="33" t="n">
        <f aca="false">-SUMIFS($D$68:$D$106,$E$68:$E$106,$C$5,$C$68:$C$106,"&gt;="&amp;B137,$C$68:$C$106,"&lt;"&amp;EDATE(B137,1))</f>
        <v>-0</v>
      </c>
      <c r="G137" s="33" t="n">
        <f aca="false">SUMIFS(Journal!$K$5:$K$1004,Journal!$C$5:$C$1004,$C$5,Journal!$A$5:$A$1004,"&gt;="&amp;B137,Journal!$A$5:$A$1004,"&lt;"&amp;MIN(EDATE(B137,1),$C$6+1))</f>
        <v>0</v>
      </c>
      <c r="H137" s="33" t="n">
        <f aca="false">IF(B137&lt;=$C$6,0,($C$12-$C$13/12)*(1+$C$14)^(YEAR(B137)-YEAR($C$6)))</f>
        <v>0</v>
      </c>
      <c r="I137" s="33" t="n">
        <f aca="false">SUM(D137:H137)</f>
        <v>135.17</v>
      </c>
      <c r="J137" s="33" t="n">
        <f aca="false">IF(C137&lt;=$C$22,I137,0)</f>
        <v>135.17</v>
      </c>
      <c r="K137" s="33" t="n">
        <f aca="false">IF(C137&lt;=$D$22,I137,0)</f>
        <v>135.17</v>
      </c>
      <c r="L137" s="33" t="n">
        <f aca="false">IF(C137&lt;=$E$22,I137,0)</f>
        <v>135.17</v>
      </c>
    </row>
    <row r="138" customFormat="false" ht="15" hidden="false" customHeight="true" outlineLevel="0" collapsed="false">
      <c r="B138" s="65" t="n">
        <f aca="false">EDATE(B137,1)</f>
        <v>43191</v>
      </c>
      <c r="C138" s="64" t="n">
        <f aca="false">B138+14</f>
        <v>43205</v>
      </c>
      <c r="D138" s="33" t="n">
        <f aca="false">IF(OR($C$9="",B138&gt;=$C$9),0,$C$10*(1+$C$11)^IF(B138&lt;$C$7,0,DATEDIF($C$7,B138,"y"))*MAX(0,MIN(EDATE(B138,1),$C$9)-MAX(B138,$C$7))/(EDATE(B138,1)-B138))</f>
        <v>976.5</v>
      </c>
      <c r="E138" s="33" t="n">
        <f aca="false">-SUMIFS(Échéancier!$I$5:$I$300,Échéancier!$J$5:$J$300,$C$5,Échéancier!$C$5:$C$300,"&gt;="&amp;B138,Échéancier!$C$5:$C$300,"&lt;"&amp;EDATE(B138,1))</f>
        <v>-841.33</v>
      </c>
      <c r="F138" s="33" t="n">
        <f aca="false">-SUMIFS($D$68:$D$106,$E$68:$E$106,$C$5,$C$68:$C$106,"&gt;="&amp;B138,$C$68:$C$106,"&lt;"&amp;EDATE(B138,1))</f>
        <v>-0</v>
      </c>
      <c r="G138" s="33" t="n">
        <f aca="false">SUMIFS(Journal!$K$5:$K$1004,Journal!$C$5:$C$1004,$C$5,Journal!$A$5:$A$1004,"&gt;="&amp;B138,Journal!$A$5:$A$1004,"&lt;"&amp;MIN(EDATE(B138,1),$C$6+1))</f>
        <v>0</v>
      </c>
      <c r="H138" s="33" t="n">
        <f aca="false">IF(B138&lt;=$C$6,0,($C$12-$C$13/12)*(1+$C$14)^(YEAR(B138)-YEAR($C$6)))</f>
        <v>0</v>
      </c>
      <c r="I138" s="33" t="n">
        <f aca="false">SUM(D138:H138)</f>
        <v>135.17</v>
      </c>
      <c r="J138" s="33" t="n">
        <f aca="false">IF(C138&lt;=$C$22,I138,0)</f>
        <v>135.17</v>
      </c>
      <c r="K138" s="33" t="n">
        <f aca="false">IF(C138&lt;=$D$22,I138,0)</f>
        <v>135.17</v>
      </c>
      <c r="L138" s="33" t="n">
        <f aca="false">IF(C138&lt;=$E$22,I138,0)</f>
        <v>135.17</v>
      </c>
    </row>
    <row r="139" customFormat="false" ht="15" hidden="false" customHeight="true" outlineLevel="0" collapsed="false">
      <c r="B139" s="65" t="n">
        <f aca="false">EDATE(B138,1)</f>
        <v>43221</v>
      </c>
      <c r="C139" s="64" t="n">
        <f aca="false">B139+14</f>
        <v>43235</v>
      </c>
      <c r="D139" s="33" t="n">
        <f aca="false">IF(OR($C$9="",B139&gt;=$C$9),0,$C$10*(1+$C$11)^IF(B139&lt;$C$7,0,DATEDIF($C$7,B139,"y"))*MAX(0,MIN(EDATE(B139,1),$C$9)-MAX(B139,$C$7))/(EDATE(B139,1)-B139))</f>
        <v>976.5</v>
      </c>
      <c r="E139" s="33" t="n">
        <f aca="false">-SUMIFS(Échéancier!$I$5:$I$300,Échéancier!$J$5:$J$300,$C$5,Échéancier!$C$5:$C$300,"&gt;="&amp;B139,Échéancier!$C$5:$C$300,"&lt;"&amp;EDATE(B139,1))</f>
        <v>-841.32</v>
      </c>
      <c r="F139" s="33" t="n">
        <f aca="false">-SUMIFS($D$68:$D$106,$E$68:$E$106,$C$5,$C$68:$C$106,"&gt;="&amp;B139,$C$68:$C$106,"&lt;"&amp;EDATE(B139,1))</f>
        <v>-0</v>
      </c>
      <c r="G139" s="33" t="n">
        <f aca="false">SUMIFS(Journal!$K$5:$K$1004,Journal!$C$5:$C$1004,$C$5,Journal!$A$5:$A$1004,"&gt;="&amp;B139,Journal!$A$5:$A$1004,"&lt;"&amp;MIN(EDATE(B139,1),$C$6+1))</f>
        <v>0</v>
      </c>
      <c r="H139" s="33" t="n">
        <f aca="false">IF(B139&lt;=$C$6,0,($C$12-$C$13/12)*(1+$C$14)^(YEAR(B139)-YEAR($C$6)))</f>
        <v>0</v>
      </c>
      <c r="I139" s="33" t="n">
        <f aca="false">SUM(D139:H139)</f>
        <v>135.18</v>
      </c>
      <c r="J139" s="33" t="n">
        <f aca="false">IF(C139&lt;=$C$22,I139,0)</f>
        <v>135.18</v>
      </c>
      <c r="K139" s="33" t="n">
        <f aca="false">IF(C139&lt;=$D$22,I139,0)</f>
        <v>135.18</v>
      </c>
      <c r="L139" s="33" t="n">
        <f aca="false">IF(C139&lt;=$E$22,I139,0)</f>
        <v>135.18</v>
      </c>
    </row>
    <row r="140" customFormat="false" ht="15" hidden="false" customHeight="true" outlineLevel="0" collapsed="false">
      <c r="B140" s="65" t="n">
        <f aca="false">EDATE(B139,1)</f>
        <v>43252</v>
      </c>
      <c r="C140" s="64" t="n">
        <f aca="false">B140+14</f>
        <v>43266</v>
      </c>
      <c r="D140" s="33" t="n">
        <f aca="false">IF(OR($C$9="",B140&gt;=$C$9),0,$C$10*(1+$C$11)^IF(B140&lt;$C$7,0,DATEDIF($C$7,B140,"y"))*MAX(0,MIN(EDATE(B140,1),$C$9)-MAX(B140,$C$7))/(EDATE(B140,1)-B140))</f>
        <v>976.5</v>
      </c>
      <c r="E140" s="33" t="n">
        <f aca="false">-SUMIFS(Échéancier!$I$5:$I$300,Échéancier!$J$5:$J$300,$C$5,Échéancier!$C$5:$C$300,"&gt;="&amp;B140,Échéancier!$C$5:$C$300,"&lt;"&amp;EDATE(B140,1))</f>
        <v>-841.32</v>
      </c>
      <c r="F140" s="33" t="n">
        <f aca="false">-SUMIFS($D$68:$D$106,$E$68:$E$106,$C$5,$C$68:$C$106,"&gt;="&amp;B140,$C$68:$C$106,"&lt;"&amp;EDATE(B140,1))</f>
        <v>-0</v>
      </c>
      <c r="G140" s="33" t="n">
        <f aca="false">SUMIFS(Journal!$K$5:$K$1004,Journal!$C$5:$C$1004,$C$5,Journal!$A$5:$A$1004,"&gt;="&amp;B140,Journal!$A$5:$A$1004,"&lt;"&amp;MIN(EDATE(B140,1),$C$6+1))</f>
        <v>0</v>
      </c>
      <c r="H140" s="33" t="n">
        <f aca="false">IF(B140&lt;=$C$6,0,($C$12-$C$13/12)*(1+$C$14)^(YEAR(B140)-YEAR($C$6)))</f>
        <v>0</v>
      </c>
      <c r="I140" s="33" t="n">
        <f aca="false">SUM(D140:H140)</f>
        <v>135.18</v>
      </c>
      <c r="J140" s="33" t="n">
        <f aca="false">IF(C140&lt;=$C$22,I140,0)</f>
        <v>135.18</v>
      </c>
      <c r="K140" s="33" t="n">
        <f aca="false">IF(C140&lt;=$D$22,I140,0)</f>
        <v>135.18</v>
      </c>
      <c r="L140" s="33" t="n">
        <f aca="false">IF(C140&lt;=$E$22,I140,0)</f>
        <v>135.18</v>
      </c>
    </row>
    <row r="141" customFormat="false" ht="15" hidden="false" customHeight="true" outlineLevel="0" collapsed="false">
      <c r="B141" s="65" t="n">
        <f aca="false">EDATE(B140,1)</f>
        <v>43282</v>
      </c>
      <c r="C141" s="64" t="n">
        <f aca="false">B141+14</f>
        <v>43296</v>
      </c>
      <c r="D141" s="33" t="n">
        <f aca="false">IF(OR($C$9="",B141&gt;=$C$9),0,$C$10*(1+$C$11)^IF(B141&lt;$C$7,0,DATEDIF($C$7,B141,"y"))*MAX(0,MIN(EDATE(B141,1),$C$9)-MAX(B141,$C$7))/(EDATE(B141,1)-B141))</f>
        <v>976.5</v>
      </c>
      <c r="E141" s="33" t="n">
        <f aca="false">-SUMIFS(Échéancier!$I$5:$I$300,Échéancier!$J$5:$J$300,$C$5,Échéancier!$C$5:$C$300,"&gt;="&amp;B141,Échéancier!$C$5:$C$300,"&lt;"&amp;EDATE(B141,1))</f>
        <v>-841.33</v>
      </c>
      <c r="F141" s="33" t="n">
        <f aca="false">-SUMIFS($D$68:$D$106,$E$68:$E$106,$C$5,$C$68:$C$106,"&gt;="&amp;B141,$C$68:$C$106,"&lt;"&amp;EDATE(B141,1))</f>
        <v>-1953</v>
      </c>
      <c r="G141" s="33" t="n">
        <f aca="false">SUMIFS(Journal!$K$5:$K$1004,Journal!$C$5:$C$1004,$C$5,Journal!$A$5:$A$1004,"&gt;="&amp;B141,Journal!$A$5:$A$1004,"&lt;"&amp;MIN(EDATE(B141,1),$C$6+1))</f>
        <v>0</v>
      </c>
      <c r="H141" s="33" t="n">
        <f aca="false">IF(B141&lt;=$C$6,0,($C$12-$C$13/12)*(1+$C$14)^(YEAR(B141)-YEAR($C$6)))</f>
        <v>0</v>
      </c>
      <c r="I141" s="33" t="n">
        <f aca="false">SUM(D141:H141)</f>
        <v>-1817.83</v>
      </c>
      <c r="J141" s="33" t="n">
        <f aca="false">IF(C141&lt;=$C$22,I141,0)</f>
        <v>-1817.83</v>
      </c>
      <c r="K141" s="33" t="n">
        <f aca="false">IF(C141&lt;=$D$22,I141,0)</f>
        <v>-1817.83</v>
      </c>
      <c r="L141" s="33" t="n">
        <f aca="false">IF(C141&lt;=$E$22,I141,0)</f>
        <v>-1817.83</v>
      </c>
    </row>
    <row r="142" customFormat="false" ht="15" hidden="false" customHeight="true" outlineLevel="0" collapsed="false">
      <c r="B142" s="65" t="n">
        <f aca="false">EDATE(B141,1)</f>
        <v>43313</v>
      </c>
      <c r="C142" s="64" t="n">
        <f aca="false">B142+14</f>
        <v>43327</v>
      </c>
      <c r="D142" s="33" t="n">
        <f aca="false">IF(OR($C$9="",B142&gt;=$C$9),0,$C$10*(1+$C$11)^IF(B142&lt;$C$7,0,DATEDIF($C$7,B142,"y"))*MAX(0,MIN(EDATE(B142,1),$C$9)-MAX(B142,$C$7))/(EDATE(B142,1)-B142))</f>
        <v>976.5</v>
      </c>
      <c r="E142" s="33" t="n">
        <f aca="false">-SUMIFS(Échéancier!$I$5:$I$300,Échéancier!$J$5:$J$300,$C$5,Échéancier!$C$5:$C$300,"&gt;="&amp;B142,Échéancier!$C$5:$C$300,"&lt;"&amp;EDATE(B142,1))</f>
        <v>-841.33</v>
      </c>
      <c r="F142" s="33" t="n">
        <f aca="false">-SUMIFS($D$68:$D$106,$E$68:$E$106,$C$5,$C$68:$C$106,"&gt;="&amp;B142,$C$68:$C$106,"&lt;"&amp;EDATE(B142,1))</f>
        <v>-0</v>
      </c>
      <c r="G142" s="33" t="n">
        <f aca="false">SUMIFS(Journal!$K$5:$K$1004,Journal!$C$5:$C$1004,$C$5,Journal!$A$5:$A$1004,"&gt;="&amp;B142,Journal!$A$5:$A$1004,"&lt;"&amp;MIN(EDATE(B142,1),$C$6+1))</f>
        <v>0</v>
      </c>
      <c r="H142" s="33" t="n">
        <f aca="false">IF(B142&lt;=$C$6,0,($C$12-$C$13/12)*(1+$C$14)^(YEAR(B142)-YEAR($C$6)))</f>
        <v>0</v>
      </c>
      <c r="I142" s="33" t="n">
        <f aca="false">SUM(D142:H142)</f>
        <v>135.17</v>
      </c>
      <c r="J142" s="33" t="n">
        <f aca="false">IF(C142&lt;=$C$22,I142,0)</f>
        <v>135.17</v>
      </c>
      <c r="K142" s="33" t="n">
        <f aca="false">IF(C142&lt;=$D$22,I142,0)</f>
        <v>135.17</v>
      </c>
      <c r="L142" s="33" t="n">
        <f aca="false">IF(C142&lt;=$E$22,I142,0)</f>
        <v>135.17</v>
      </c>
    </row>
    <row r="143" customFormat="false" ht="15" hidden="false" customHeight="true" outlineLevel="0" collapsed="false">
      <c r="B143" s="65" t="n">
        <f aca="false">EDATE(B142,1)</f>
        <v>43344</v>
      </c>
      <c r="C143" s="64" t="n">
        <f aca="false">B143+14</f>
        <v>43358</v>
      </c>
      <c r="D143" s="33" t="n">
        <f aca="false">IF(OR($C$9="",B143&gt;=$C$9),0,$C$10*(1+$C$11)^IF(B143&lt;$C$7,0,DATEDIF($C$7,B143,"y"))*MAX(0,MIN(EDATE(B143,1),$C$9)-MAX(B143,$C$7))/(EDATE(B143,1)-B143))</f>
        <v>976.5</v>
      </c>
      <c r="E143" s="33" t="n">
        <f aca="false">-SUMIFS(Échéancier!$I$5:$I$300,Échéancier!$J$5:$J$300,$C$5,Échéancier!$C$5:$C$300,"&gt;="&amp;B143,Échéancier!$C$5:$C$300,"&lt;"&amp;EDATE(B143,1))</f>
        <v>-841.33</v>
      </c>
      <c r="F143" s="33" t="n">
        <f aca="false">-SUMIFS($D$68:$D$106,$E$68:$E$106,$C$5,$C$68:$C$106,"&gt;="&amp;B143,$C$68:$C$106,"&lt;"&amp;EDATE(B143,1))</f>
        <v>-0</v>
      </c>
      <c r="G143" s="33" t="n">
        <f aca="false">SUMIFS(Journal!$K$5:$K$1004,Journal!$C$5:$C$1004,$C$5,Journal!$A$5:$A$1004,"&gt;="&amp;B143,Journal!$A$5:$A$1004,"&lt;"&amp;MIN(EDATE(B143,1),$C$6+1))</f>
        <v>0</v>
      </c>
      <c r="H143" s="33" t="n">
        <f aca="false">IF(B143&lt;=$C$6,0,($C$12-$C$13/12)*(1+$C$14)^(YEAR(B143)-YEAR($C$6)))</f>
        <v>0</v>
      </c>
      <c r="I143" s="33" t="n">
        <f aca="false">SUM(D143:H143)</f>
        <v>135.17</v>
      </c>
      <c r="J143" s="33" t="n">
        <f aca="false">IF(C143&lt;=$C$22,I143,0)</f>
        <v>135.17</v>
      </c>
      <c r="K143" s="33" t="n">
        <f aca="false">IF(C143&lt;=$D$22,I143,0)</f>
        <v>135.17</v>
      </c>
      <c r="L143" s="33" t="n">
        <f aca="false">IF(C143&lt;=$E$22,I143,0)</f>
        <v>135.17</v>
      </c>
    </row>
    <row r="144" customFormat="false" ht="15" hidden="false" customHeight="true" outlineLevel="0" collapsed="false">
      <c r="B144" s="65" t="n">
        <f aca="false">EDATE(B143,1)</f>
        <v>43374</v>
      </c>
      <c r="C144" s="64" t="n">
        <f aca="false">B144+14</f>
        <v>43388</v>
      </c>
      <c r="D144" s="33" t="n">
        <f aca="false">IF(OR($C$9="",B144&gt;=$C$9),0,$C$10*(1+$C$11)^IF(B144&lt;$C$7,0,DATEDIF($C$7,B144,"y"))*MAX(0,MIN(EDATE(B144,1),$C$9)-MAX(B144,$C$7))/(EDATE(B144,1)-B144))</f>
        <v>976.5</v>
      </c>
      <c r="E144" s="33" t="n">
        <f aca="false">-SUMIFS(Échéancier!$I$5:$I$300,Échéancier!$J$5:$J$300,$C$5,Échéancier!$C$5:$C$300,"&gt;="&amp;B144,Échéancier!$C$5:$C$300,"&lt;"&amp;EDATE(B144,1))</f>
        <v>-841.32</v>
      </c>
      <c r="F144" s="33" t="n">
        <f aca="false">-SUMIFS($D$68:$D$106,$E$68:$E$106,$C$5,$C$68:$C$106,"&gt;="&amp;B144,$C$68:$C$106,"&lt;"&amp;EDATE(B144,1))</f>
        <v>-430.59</v>
      </c>
      <c r="G144" s="33" t="n">
        <f aca="false">SUMIFS(Journal!$K$5:$K$1004,Journal!$C$5:$C$1004,$C$5,Journal!$A$5:$A$1004,"&gt;="&amp;B144,Journal!$A$5:$A$1004,"&lt;"&amp;MIN(EDATE(B144,1),$C$6+1))</f>
        <v>0</v>
      </c>
      <c r="H144" s="33" t="n">
        <f aca="false">IF(B144&lt;=$C$6,0,($C$12-$C$13/12)*(1+$C$14)^(YEAR(B144)-YEAR($C$6)))</f>
        <v>0</v>
      </c>
      <c r="I144" s="33" t="n">
        <f aca="false">SUM(D144:H144)</f>
        <v>-295.41</v>
      </c>
      <c r="J144" s="33" t="n">
        <f aca="false">IF(C144&lt;=$C$22,I144,0)</f>
        <v>-295.41</v>
      </c>
      <c r="K144" s="33" t="n">
        <f aca="false">IF(C144&lt;=$D$22,I144,0)</f>
        <v>-295.41</v>
      </c>
      <c r="L144" s="33" t="n">
        <f aca="false">IF(C144&lt;=$E$22,I144,0)</f>
        <v>-295.41</v>
      </c>
    </row>
    <row r="145" customFormat="false" ht="15" hidden="false" customHeight="true" outlineLevel="0" collapsed="false">
      <c r="B145" s="65" t="n">
        <f aca="false">EDATE(B144,1)</f>
        <v>43405</v>
      </c>
      <c r="C145" s="64" t="n">
        <f aca="false">B145+14</f>
        <v>43419</v>
      </c>
      <c r="D145" s="33" t="n">
        <f aca="false">IF(OR($C$9="",B145&gt;=$C$9),0,$C$10*(1+$C$11)^IF(B145&lt;$C$7,0,DATEDIF($C$7,B145,"y"))*MAX(0,MIN(EDATE(B145,1),$C$9)-MAX(B145,$C$7))/(EDATE(B145,1)-B145))</f>
        <v>976.5</v>
      </c>
      <c r="E145" s="33" t="n">
        <f aca="false">-SUMIFS(Échéancier!$I$5:$I$300,Échéancier!$J$5:$J$300,$C$5,Échéancier!$C$5:$C$300,"&gt;="&amp;B145,Échéancier!$C$5:$C$300,"&lt;"&amp;EDATE(B145,1))</f>
        <v>-841.32</v>
      </c>
      <c r="F145" s="33" t="n">
        <f aca="false">-SUMIFS($D$68:$D$106,$E$68:$E$106,$C$5,$C$68:$C$106,"&gt;="&amp;B145,$C$68:$C$106,"&lt;"&amp;EDATE(B145,1))</f>
        <v>-0</v>
      </c>
      <c r="G145" s="33" t="n">
        <f aca="false">SUMIFS(Journal!$K$5:$K$1004,Journal!$C$5:$C$1004,$C$5,Journal!$A$5:$A$1004,"&gt;="&amp;B145,Journal!$A$5:$A$1004,"&lt;"&amp;MIN(EDATE(B145,1),$C$6+1))</f>
        <v>0</v>
      </c>
      <c r="H145" s="33" t="n">
        <f aca="false">IF(B145&lt;=$C$6,0,($C$12-$C$13/12)*(1+$C$14)^(YEAR(B145)-YEAR($C$6)))</f>
        <v>0</v>
      </c>
      <c r="I145" s="33" t="n">
        <f aca="false">SUM(D145:H145)</f>
        <v>135.18</v>
      </c>
      <c r="J145" s="33" t="n">
        <f aca="false">IF(C145&lt;=$C$22,I145,0)</f>
        <v>135.18</v>
      </c>
      <c r="K145" s="33" t="n">
        <f aca="false">IF(C145&lt;=$D$22,I145,0)</f>
        <v>135.18</v>
      </c>
      <c r="L145" s="33" t="n">
        <f aca="false">IF(C145&lt;=$E$22,I145,0)</f>
        <v>135.18</v>
      </c>
    </row>
    <row r="146" customFormat="false" ht="15" hidden="false" customHeight="true" outlineLevel="0" collapsed="false">
      <c r="B146" s="65" t="n">
        <f aca="false">EDATE(B145,1)</f>
        <v>43435</v>
      </c>
      <c r="C146" s="64" t="n">
        <f aca="false">B146+14</f>
        <v>43449</v>
      </c>
      <c r="D146" s="33" t="n">
        <f aca="false">IF(OR($C$9="",B146&gt;=$C$9),0,$C$10*(1+$C$11)^IF(B146&lt;$C$7,0,DATEDIF($C$7,B146,"y"))*MAX(0,MIN(EDATE(B146,1),$C$9)-MAX(B146,$C$7))/(EDATE(B146,1)-B146))</f>
        <v>993.8817</v>
      </c>
      <c r="E146" s="33" t="n">
        <f aca="false">-SUMIFS(Échéancier!$I$5:$I$300,Échéancier!$J$5:$J$300,$C$5,Échéancier!$C$5:$C$300,"&gt;="&amp;B146,Échéancier!$C$5:$C$300,"&lt;"&amp;EDATE(B146,1))</f>
        <v>-841.33</v>
      </c>
      <c r="F146" s="33" t="n">
        <f aca="false">-SUMIFS($D$68:$D$106,$E$68:$E$106,$C$5,$C$68:$C$106,"&gt;="&amp;B146,$C$68:$C$106,"&lt;"&amp;EDATE(B146,1))</f>
        <v>-0</v>
      </c>
      <c r="G146" s="33" t="n">
        <f aca="false">SUMIFS(Journal!$K$5:$K$1004,Journal!$C$5:$C$1004,$C$5,Journal!$A$5:$A$1004,"&gt;="&amp;B146,Journal!$A$5:$A$1004,"&lt;"&amp;MIN(EDATE(B146,1),$C$6+1))</f>
        <v>0</v>
      </c>
      <c r="H146" s="33" t="n">
        <f aca="false">IF(B146&lt;=$C$6,0,($C$12-$C$13/12)*(1+$C$14)^(YEAR(B146)-YEAR($C$6)))</f>
        <v>0</v>
      </c>
      <c r="I146" s="33" t="n">
        <f aca="false">SUM(D146:H146)</f>
        <v>152.5517</v>
      </c>
      <c r="J146" s="33" t="n">
        <f aca="false">IF(C146&lt;=$C$22,I146,0)</f>
        <v>152.5517</v>
      </c>
      <c r="K146" s="33" t="n">
        <f aca="false">IF(C146&lt;=$D$22,I146,0)</f>
        <v>152.5517</v>
      </c>
      <c r="L146" s="33" t="n">
        <f aca="false">IF(C146&lt;=$E$22,I146,0)</f>
        <v>152.5517</v>
      </c>
    </row>
    <row r="147" customFormat="false" ht="15" hidden="false" customHeight="true" outlineLevel="0" collapsed="false">
      <c r="B147" s="65" t="n">
        <f aca="false">EDATE(B146,1)</f>
        <v>43466</v>
      </c>
      <c r="C147" s="64" t="n">
        <f aca="false">B147+14</f>
        <v>43480</v>
      </c>
      <c r="D147" s="33" t="n">
        <f aca="false">IF(OR($C$9="",B147&gt;=$C$9),0,$C$10*(1+$C$11)^IF(B147&lt;$C$7,0,DATEDIF($C$7,B147,"y"))*MAX(0,MIN(EDATE(B147,1),$C$9)-MAX(B147,$C$7))/(EDATE(B147,1)-B147))</f>
        <v>993.8817</v>
      </c>
      <c r="E147" s="33" t="n">
        <f aca="false">-SUMIFS(Échéancier!$I$5:$I$300,Échéancier!$J$5:$J$300,$C$5,Échéancier!$C$5:$C$300,"&gt;="&amp;B147,Échéancier!$C$5:$C$300,"&lt;"&amp;EDATE(B147,1))</f>
        <v>-841.33</v>
      </c>
      <c r="F147" s="33" t="n">
        <f aca="false">-SUMIFS($D$68:$D$106,$E$68:$E$106,$C$5,$C$68:$C$106,"&gt;="&amp;B147,$C$68:$C$106,"&lt;"&amp;EDATE(B147,1))</f>
        <v>-0</v>
      </c>
      <c r="G147" s="33" t="n">
        <f aca="false">SUMIFS(Journal!$K$5:$K$1004,Journal!$C$5:$C$1004,$C$5,Journal!$A$5:$A$1004,"&gt;="&amp;B147,Journal!$A$5:$A$1004,"&lt;"&amp;MIN(EDATE(B147,1),$C$6+1))</f>
        <v>0</v>
      </c>
      <c r="H147" s="33" t="n">
        <f aca="false">IF(B147&lt;=$C$6,0,($C$12-$C$13/12)*(1+$C$14)^(YEAR(B147)-YEAR($C$6)))</f>
        <v>0</v>
      </c>
      <c r="I147" s="33" t="n">
        <f aca="false">SUM(D147:H147)</f>
        <v>152.5517</v>
      </c>
      <c r="J147" s="33" t="n">
        <f aca="false">IF(C147&lt;=$C$22,I147,0)</f>
        <v>152.5517</v>
      </c>
      <c r="K147" s="33" t="n">
        <f aca="false">IF(C147&lt;=$D$22,I147,0)</f>
        <v>152.5517</v>
      </c>
      <c r="L147" s="33" t="n">
        <f aca="false">IF(C147&lt;=$E$22,I147,0)</f>
        <v>152.5517</v>
      </c>
    </row>
    <row r="148" customFormat="false" ht="15" hidden="false" customHeight="true" outlineLevel="0" collapsed="false">
      <c r="B148" s="65" t="n">
        <f aca="false">EDATE(B147,1)</f>
        <v>43497</v>
      </c>
      <c r="C148" s="64" t="n">
        <f aca="false">B148+14</f>
        <v>43511</v>
      </c>
      <c r="D148" s="33" t="n">
        <f aca="false">IF(OR($C$9="",B148&gt;=$C$9),0,$C$10*(1+$C$11)^IF(B148&lt;$C$7,0,DATEDIF($C$7,B148,"y"))*MAX(0,MIN(EDATE(B148,1),$C$9)-MAX(B148,$C$7))/(EDATE(B148,1)-B148))</f>
        <v>993.8817</v>
      </c>
      <c r="E148" s="33" t="n">
        <f aca="false">-SUMIFS(Échéancier!$I$5:$I$300,Échéancier!$J$5:$J$300,$C$5,Échéancier!$C$5:$C$300,"&gt;="&amp;B148,Échéancier!$C$5:$C$300,"&lt;"&amp;EDATE(B148,1))</f>
        <v>-841.33</v>
      </c>
      <c r="F148" s="33" t="n">
        <f aca="false">-SUMIFS($D$68:$D$106,$E$68:$E$106,$C$5,$C$68:$C$106,"&gt;="&amp;B148,$C$68:$C$106,"&lt;"&amp;EDATE(B148,1))</f>
        <v>-0</v>
      </c>
      <c r="G148" s="33" t="n">
        <f aca="false">SUMIFS(Journal!$K$5:$K$1004,Journal!$C$5:$C$1004,$C$5,Journal!$A$5:$A$1004,"&gt;="&amp;B148,Journal!$A$5:$A$1004,"&lt;"&amp;MIN(EDATE(B148,1),$C$6+1))</f>
        <v>0</v>
      </c>
      <c r="H148" s="33" t="n">
        <f aca="false">IF(B148&lt;=$C$6,0,($C$12-$C$13/12)*(1+$C$14)^(YEAR(B148)-YEAR($C$6)))</f>
        <v>0</v>
      </c>
      <c r="I148" s="33" t="n">
        <f aca="false">SUM(D148:H148)</f>
        <v>152.5517</v>
      </c>
      <c r="J148" s="33" t="n">
        <f aca="false">IF(C148&lt;=$C$22,I148,0)</f>
        <v>152.5517</v>
      </c>
      <c r="K148" s="33" t="n">
        <f aca="false">IF(C148&lt;=$D$22,I148,0)</f>
        <v>152.5517</v>
      </c>
      <c r="L148" s="33" t="n">
        <f aca="false">IF(C148&lt;=$E$22,I148,0)</f>
        <v>152.5517</v>
      </c>
    </row>
    <row r="149" customFormat="false" ht="15" hidden="false" customHeight="true" outlineLevel="0" collapsed="false">
      <c r="B149" s="65" t="n">
        <f aca="false">EDATE(B148,1)</f>
        <v>43525</v>
      </c>
      <c r="C149" s="64" t="n">
        <f aca="false">B149+14</f>
        <v>43539</v>
      </c>
      <c r="D149" s="33" t="n">
        <f aca="false">IF(OR($C$9="",B149&gt;=$C$9),0,$C$10*(1+$C$11)^IF(B149&lt;$C$7,0,DATEDIF($C$7,B149,"y"))*MAX(0,MIN(EDATE(B149,1),$C$9)-MAX(B149,$C$7))/(EDATE(B149,1)-B149))</f>
        <v>993.8817</v>
      </c>
      <c r="E149" s="33" t="n">
        <f aca="false">-SUMIFS(Échéancier!$I$5:$I$300,Échéancier!$J$5:$J$300,$C$5,Échéancier!$C$5:$C$300,"&gt;="&amp;B149,Échéancier!$C$5:$C$300,"&lt;"&amp;EDATE(B149,1))</f>
        <v>-841.32</v>
      </c>
      <c r="F149" s="33" t="n">
        <f aca="false">-SUMIFS($D$68:$D$106,$E$68:$E$106,$C$5,$C$68:$C$106,"&gt;="&amp;B149,$C$68:$C$106,"&lt;"&amp;EDATE(B149,1))</f>
        <v>-0</v>
      </c>
      <c r="G149" s="33" t="n">
        <f aca="false">SUMIFS(Journal!$K$5:$K$1004,Journal!$C$5:$C$1004,$C$5,Journal!$A$5:$A$1004,"&gt;="&amp;B149,Journal!$A$5:$A$1004,"&lt;"&amp;MIN(EDATE(B149,1),$C$6+1))</f>
        <v>0</v>
      </c>
      <c r="H149" s="33" t="n">
        <f aca="false">IF(B149&lt;=$C$6,0,($C$12-$C$13/12)*(1+$C$14)^(YEAR(B149)-YEAR($C$6)))</f>
        <v>0</v>
      </c>
      <c r="I149" s="33" t="n">
        <f aca="false">SUM(D149:H149)</f>
        <v>152.5617</v>
      </c>
      <c r="J149" s="33" t="n">
        <f aca="false">IF(C149&lt;=$C$22,I149,0)</f>
        <v>152.5617</v>
      </c>
      <c r="K149" s="33" t="n">
        <f aca="false">IF(C149&lt;=$D$22,I149,0)</f>
        <v>152.5617</v>
      </c>
      <c r="L149" s="33" t="n">
        <f aca="false">IF(C149&lt;=$E$22,I149,0)</f>
        <v>152.5617</v>
      </c>
    </row>
    <row r="150" customFormat="false" ht="15" hidden="false" customHeight="true" outlineLevel="0" collapsed="false">
      <c r="B150" s="65" t="n">
        <f aca="false">EDATE(B149,1)</f>
        <v>43556</v>
      </c>
      <c r="C150" s="64" t="n">
        <f aca="false">B150+14</f>
        <v>43570</v>
      </c>
      <c r="D150" s="33" t="n">
        <f aca="false">IF(OR($C$9="",B150&gt;=$C$9),0,$C$10*(1+$C$11)^IF(B150&lt;$C$7,0,DATEDIF($C$7,B150,"y"))*MAX(0,MIN(EDATE(B150,1),$C$9)-MAX(B150,$C$7))/(EDATE(B150,1)-B150))</f>
        <v>993.8817</v>
      </c>
      <c r="E150" s="33" t="n">
        <f aca="false">-SUMIFS(Échéancier!$I$5:$I$300,Échéancier!$J$5:$J$300,$C$5,Échéancier!$C$5:$C$300,"&gt;="&amp;B150,Échéancier!$C$5:$C$300,"&lt;"&amp;EDATE(B150,1))</f>
        <v>-841.32</v>
      </c>
      <c r="F150" s="33" t="n">
        <f aca="false">-SUMIFS($D$68:$D$106,$E$68:$E$106,$C$5,$C$68:$C$106,"&gt;="&amp;B150,$C$68:$C$106,"&lt;"&amp;EDATE(B150,1))</f>
        <v>-0</v>
      </c>
      <c r="G150" s="33" t="n">
        <f aca="false">SUMIFS(Journal!$K$5:$K$1004,Journal!$C$5:$C$1004,$C$5,Journal!$A$5:$A$1004,"&gt;="&amp;B150,Journal!$A$5:$A$1004,"&lt;"&amp;MIN(EDATE(B150,1),$C$6+1))</f>
        <v>0</v>
      </c>
      <c r="H150" s="33" t="n">
        <f aca="false">IF(B150&lt;=$C$6,0,($C$12-$C$13/12)*(1+$C$14)^(YEAR(B150)-YEAR($C$6)))</f>
        <v>0</v>
      </c>
      <c r="I150" s="33" t="n">
        <f aca="false">SUM(D150:H150)</f>
        <v>152.5617</v>
      </c>
      <c r="J150" s="33" t="n">
        <f aca="false">IF(C150&lt;=$C$22,I150,0)</f>
        <v>152.5617</v>
      </c>
      <c r="K150" s="33" t="n">
        <f aca="false">IF(C150&lt;=$D$22,I150,0)</f>
        <v>152.5617</v>
      </c>
      <c r="L150" s="33" t="n">
        <f aca="false">IF(C150&lt;=$E$22,I150,0)</f>
        <v>152.5617</v>
      </c>
    </row>
    <row r="151" customFormat="false" ht="15" hidden="false" customHeight="true" outlineLevel="0" collapsed="false">
      <c r="B151" s="65" t="n">
        <f aca="false">EDATE(B150,1)</f>
        <v>43586</v>
      </c>
      <c r="C151" s="64" t="n">
        <f aca="false">B151+14</f>
        <v>43600</v>
      </c>
      <c r="D151" s="33" t="n">
        <f aca="false">IF(OR($C$9="",B151&gt;=$C$9),0,$C$10*(1+$C$11)^IF(B151&lt;$C$7,0,DATEDIF($C$7,B151,"y"))*MAX(0,MIN(EDATE(B151,1),$C$9)-MAX(B151,$C$7))/(EDATE(B151,1)-B151))</f>
        <v>993.8817</v>
      </c>
      <c r="E151" s="33" t="n">
        <f aca="false">-SUMIFS(Échéancier!$I$5:$I$300,Échéancier!$J$5:$J$300,$C$5,Échéancier!$C$5:$C$300,"&gt;="&amp;B151,Échéancier!$C$5:$C$300,"&lt;"&amp;EDATE(B151,1))</f>
        <v>-841.33</v>
      </c>
      <c r="F151" s="33" t="n">
        <f aca="false">-SUMIFS($D$68:$D$106,$E$68:$E$106,$C$5,$C$68:$C$106,"&gt;="&amp;B151,$C$68:$C$106,"&lt;"&amp;EDATE(B151,1))</f>
        <v>-0</v>
      </c>
      <c r="G151" s="33" t="n">
        <f aca="false">SUMIFS(Journal!$K$5:$K$1004,Journal!$C$5:$C$1004,$C$5,Journal!$A$5:$A$1004,"&gt;="&amp;B151,Journal!$A$5:$A$1004,"&lt;"&amp;MIN(EDATE(B151,1),$C$6+1))</f>
        <v>0</v>
      </c>
      <c r="H151" s="33" t="n">
        <f aca="false">IF(B151&lt;=$C$6,0,($C$12-$C$13/12)*(1+$C$14)^(YEAR(B151)-YEAR($C$6)))</f>
        <v>0</v>
      </c>
      <c r="I151" s="33" t="n">
        <f aca="false">SUM(D151:H151)</f>
        <v>152.5517</v>
      </c>
      <c r="J151" s="33" t="n">
        <f aca="false">IF(C151&lt;=$C$22,I151,0)</f>
        <v>152.5517</v>
      </c>
      <c r="K151" s="33" t="n">
        <f aca="false">IF(C151&lt;=$D$22,I151,0)</f>
        <v>152.5517</v>
      </c>
      <c r="L151" s="33" t="n">
        <f aca="false">IF(C151&lt;=$E$22,I151,0)</f>
        <v>152.5517</v>
      </c>
    </row>
    <row r="152" customFormat="false" ht="15" hidden="false" customHeight="true" outlineLevel="0" collapsed="false">
      <c r="B152" s="65" t="n">
        <f aca="false">EDATE(B151,1)</f>
        <v>43617</v>
      </c>
      <c r="C152" s="64" t="n">
        <f aca="false">B152+14</f>
        <v>43631</v>
      </c>
      <c r="D152" s="33" t="n">
        <f aca="false">IF(OR($C$9="",B152&gt;=$C$9),0,$C$10*(1+$C$11)^IF(B152&lt;$C$7,0,DATEDIF($C$7,B152,"y"))*MAX(0,MIN(EDATE(B152,1),$C$9)-MAX(B152,$C$7))/(EDATE(B152,1)-B152))</f>
        <v>993.8817</v>
      </c>
      <c r="E152" s="33" t="n">
        <f aca="false">-SUMIFS(Échéancier!$I$5:$I$300,Échéancier!$J$5:$J$300,$C$5,Échéancier!$C$5:$C$300,"&gt;="&amp;B152,Échéancier!$C$5:$C$300,"&lt;"&amp;EDATE(B152,1))</f>
        <v>-841.33</v>
      </c>
      <c r="F152" s="33" t="n">
        <f aca="false">-SUMIFS($D$68:$D$106,$E$68:$E$106,$C$5,$C$68:$C$106,"&gt;="&amp;B152,$C$68:$C$106,"&lt;"&amp;EDATE(B152,1))</f>
        <v>-0</v>
      </c>
      <c r="G152" s="33" t="n">
        <f aca="false">SUMIFS(Journal!$K$5:$K$1004,Journal!$C$5:$C$1004,$C$5,Journal!$A$5:$A$1004,"&gt;="&amp;B152,Journal!$A$5:$A$1004,"&lt;"&amp;MIN(EDATE(B152,1),$C$6+1))</f>
        <v>0</v>
      </c>
      <c r="H152" s="33" t="n">
        <f aca="false">IF(B152&lt;=$C$6,0,($C$12-$C$13/12)*(1+$C$14)^(YEAR(B152)-YEAR($C$6)))</f>
        <v>0</v>
      </c>
      <c r="I152" s="33" t="n">
        <f aca="false">SUM(D152:H152)</f>
        <v>152.5517</v>
      </c>
      <c r="J152" s="33" t="n">
        <f aca="false">IF(C152&lt;=$C$22,I152,0)</f>
        <v>152.5517</v>
      </c>
      <c r="K152" s="33" t="n">
        <f aca="false">IF(C152&lt;=$D$22,I152,0)</f>
        <v>152.5517</v>
      </c>
      <c r="L152" s="33" t="n">
        <f aca="false">IF(C152&lt;=$E$22,I152,0)</f>
        <v>152.5517</v>
      </c>
    </row>
    <row r="153" customFormat="false" ht="15" hidden="false" customHeight="true" outlineLevel="0" collapsed="false">
      <c r="B153" s="65" t="n">
        <f aca="false">EDATE(B152,1)</f>
        <v>43647</v>
      </c>
      <c r="C153" s="64" t="n">
        <f aca="false">B153+14</f>
        <v>43661</v>
      </c>
      <c r="D153" s="33" t="n">
        <f aca="false">IF(OR($C$9="",B153&gt;=$C$9),0,$C$10*(1+$C$11)^IF(B153&lt;$C$7,0,DATEDIF($C$7,B153,"y"))*MAX(0,MIN(EDATE(B153,1),$C$9)-MAX(B153,$C$7))/(EDATE(B153,1)-B153))</f>
        <v>993.8817</v>
      </c>
      <c r="E153" s="33" t="n">
        <f aca="false">-SUMIFS(Échéancier!$I$5:$I$300,Échéancier!$J$5:$J$300,$C$5,Échéancier!$C$5:$C$300,"&gt;="&amp;B153,Échéancier!$C$5:$C$300,"&lt;"&amp;EDATE(B153,1))</f>
        <v>-841.33</v>
      </c>
      <c r="F153" s="33" t="n">
        <f aca="false">-SUMIFS($D$68:$D$106,$E$68:$E$106,$C$5,$C$68:$C$106,"&gt;="&amp;B153,$C$68:$C$106,"&lt;"&amp;EDATE(B153,1))</f>
        <v>-1953</v>
      </c>
      <c r="G153" s="33" t="n">
        <f aca="false">SUMIFS(Journal!$K$5:$K$1004,Journal!$C$5:$C$1004,$C$5,Journal!$A$5:$A$1004,"&gt;="&amp;B153,Journal!$A$5:$A$1004,"&lt;"&amp;MIN(EDATE(B153,1),$C$6+1))</f>
        <v>0</v>
      </c>
      <c r="H153" s="33" t="n">
        <f aca="false">IF(B153&lt;=$C$6,0,($C$12-$C$13/12)*(1+$C$14)^(YEAR(B153)-YEAR($C$6)))</f>
        <v>0</v>
      </c>
      <c r="I153" s="33" t="n">
        <f aca="false">SUM(D153:H153)</f>
        <v>-1800.4483</v>
      </c>
      <c r="J153" s="33" t="n">
        <f aca="false">IF(C153&lt;=$C$22,I153,0)</f>
        <v>-1800.4483</v>
      </c>
      <c r="K153" s="33" t="n">
        <f aca="false">IF(C153&lt;=$D$22,I153,0)</f>
        <v>-1800.4483</v>
      </c>
      <c r="L153" s="33" t="n">
        <f aca="false">IF(C153&lt;=$E$22,I153,0)</f>
        <v>-1800.4483</v>
      </c>
    </row>
    <row r="154" customFormat="false" ht="15" hidden="false" customHeight="true" outlineLevel="0" collapsed="false">
      <c r="B154" s="65" t="n">
        <f aca="false">EDATE(B153,1)</f>
        <v>43678</v>
      </c>
      <c r="C154" s="64" t="n">
        <f aca="false">B154+14</f>
        <v>43692</v>
      </c>
      <c r="D154" s="33" t="n">
        <f aca="false">IF(OR($C$9="",B154&gt;=$C$9),0,$C$10*(1+$C$11)^IF(B154&lt;$C$7,0,DATEDIF($C$7,B154,"y"))*MAX(0,MIN(EDATE(B154,1),$C$9)-MAX(B154,$C$7))/(EDATE(B154,1)-B154))</f>
        <v>993.8817</v>
      </c>
      <c r="E154" s="33" t="n">
        <f aca="false">-SUMIFS(Échéancier!$I$5:$I$300,Échéancier!$J$5:$J$300,$C$5,Échéancier!$C$5:$C$300,"&gt;="&amp;B154,Échéancier!$C$5:$C$300,"&lt;"&amp;EDATE(B154,1))</f>
        <v>-841.33</v>
      </c>
      <c r="F154" s="33" t="n">
        <f aca="false">-SUMIFS($D$68:$D$106,$E$68:$E$106,$C$5,$C$68:$C$106,"&gt;="&amp;B154,$C$68:$C$106,"&lt;"&amp;EDATE(B154,1))</f>
        <v>-0</v>
      </c>
      <c r="G154" s="33" t="n">
        <f aca="false">SUMIFS(Journal!$K$5:$K$1004,Journal!$C$5:$C$1004,$C$5,Journal!$A$5:$A$1004,"&gt;="&amp;B154,Journal!$A$5:$A$1004,"&lt;"&amp;MIN(EDATE(B154,1),$C$6+1))</f>
        <v>0</v>
      </c>
      <c r="H154" s="33" t="n">
        <f aca="false">IF(B154&lt;=$C$6,0,($C$12-$C$13/12)*(1+$C$14)^(YEAR(B154)-YEAR($C$6)))</f>
        <v>0</v>
      </c>
      <c r="I154" s="33" t="n">
        <f aca="false">SUM(D154:H154)</f>
        <v>152.5517</v>
      </c>
      <c r="J154" s="33" t="n">
        <f aca="false">IF(C154&lt;=$C$22,I154,0)</f>
        <v>152.5517</v>
      </c>
      <c r="K154" s="33" t="n">
        <f aca="false">IF(C154&lt;=$D$22,I154,0)</f>
        <v>152.5517</v>
      </c>
      <c r="L154" s="33" t="n">
        <f aca="false">IF(C154&lt;=$E$22,I154,0)</f>
        <v>152.5517</v>
      </c>
    </row>
    <row r="155" customFormat="false" ht="15" hidden="false" customHeight="true" outlineLevel="0" collapsed="false">
      <c r="B155" s="65" t="n">
        <f aca="false">EDATE(B154,1)</f>
        <v>43709</v>
      </c>
      <c r="C155" s="64" t="n">
        <f aca="false">B155+14</f>
        <v>43723</v>
      </c>
      <c r="D155" s="33" t="n">
        <f aca="false">IF(OR($C$9="",B155&gt;=$C$9),0,$C$10*(1+$C$11)^IF(B155&lt;$C$7,0,DATEDIF($C$7,B155,"y"))*MAX(0,MIN(EDATE(B155,1),$C$9)-MAX(B155,$C$7))/(EDATE(B155,1)-B155))</f>
        <v>993.8817</v>
      </c>
      <c r="E155" s="33" t="n">
        <f aca="false">-SUMIFS(Échéancier!$I$5:$I$300,Échéancier!$J$5:$J$300,$C$5,Échéancier!$C$5:$C$300,"&gt;="&amp;B155,Échéancier!$C$5:$C$300,"&lt;"&amp;EDATE(B155,1))</f>
        <v>-841.32</v>
      </c>
      <c r="F155" s="33" t="n">
        <f aca="false">-SUMIFS($D$68:$D$106,$E$68:$E$106,$C$5,$C$68:$C$106,"&gt;="&amp;B155,$C$68:$C$106,"&lt;"&amp;EDATE(B155,1))</f>
        <v>-0</v>
      </c>
      <c r="G155" s="33" t="n">
        <f aca="false">SUMIFS(Journal!$K$5:$K$1004,Journal!$C$5:$C$1004,$C$5,Journal!$A$5:$A$1004,"&gt;="&amp;B155,Journal!$A$5:$A$1004,"&lt;"&amp;MIN(EDATE(B155,1),$C$6+1))</f>
        <v>0</v>
      </c>
      <c r="H155" s="33" t="n">
        <f aca="false">IF(B155&lt;=$C$6,0,($C$12-$C$13/12)*(1+$C$14)^(YEAR(B155)-YEAR($C$6)))</f>
        <v>0</v>
      </c>
      <c r="I155" s="33" t="n">
        <f aca="false">SUM(D155:H155)</f>
        <v>152.5617</v>
      </c>
      <c r="J155" s="33" t="n">
        <f aca="false">IF(C155&lt;=$C$22,I155,0)</f>
        <v>152.5617</v>
      </c>
      <c r="K155" s="33" t="n">
        <f aca="false">IF(C155&lt;=$D$22,I155,0)</f>
        <v>152.5617</v>
      </c>
      <c r="L155" s="33" t="n">
        <f aca="false">IF(C155&lt;=$E$22,I155,0)</f>
        <v>152.5617</v>
      </c>
    </row>
    <row r="156" customFormat="false" ht="15" hidden="false" customHeight="true" outlineLevel="0" collapsed="false">
      <c r="B156" s="65" t="n">
        <f aca="false">EDATE(B155,1)</f>
        <v>43739</v>
      </c>
      <c r="C156" s="64" t="n">
        <f aca="false">B156+14</f>
        <v>43753</v>
      </c>
      <c r="D156" s="33" t="n">
        <f aca="false">IF(OR($C$9="",B156&gt;=$C$9),0,$C$10*(1+$C$11)^IF(B156&lt;$C$7,0,DATEDIF($C$7,B156,"y"))*MAX(0,MIN(EDATE(B156,1),$C$9)-MAX(B156,$C$7))/(EDATE(B156,1)-B156))</f>
        <v>993.8817</v>
      </c>
      <c r="E156" s="33" t="n">
        <f aca="false">-SUMIFS(Échéancier!$I$5:$I$300,Échéancier!$J$5:$J$300,$C$5,Échéancier!$C$5:$C$300,"&gt;="&amp;B156,Échéancier!$C$5:$C$300,"&lt;"&amp;EDATE(B156,1))</f>
        <v>-841.32</v>
      </c>
      <c r="F156" s="33" t="n">
        <f aca="false">-SUMIFS($D$68:$D$106,$E$68:$E$106,$C$5,$C$68:$C$106,"&gt;="&amp;B156,$C$68:$C$106,"&lt;"&amp;EDATE(B156,1))</f>
        <v>-440.82</v>
      </c>
      <c r="G156" s="33" t="n">
        <f aca="false">SUMIFS(Journal!$K$5:$K$1004,Journal!$C$5:$C$1004,$C$5,Journal!$A$5:$A$1004,"&gt;="&amp;B156,Journal!$A$5:$A$1004,"&lt;"&amp;MIN(EDATE(B156,1),$C$6+1))</f>
        <v>0</v>
      </c>
      <c r="H156" s="33" t="n">
        <f aca="false">IF(B156&lt;=$C$6,0,($C$12-$C$13/12)*(1+$C$14)^(YEAR(B156)-YEAR($C$6)))</f>
        <v>0</v>
      </c>
      <c r="I156" s="33" t="n">
        <f aca="false">SUM(D156:H156)</f>
        <v>-288.2583</v>
      </c>
      <c r="J156" s="33" t="n">
        <f aca="false">IF(C156&lt;=$C$22,I156,0)</f>
        <v>-288.2583</v>
      </c>
      <c r="K156" s="33" t="n">
        <f aca="false">IF(C156&lt;=$D$22,I156,0)</f>
        <v>-288.2583</v>
      </c>
      <c r="L156" s="33" t="n">
        <f aca="false">IF(C156&lt;=$E$22,I156,0)</f>
        <v>-288.2583</v>
      </c>
    </row>
    <row r="157" customFormat="false" ht="15" hidden="false" customHeight="true" outlineLevel="0" collapsed="false">
      <c r="B157" s="65" t="n">
        <f aca="false">EDATE(B156,1)</f>
        <v>43770</v>
      </c>
      <c r="C157" s="64" t="n">
        <f aca="false">B157+14</f>
        <v>43784</v>
      </c>
      <c r="D157" s="33" t="n">
        <f aca="false">IF(OR($C$9="",B157&gt;=$C$9),0,$C$10*(1+$C$11)^IF(B157&lt;$C$7,0,DATEDIF($C$7,B157,"y"))*MAX(0,MIN(EDATE(B157,1),$C$9)-MAX(B157,$C$7))/(EDATE(B157,1)-B157))</f>
        <v>993.8817</v>
      </c>
      <c r="E157" s="33" t="n">
        <f aca="false">-SUMIFS(Échéancier!$I$5:$I$300,Échéancier!$J$5:$J$300,$C$5,Échéancier!$C$5:$C$300,"&gt;="&amp;B157,Échéancier!$C$5:$C$300,"&lt;"&amp;EDATE(B157,1))</f>
        <v>-841.32</v>
      </c>
      <c r="F157" s="33" t="n">
        <f aca="false">-SUMIFS($D$68:$D$106,$E$68:$E$106,$C$5,$C$68:$C$106,"&gt;="&amp;B157,$C$68:$C$106,"&lt;"&amp;EDATE(B157,1))</f>
        <v>-0</v>
      </c>
      <c r="G157" s="33" t="n">
        <f aca="false">SUMIFS(Journal!$K$5:$K$1004,Journal!$C$5:$C$1004,$C$5,Journal!$A$5:$A$1004,"&gt;="&amp;B157,Journal!$A$5:$A$1004,"&lt;"&amp;MIN(EDATE(B157,1),$C$6+1))</f>
        <v>0</v>
      </c>
      <c r="H157" s="33" t="n">
        <f aca="false">IF(B157&lt;=$C$6,0,($C$12-$C$13/12)*(1+$C$14)^(YEAR(B157)-YEAR($C$6)))</f>
        <v>0</v>
      </c>
      <c r="I157" s="33" t="n">
        <f aca="false">SUM(D157:H157)</f>
        <v>152.5617</v>
      </c>
      <c r="J157" s="33" t="n">
        <f aca="false">IF(C157&lt;=$C$22,I157,0)</f>
        <v>152.5617</v>
      </c>
      <c r="K157" s="33" t="n">
        <f aca="false">IF(C157&lt;=$D$22,I157,0)</f>
        <v>152.5617</v>
      </c>
      <c r="L157" s="33" t="n">
        <f aca="false">IF(C157&lt;=$E$22,I157,0)</f>
        <v>152.5617</v>
      </c>
    </row>
    <row r="158" customFormat="false" ht="15" hidden="false" customHeight="true" outlineLevel="0" collapsed="false">
      <c r="B158" s="65" t="n">
        <f aca="false">EDATE(B157,1)</f>
        <v>43800</v>
      </c>
      <c r="C158" s="64" t="n">
        <f aca="false">B158+14</f>
        <v>43814</v>
      </c>
      <c r="D158" s="33" t="n">
        <f aca="false">IF(OR($C$9="",B158&gt;=$C$9),0,$C$10*(1+$C$11)^IF(B158&lt;$C$7,0,DATEDIF($C$7,B158,"y"))*MAX(0,MIN(EDATE(B158,1),$C$9)-MAX(B158,$C$7))/(EDATE(B158,1)-B158))</f>
        <v>1011.57279426</v>
      </c>
      <c r="E158" s="33" t="n">
        <f aca="false">-SUMIFS(Échéancier!$I$5:$I$300,Échéancier!$J$5:$J$300,$C$5,Échéancier!$C$5:$C$300,"&gt;="&amp;B158,Échéancier!$C$5:$C$300,"&lt;"&amp;EDATE(B158,1))</f>
        <v>-841.32</v>
      </c>
      <c r="F158" s="33" t="n">
        <f aca="false">-SUMIFS($D$68:$D$106,$E$68:$E$106,$C$5,$C$68:$C$106,"&gt;="&amp;B158,$C$68:$C$106,"&lt;"&amp;EDATE(B158,1))</f>
        <v>-0</v>
      </c>
      <c r="G158" s="33" t="n">
        <f aca="false">SUMIFS(Journal!$K$5:$K$1004,Journal!$C$5:$C$1004,$C$5,Journal!$A$5:$A$1004,"&gt;="&amp;B158,Journal!$A$5:$A$1004,"&lt;"&amp;MIN(EDATE(B158,1),$C$6+1))</f>
        <v>0</v>
      </c>
      <c r="H158" s="33" t="n">
        <f aca="false">IF(B158&lt;=$C$6,0,($C$12-$C$13/12)*(1+$C$14)^(YEAR(B158)-YEAR($C$6)))</f>
        <v>0</v>
      </c>
      <c r="I158" s="33" t="n">
        <f aca="false">SUM(D158:H158)</f>
        <v>170.25279426</v>
      </c>
      <c r="J158" s="33" t="n">
        <f aca="false">IF(C158&lt;=$C$22,I158,0)</f>
        <v>170.25279426</v>
      </c>
      <c r="K158" s="33" t="n">
        <f aca="false">IF(C158&lt;=$D$22,I158,0)</f>
        <v>170.25279426</v>
      </c>
      <c r="L158" s="33" t="n">
        <f aca="false">IF(C158&lt;=$E$22,I158,0)</f>
        <v>170.25279426</v>
      </c>
    </row>
    <row r="159" customFormat="false" ht="15" hidden="false" customHeight="true" outlineLevel="0" collapsed="false">
      <c r="B159" s="65" t="n">
        <f aca="false">EDATE(B158,1)</f>
        <v>43831</v>
      </c>
      <c r="C159" s="64" t="n">
        <f aca="false">B159+14</f>
        <v>43845</v>
      </c>
      <c r="D159" s="33" t="n">
        <f aca="false">IF(OR($C$9="",B159&gt;=$C$9),0,$C$10*(1+$C$11)^IF(B159&lt;$C$7,0,DATEDIF($C$7,B159,"y"))*MAX(0,MIN(EDATE(B159,1),$C$9)-MAX(B159,$C$7))/(EDATE(B159,1)-B159))</f>
        <v>1011.57279426</v>
      </c>
      <c r="E159" s="33" t="n">
        <f aca="false">-SUMIFS(Échéancier!$I$5:$I$300,Échéancier!$J$5:$J$300,$C$5,Échéancier!$C$5:$C$300,"&gt;="&amp;B159,Échéancier!$C$5:$C$300,"&lt;"&amp;EDATE(B159,1))</f>
        <v>-841.33</v>
      </c>
      <c r="F159" s="33" t="n">
        <f aca="false">-SUMIFS($D$68:$D$106,$E$68:$E$106,$C$5,$C$68:$C$106,"&gt;="&amp;B159,$C$68:$C$106,"&lt;"&amp;EDATE(B159,1))</f>
        <v>-0</v>
      </c>
      <c r="G159" s="33" t="n">
        <f aca="false">SUMIFS(Journal!$K$5:$K$1004,Journal!$C$5:$C$1004,$C$5,Journal!$A$5:$A$1004,"&gt;="&amp;B159,Journal!$A$5:$A$1004,"&lt;"&amp;MIN(EDATE(B159,1),$C$6+1))</f>
        <v>0</v>
      </c>
      <c r="H159" s="33" t="n">
        <f aca="false">IF(B159&lt;=$C$6,0,($C$12-$C$13/12)*(1+$C$14)^(YEAR(B159)-YEAR($C$6)))</f>
        <v>0</v>
      </c>
      <c r="I159" s="33" t="n">
        <f aca="false">SUM(D159:H159)</f>
        <v>170.24279426</v>
      </c>
      <c r="J159" s="33" t="n">
        <f aca="false">IF(C159&lt;=$C$22,I159,0)</f>
        <v>170.24279426</v>
      </c>
      <c r="K159" s="33" t="n">
        <f aca="false">IF(C159&lt;=$D$22,I159,0)</f>
        <v>170.24279426</v>
      </c>
      <c r="L159" s="33" t="n">
        <f aca="false">IF(C159&lt;=$E$22,I159,0)</f>
        <v>170.24279426</v>
      </c>
    </row>
    <row r="160" customFormat="false" ht="15" hidden="false" customHeight="true" outlineLevel="0" collapsed="false">
      <c r="B160" s="65" t="n">
        <f aca="false">EDATE(B159,1)</f>
        <v>43862</v>
      </c>
      <c r="C160" s="64" t="n">
        <f aca="false">B160+14</f>
        <v>43876</v>
      </c>
      <c r="D160" s="33" t="n">
        <f aca="false">IF(OR($C$9="",B160&gt;=$C$9),0,$C$10*(1+$C$11)^IF(B160&lt;$C$7,0,DATEDIF($C$7,B160,"y"))*MAX(0,MIN(EDATE(B160,1),$C$9)-MAX(B160,$C$7))/(EDATE(B160,1)-B160))</f>
        <v>1011.57279426</v>
      </c>
      <c r="E160" s="33" t="n">
        <f aca="false">-SUMIFS(Échéancier!$I$5:$I$300,Échéancier!$J$5:$J$300,$C$5,Échéancier!$C$5:$C$300,"&gt;="&amp;B160,Échéancier!$C$5:$C$300,"&lt;"&amp;EDATE(B160,1))</f>
        <v>-841.33</v>
      </c>
      <c r="F160" s="33" t="n">
        <f aca="false">-SUMIFS($D$68:$D$106,$E$68:$E$106,$C$5,$C$68:$C$106,"&gt;="&amp;B160,$C$68:$C$106,"&lt;"&amp;EDATE(B160,1))</f>
        <v>-0</v>
      </c>
      <c r="G160" s="33" t="n">
        <f aca="false">SUMIFS(Journal!$K$5:$K$1004,Journal!$C$5:$C$1004,$C$5,Journal!$A$5:$A$1004,"&gt;="&amp;B160,Journal!$A$5:$A$1004,"&lt;"&amp;MIN(EDATE(B160,1),$C$6+1))</f>
        <v>0</v>
      </c>
      <c r="H160" s="33" t="n">
        <f aca="false">IF(B160&lt;=$C$6,0,($C$12-$C$13/12)*(1+$C$14)^(YEAR(B160)-YEAR($C$6)))</f>
        <v>0</v>
      </c>
      <c r="I160" s="33" t="n">
        <f aca="false">SUM(D160:H160)</f>
        <v>170.24279426</v>
      </c>
      <c r="J160" s="33" t="n">
        <f aca="false">IF(C160&lt;=$C$22,I160,0)</f>
        <v>170.24279426</v>
      </c>
      <c r="K160" s="33" t="n">
        <f aca="false">IF(C160&lt;=$D$22,I160,0)</f>
        <v>170.24279426</v>
      </c>
      <c r="L160" s="33" t="n">
        <f aca="false">IF(C160&lt;=$E$22,I160,0)</f>
        <v>170.24279426</v>
      </c>
    </row>
    <row r="161" customFormat="false" ht="15" hidden="false" customHeight="true" outlineLevel="0" collapsed="false">
      <c r="B161" s="65" t="n">
        <f aca="false">EDATE(B160,1)</f>
        <v>43891</v>
      </c>
      <c r="C161" s="64" t="n">
        <f aca="false">B161+14</f>
        <v>43905</v>
      </c>
      <c r="D161" s="33" t="n">
        <f aca="false">IF(OR($C$9="",B161&gt;=$C$9),0,$C$10*(1+$C$11)^IF(B161&lt;$C$7,0,DATEDIF($C$7,B161,"y"))*MAX(0,MIN(EDATE(B161,1),$C$9)-MAX(B161,$C$7))/(EDATE(B161,1)-B161))</f>
        <v>1011.57279426</v>
      </c>
      <c r="E161" s="33" t="n">
        <f aca="false">-SUMIFS(Échéancier!$I$5:$I$300,Échéancier!$J$5:$J$300,$C$5,Échéancier!$C$5:$C$300,"&gt;="&amp;B161,Échéancier!$C$5:$C$300,"&lt;"&amp;EDATE(B161,1))</f>
        <v>-841.33</v>
      </c>
      <c r="F161" s="33" t="n">
        <f aca="false">-SUMIFS($D$68:$D$106,$E$68:$E$106,$C$5,$C$68:$C$106,"&gt;="&amp;B161,$C$68:$C$106,"&lt;"&amp;EDATE(B161,1))</f>
        <v>-0</v>
      </c>
      <c r="G161" s="33" t="n">
        <f aca="false">SUMIFS(Journal!$K$5:$K$1004,Journal!$C$5:$C$1004,$C$5,Journal!$A$5:$A$1004,"&gt;="&amp;B161,Journal!$A$5:$A$1004,"&lt;"&amp;MIN(EDATE(B161,1),$C$6+1))</f>
        <v>0</v>
      </c>
      <c r="H161" s="33" t="n">
        <f aca="false">IF(B161&lt;=$C$6,0,($C$12-$C$13/12)*(1+$C$14)^(YEAR(B161)-YEAR($C$6)))</f>
        <v>0</v>
      </c>
      <c r="I161" s="33" t="n">
        <f aca="false">SUM(D161:H161)</f>
        <v>170.24279426</v>
      </c>
      <c r="J161" s="33" t="n">
        <f aca="false">IF(C161&lt;=$C$22,I161,0)</f>
        <v>170.24279426</v>
      </c>
      <c r="K161" s="33" t="n">
        <f aca="false">IF(C161&lt;=$D$22,I161,0)</f>
        <v>170.24279426</v>
      </c>
      <c r="L161" s="33" t="n">
        <f aca="false">IF(C161&lt;=$E$22,I161,0)</f>
        <v>170.24279426</v>
      </c>
    </row>
    <row r="162" customFormat="false" ht="15" hidden="false" customHeight="true" outlineLevel="0" collapsed="false">
      <c r="B162" s="65" t="n">
        <f aca="false">EDATE(B161,1)</f>
        <v>43922</v>
      </c>
      <c r="C162" s="64" t="n">
        <f aca="false">B162+14</f>
        <v>43936</v>
      </c>
      <c r="D162" s="33" t="n">
        <f aca="false">IF(OR($C$9="",B162&gt;=$C$9),0,$C$10*(1+$C$11)^IF(B162&lt;$C$7,0,DATEDIF($C$7,B162,"y"))*MAX(0,MIN(EDATE(B162,1),$C$9)-MAX(B162,$C$7))/(EDATE(B162,1)-B162))</f>
        <v>1011.57279426</v>
      </c>
      <c r="E162" s="33" t="n">
        <f aca="false">-SUMIFS(Échéancier!$I$5:$I$300,Échéancier!$J$5:$J$300,$C$5,Échéancier!$C$5:$C$300,"&gt;="&amp;B162,Échéancier!$C$5:$C$300,"&lt;"&amp;EDATE(B162,1))</f>
        <v>-841.33</v>
      </c>
      <c r="F162" s="33" t="n">
        <f aca="false">-SUMIFS($D$68:$D$106,$E$68:$E$106,$C$5,$C$68:$C$106,"&gt;="&amp;B162,$C$68:$C$106,"&lt;"&amp;EDATE(B162,1))</f>
        <v>-0</v>
      </c>
      <c r="G162" s="33" t="n">
        <f aca="false">SUMIFS(Journal!$K$5:$K$1004,Journal!$C$5:$C$1004,$C$5,Journal!$A$5:$A$1004,"&gt;="&amp;B162,Journal!$A$5:$A$1004,"&lt;"&amp;MIN(EDATE(B162,1),$C$6+1))</f>
        <v>0</v>
      </c>
      <c r="H162" s="33" t="n">
        <f aca="false">IF(B162&lt;=$C$6,0,($C$12-$C$13/12)*(1+$C$14)^(YEAR(B162)-YEAR($C$6)))</f>
        <v>0</v>
      </c>
      <c r="I162" s="33" t="n">
        <f aca="false">SUM(D162:H162)</f>
        <v>170.24279426</v>
      </c>
      <c r="J162" s="33" t="n">
        <f aca="false">IF(C162&lt;=$C$22,I162,0)</f>
        <v>170.24279426</v>
      </c>
      <c r="K162" s="33" t="n">
        <f aca="false">IF(C162&lt;=$D$22,I162,0)</f>
        <v>170.24279426</v>
      </c>
      <c r="L162" s="33" t="n">
        <f aca="false">IF(C162&lt;=$E$22,I162,0)</f>
        <v>170.24279426</v>
      </c>
    </row>
    <row r="163" customFormat="false" ht="15" hidden="false" customHeight="true" outlineLevel="0" collapsed="false">
      <c r="B163" s="65" t="n">
        <f aca="false">EDATE(B162,1)</f>
        <v>43952</v>
      </c>
      <c r="C163" s="64" t="n">
        <f aca="false">B163+14</f>
        <v>43966</v>
      </c>
      <c r="D163" s="33" t="n">
        <f aca="false">IF(OR($C$9="",B163&gt;=$C$9),0,$C$10*(1+$C$11)^IF(B163&lt;$C$7,0,DATEDIF($C$7,B163,"y"))*MAX(0,MIN(EDATE(B163,1),$C$9)-MAX(B163,$C$7))/(EDATE(B163,1)-B163))</f>
        <v>1011.57279426</v>
      </c>
      <c r="E163" s="33" t="n">
        <f aca="false">-SUMIFS(Échéancier!$I$5:$I$300,Échéancier!$J$5:$J$300,$C$5,Échéancier!$C$5:$C$300,"&gt;="&amp;B163,Échéancier!$C$5:$C$300,"&lt;"&amp;EDATE(B163,1))</f>
        <v>-841.33</v>
      </c>
      <c r="F163" s="33" t="n">
        <f aca="false">-SUMIFS($D$68:$D$106,$E$68:$E$106,$C$5,$C$68:$C$106,"&gt;="&amp;B163,$C$68:$C$106,"&lt;"&amp;EDATE(B163,1))</f>
        <v>-0</v>
      </c>
      <c r="G163" s="33" t="n">
        <f aca="false">SUMIFS(Journal!$K$5:$K$1004,Journal!$C$5:$C$1004,$C$5,Journal!$A$5:$A$1004,"&gt;="&amp;B163,Journal!$A$5:$A$1004,"&lt;"&amp;MIN(EDATE(B163,1),$C$6+1))</f>
        <v>0</v>
      </c>
      <c r="H163" s="33" t="n">
        <f aca="false">IF(B163&lt;=$C$6,0,($C$12-$C$13/12)*(1+$C$14)^(YEAR(B163)-YEAR($C$6)))</f>
        <v>0</v>
      </c>
      <c r="I163" s="33" t="n">
        <f aca="false">SUM(D163:H163)</f>
        <v>170.24279426</v>
      </c>
      <c r="J163" s="33" t="n">
        <f aca="false">IF(C163&lt;=$C$22,I163,0)</f>
        <v>170.24279426</v>
      </c>
      <c r="K163" s="33" t="n">
        <f aca="false">IF(C163&lt;=$D$22,I163,0)</f>
        <v>170.24279426</v>
      </c>
      <c r="L163" s="33" t="n">
        <f aca="false">IF(C163&lt;=$E$22,I163,0)</f>
        <v>170.24279426</v>
      </c>
    </row>
    <row r="164" customFormat="false" ht="15" hidden="false" customHeight="true" outlineLevel="0" collapsed="false">
      <c r="B164" s="65" t="n">
        <f aca="false">EDATE(B163,1)</f>
        <v>43983</v>
      </c>
      <c r="C164" s="64" t="n">
        <f aca="false">B164+14</f>
        <v>43997</v>
      </c>
      <c r="D164" s="33" t="n">
        <f aca="false">IF(OR($C$9="",B164&gt;=$C$9),0,$C$10*(1+$C$11)^IF(B164&lt;$C$7,0,DATEDIF($C$7,B164,"y"))*MAX(0,MIN(EDATE(B164,1),$C$9)-MAX(B164,$C$7))/(EDATE(B164,1)-B164))</f>
        <v>1011.57279426</v>
      </c>
      <c r="E164" s="33" t="n">
        <f aca="false">-SUMIFS(Échéancier!$I$5:$I$300,Échéancier!$J$5:$J$300,$C$5,Échéancier!$C$5:$C$300,"&gt;="&amp;B164,Échéancier!$C$5:$C$300,"&lt;"&amp;EDATE(B164,1))</f>
        <v>-841.33</v>
      </c>
      <c r="F164" s="33" t="n">
        <f aca="false">-SUMIFS($D$68:$D$106,$E$68:$E$106,$C$5,$C$68:$C$106,"&gt;="&amp;B164,$C$68:$C$106,"&lt;"&amp;EDATE(B164,1))</f>
        <v>-0</v>
      </c>
      <c r="G164" s="33" t="n">
        <f aca="false">SUMIFS(Journal!$K$5:$K$1004,Journal!$C$5:$C$1004,$C$5,Journal!$A$5:$A$1004,"&gt;="&amp;B164,Journal!$A$5:$A$1004,"&lt;"&amp;MIN(EDATE(B164,1),$C$6+1))</f>
        <v>0</v>
      </c>
      <c r="H164" s="33" t="n">
        <f aca="false">IF(B164&lt;=$C$6,0,($C$12-$C$13/12)*(1+$C$14)^(YEAR(B164)-YEAR($C$6)))</f>
        <v>0</v>
      </c>
      <c r="I164" s="33" t="n">
        <f aca="false">SUM(D164:H164)</f>
        <v>170.24279426</v>
      </c>
      <c r="J164" s="33" t="n">
        <f aca="false">IF(C164&lt;=$C$22,I164,0)</f>
        <v>170.24279426</v>
      </c>
      <c r="K164" s="33" t="n">
        <f aca="false">IF(C164&lt;=$D$22,I164,0)</f>
        <v>170.24279426</v>
      </c>
      <c r="L164" s="33" t="n">
        <f aca="false">IF(C164&lt;=$E$22,I164,0)</f>
        <v>170.24279426</v>
      </c>
    </row>
    <row r="165" customFormat="false" ht="15" hidden="false" customHeight="true" outlineLevel="0" collapsed="false">
      <c r="B165" s="65" t="n">
        <f aca="false">EDATE(B164,1)</f>
        <v>44013</v>
      </c>
      <c r="C165" s="64" t="n">
        <f aca="false">B165+14</f>
        <v>44027</v>
      </c>
      <c r="D165" s="33" t="n">
        <f aca="false">IF(OR($C$9="",B165&gt;=$C$9),0,$C$10*(1+$C$11)^IF(B165&lt;$C$7,0,DATEDIF($C$7,B165,"y"))*MAX(0,MIN(EDATE(B165,1),$C$9)-MAX(B165,$C$7))/(EDATE(B165,1)-B165))</f>
        <v>1011.57279426</v>
      </c>
      <c r="E165" s="33" t="n">
        <f aca="false">-SUMIFS(Échéancier!$I$5:$I$300,Échéancier!$J$5:$J$300,$C$5,Échéancier!$C$5:$C$300,"&gt;="&amp;B165,Échéancier!$C$5:$C$300,"&lt;"&amp;EDATE(B165,1))</f>
        <v>-841.33</v>
      </c>
      <c r="F165" s="33" t="n">
        <f aca="false">-SUMIFS($D$68:$D$106,$E$68:$E$106,$C$5,$C$68:$C$106,"&gt;="&amp;B165,$C$68:$C$106,"&lt;"&amp;EDATE(B165,1))</f>
        <v>-1953</v>
      </c>
      <c r="G165" s="33" t="n">
        <f aca="false">SUMIFS(Journal!$K$5:$K$1004,Journal!$C$5:$C$1004,$C$5,Journal!$A$5:$A$1004,"&gt;="&amp;B165,Journal!$A$5:$A$1004,"&lt;"&amp;MIN(EDATE(B165,1),$C$6+1))</f>
        <v>0</v>
      </c>
      <c r="H165" s="33" t="n">
        <f aca="false">IF(B165&lt;=$C$6,0,($C$12-$C$13/12)*(1+$C$14)^(YEAR(B165)-YEAR($C$6)))</f>
        <v>0</v>
      </c>
      <c r="I165" s="33" t="n">
        <f aca="false">SUM(D165:H165)</f>
        <v>-1782.75720574</v>
      </c>
      <c r="J165" s="33" t="n">
        <f aca="false">IF(C165&lt;=$C$22,I165,0)</f>
        <v>-1782.75720574</v>
      </c>
      <c r="K165" s="33" t="n">
        <f aca="false">IF(C165&lt;=$D$22,I165,0)</f>
        <v>-1782.75720574</v>
      </c>
      <c r="L165" s="33" t="n">
        <f aca="false">IF(C165&lt;=$E$22,I165,0)</f>
        <v>-1782.75720574</v>
      </c>
    </row>
    <row r="166" customFormat="false" ht="15" hidden="false" customHeight="true" outlineLevel="0" collapsed="false">
      <c r="B166" s="65" t="n">
        <f aca="false">EDATE(B165,1)</f>
        <v>44044</v>
      </c>
      <c r="C166" s="64" t="n">
        <f aca="false">B166+14</f>
        <v>44058</v>
      </c>
      <c r="D166" s="33" t="n">
        <f aca="false">IF(OR($C$9="",B166&gt;=$C$9),0,$C$10*(1+$C$11)^IF(B166&lt;$C$7,0,DATEDIF($C$7,B166,"y"))*MAX(0,MIN(EDATE(B166,1),$C$9)-MAX(B166,$C$7))/(EDATE(B166,1)-B166))</f>
        <v>1011.57279426</v>
      </c>
      <c r="E166" s="33" t="n">
        <f aca="false">-SUMIFS(Échéancier!$I$5:$I$300,Échéancier!$J$5:$J$300,$C$5,Échéancier!$C$5:$C$300,"&gt;="&amp;B166,Échéancier!$C$5:$C$300,"&lt;"&amp;EDATE(B166,1))</f>
        <v>-841.33</v>
      </c>
      <c r="F166" s="33" t="n">
        <f aca="false">-SUMIFS($D$68:$D$106,$E$68:$E$106,$C$5,$C$68:$C$106,"&gt;="&amp;B166,$C$68:$C$106,"&lt;"&amp;EDATE(B166,1))</f>
        <v>-0</v>
      </c>
      <c r="G166" s="33" t="n">
        <f aca="false">SUMIFS(Journal!$K$5:$K$1004,Journal!$C$5:$C$1004,$C$5,Journal!$A$5:$A$1004,"&gt;="&amp;B166,Journal!$A$5:$A$1004,"&lt;"&amp;MIN(EDATE(B166,1),$C$6+1))</f>
        <v>0</v>
      </c>
      <c r="H166" s="33" t="n">
        <f aca="false">IF(B166&lt;=$C$6,0,($C$12-$C$13/12)*(1+$C$14)^(YEAR(B166)-YEAR($C$6)))</f>
        <v>0</v>
      </c>
      <c r="I166" s="33" t="n">
        <f aca="false">SUM(D166:H166)</f>
        <v>170.24279426</v>
      </c>
      <c r="J166" s="33" t="n">
        <f aca="false">IF(C166&lt;=$C$22,I166,0)</f>
        <v>170.24279426</v>
      </c>
      <c r="K166" s="33" t="n">
        <f aca="false">IF(C166&lt;=$D$22,I166,0)</f>
        <v>170.24279426</v>
      </c>
      <c r="L166" s="33" t="n">
        <f aca="false">IF(C166&lt;=$E$22,I166,0)</f>
        <v>170.24279426</v>
      </c>
    </row>
    <row r="167" customFormat="false" ht="15" hidden="false" customHeight="true" outlineLevel="0" collapsed="false">
      <c r="B167" s="65" t="n">
        <f aca="false">EDATE(B166,1)</f>
        <v>44075</v>
      </c>
      <c r="C167" s="64" t="n">
        <f aca="false">B167+14</f>
        <v>44089</v>
      </c>
      <c r="D167" s="33" t="n">
        <f aca="false">IF(OR($C$9="",B167&gt;=$C$9),0,$C$10*(1+$C$11)^IF(B167&lt;$C$7,0,DATEDIF($C$7,B167,"y"))*MAX(0,MIN(EDATE(B167,1),$C$9)-MAX(B167,$C$7))/(EDATE(B167,1)-B167))</f>
        <v>1011.57279426</v>
      </c>
      <c r="E167" s="33" t="n">
        <f aca="false">-SUMIFS(Échéancier!$I$5:$I$300,Échéancier!$J$5:$J$300,$C$5,Échéancier!$C$5:$C$300,"&gt;="&amp;B167,Échéancier!$C$5:$C$300,"&lt;"&amp;EDATE(B167,1))</f>
        <v>-841.33</v>
      </c>
      <c r="F167" s="33" t="n">
        <f aca="false">-SUMIFS($D$68:$D$106,$E$68:$E$106,$C$5,$C$68:$C$106,"&gt;="&amp;B167,$C$68:$C$106,"&lt;"&amp;EDATE(B167,1))</f>
        <v>-0</v>
      </c>
      <c r="G167" s="33" t="n">
        <f aca="false">SUMIFS(Journal!$K$5:$K$1004,Journal!$C$5:$C$1004,$C$5,Journal!$A$5:$A$1004,"&gt;="&amp;B167,Journal!$A$5:$A$1004,"&lt;"&amp;MIN(EDATE(B167,1),$C$6+1))</f>
        <v>0</v>
      </c>
      <c r="H167" s="33" t="n">
        <f aca="false">IF(B167&lt;=$C$6,0,($C$12-$C$13/12)*(1+$C$14)^(YEAR(B167)-YEAR($C$6)))</f>
        <v>0</v>
      </c>
      <c r="I167" s="33" t="n">
        <f aca="false">SUM(D167:H167)</f>
        <v>170.24279426</v>
      </c>
      <c r="J167" s="33" t="n">
        <f aca="false">IF(C167&lt;=$C$22,I167,0)</f>
        <v>170.24279426</v>
      </c>
      <c r="K167" s="33" t="n">
        <f aca="false">IF(C167&lt;=$D$22,I167,0)</f>
        <v>170.24279426</v>
      </c>
      <c r="L167" s="33" t="n">
        <f aca="false">IF(C167&lt;=$E$22,I167,0)</f>
        <v>170.24279426</v>
      </c>
    </row>
    <row r="168" customFormat="false" ht="15" hidden="false" customHeight="true" outlineLevel="0" collapsed="false">
      <c r="B168" s="65" t="n">
        <f aca="false">EDATE(B167,1)</f>
        <v>44105</v>
      </c>
      <c r="C168" s="64" t="n">
        <f aca="false">B168+14</f>
        <v>44119</v>
      </c>
      <c r="D168" s="33" t="n">
        <f aca="false">IF(OR($C$9="",B168&gt;=$C$9),0,$C$10*(1+$C$11)^IF(B168&lt;$C$7,0,DATEDIF($C$7,B168,"y"))*MAX(0,MIN(EDATE(B168,1),$C$9)-MAX(B168,$C$7))/(EDATE(B168,1)-B168))</f>
        <v>1011.57279426</v>
      </c>
      <c r="E168" s="33" t="n">
        <f aca="false">-SUMIFS(Échéancier!$I$5:$I$300,Échéancier!$J$5:$J$300,$C$5,Échéancier!$C$5:$C$300,"&gt;="&amp;B168,Échéancier!$C$5:$C$300,"&lt;"&amp;EDATE(B168,1))</f>
        <v>-841.32</v>
      </c>
      <c r="F168" s="33" t="n">
        <f aca="false">-SUMIFS($D$68:$D$106,$E$68:$E$106,$C$5,$C$68:$C$106,"&gt;="&amp;B168,$C$68:$C$106,"&lt;"&amp;EDATE(B168,1))</f>
        <v>-445.47</v>
      </c>
      <c r="G168" s="33" t="n">
        <f aca="false">SUMIFS(Journal!$K$5:$K$1004,Journal!$C$5:$C$1004,$C$5,Journal!$A$5:$A$1004,"&gt;="&amp;B168,Journal!$A$5:$A$1004,"&lt;"&amp;MIN(EDATE(B168,1),$C$6+1))</f>
        <v>0</v>
      </c>
      <c r="H168" s="33" t="n">
        <f aca="false">IF(B168&lt;=$C$6,0,($C$12-$C$13/12)*(1+$C$14)^(YEAR(B168)-YEAR($C$6)))</f>
        <v>0</v>
      </c>
      <c r="I168" s="33" t="n">
        <f aca="false">SUM(D168:H168)</f>
        <v>-275.21720574</v>
      </c>
      <c r="J168" s="33" t="n">
        <f aca="false">IF(C168&lt;=$C$22,I168,0)</f>
        <v>-275.21720574</v>
      </c>
      <c r="K168" s="33" t="n">
        <f aca="false">IF(C168&lt;=$D$22,I168,0)</f>
        <v>-275.21720574</v>
      </c>
      <c r="L168" s="33" t="n">
        <f aca="false">IF(C168&lt;=$E$22,I168,0)</f>
        <v>-275.21720574</v>
      </c>
    </row>
    <row r="169" customFormat="false" ht="15" hidden="false" customHeight="true" outlineLevel="0" collapsed="false">
      <c r="B169" s="65" t="n">
        <f aca="false">EDATE(B168,1)</f>
        <v>44136</v>
      </c>
      <c r="C169" s="64" t="n">
        <f aca="false">B169+14</f>
        <v>44150</v>
      </c>
      <c r="D169" s="33" t="n">
        <f aca="false">IF(OR($C$9="",B169&gt;=$C$9),0,$C$10*(1+$C$11)^IF(B169&lt;$C$7,0,DATEDIF($C$7,B169,"y"))*MAX(0,MIN(EDATE(B169,1),$C$9)-MAX(B169,$C$7))/(EDATE(B169,1)-B169))</f>
        <v>1011.57279426</v>
      </c>
      <c r="E169" s="33" t="n">
        <f aca="false">-SUMIFS(Échéancier!$I$5:$I$300,Échéancier!$J$5:$J$300,$C$5,Échéancier!$C$5:$C$300,"&gt;="&amp;B169,Échéancier!$C$5:$C$300,"&lt;"&amp;EDATE(B169,1))</f>
        <v>-841.32</v>
      </c>
      <c r="F169" s="33" t="n">
        <f aca="false">-SUMIFS($D$68:$D$106,$E$68:$E$106,$C$5,$C$68:$C$106,"&gt;="&amp;B169,$C$68:$C$106,"&lt;"&amp;EDATE(B169,1))</f>
        <v>-0</v>
      </c>
      <c r="G169" s="33" t="n">
        <f aca="false">SUMIFS(Journal!$K$5:$K$1004,Journal!$C$5:$C$1004,$C$5,Journal!$A$5:$A$1004,"&gt;="&amp;B169,Journal!$A$5:$A$1004,"&lt;"&amp;MIN(EDATE(B169,1),$C$6+1))</f>
        <v>0</v>
      </c>
      <c r="H169" s="33" t="n">
        <f aca="false">IF(B169&lt;=$C$6,0,($C$12-$C$13/12)*(1+$C$14)^(YEAR(B169)-YEAR($C$6)))</f>
        <v>0</v>
      </c>
      <c r="I169" s="33" t="n">
        <f aca="false">SUM(D169:H169)</f>
        <v>170.25279426</v>
      </c>
      <c r="J169" s="33" t="n">
        <f aca="false">IF(C169&lt;=$C$22,I169,0)</f>
        <v>170.25279426</v>
      </c>
      <c r="K169" s="33" t="n">
        <f aca="false">IF(C169&lt;=$D$22,I169,0)</f>
        <v>170.25279426</v>
      </c>
      <c r="L169" s="33" t="n">
        <f aca="false">IF(C169&lt;=$E$22,I169,0)</f>
        <v>170.25279426</v>
      </c>
    </row>
    <row r="170" customFormat="false" ht="15" hidden="false" customHeight="true" outlineLevel="0" collapsed="false">
      <c r="B170" s="65" t="n">
        <f aca="false">EDATE(B169,1)</f>
        <v>44166</v>
      </c>
      <c r="C170" s="64" t="n">
        <f aca="false">B170+14</f>
        <v>44180</v>
      </c>
      <c r="D170" s="33" t="n">
        <f aca="false">IF(OR($C$9="",B170&gt;=$C$9),0,$C$10*(1+$C$11)^IF(B170&lt;$C$7,0,DATEDIF($C$7,B170,"y"))*MAX(0,MIN(EDATE(B170,1),$C$9)-MAX(B170,$C$7))/(EDATE(B170,1)-B170))</f>
        <v>1029.57878999783</v>
      </c>
      <c r="E170" s="33" t="n">
        <f aca="false">-SUMIFS(Échéancier!$I$5:$I$300,Échéancier!$J$5:$J$300,$C$5,Échéancier!$C$5:$C$300,"&gt;="&amp;B170,Échéancier!$C$5:$C$300,"&lt;"&amp;EDATE(B170,1))</f>
        <v>-841.32</v>
      </c>
      <c r="F170" s="33" t="n">
        <f aca="false">-SUMIFS($D$68:$D$106,$E$68:$E$106,$C$5,$C$68:$C$106,"&gt;="&amp;B170,$C$68:$C$106,"&lt;"&amp;EDATE(B170,1))</f>
        <v>-0</v>
      </c>
      <c r="G170" s="33" t="n">
        <f aca="false">SUMIFS(Journal!$K$5:$K$1004,Journal!$C$5:$C$1004,$C$5,Journal!$A$5:$A$1004,"&gt;="&amp;B170,Journal!$A$5:$A$1004,"&lt;"&amp;MIN(EDATE(B170,1),$C$6+1))</f>
        <v>0</v>
      </c>
      <c r="H170" s="33" t="n">
        <f aca="false">IF(B170&lt;=$C$6,0,($C$12-$C$13/12)*(1+$C$14)^(YEAR(B170)-YEAR($C$6)))</f>
        <v>0</v>
      </c>
      <c r="I170" s="33" t="n">
        <f aca="false">SUM(D170:H170)</f>
        <v>188.258789997828</v>
      </c>
      <c r="J170" s="33" t="n">
        <f aca="false">IF(C170&lt;=$C$22,I170,0)</f>
        <v>188.258789997828</v>
      </c>
      <c r="K170" s="33" t="n">
        <f aca="false">IF(C170&lt;=$D$22,I170,0)</f>
        <v>188.258789997828</v>
      </c>
      <c r="L170" s="33" t="n">
        <f aca="false">IF(C170&lt;=$E$22,I170,0)</f>
        <v>188.258789997828</v>
      </c>
    </row>
    <row r="171" customFormat="false" ht="15" hidden="false" customHeight="true" outlineLevel="0" collapsed="false">
      <c r="B171" s="65" t="n">
        <f aca="false">EDATE(B170,1)</f>
        <v>44197</v>
      </c>
      <c r="C171" s="64" t="n">
        <f aca="false">B171+14</f>
        <v>44211</v>
      </c>
      <c r="D171" s="33" t="n">
        <f aca="false">IF(OR($C$9="",B171&gt;=$C$9),0,$C$10*(1+$C$11)^IF(B171&lt;$C$7,0,DATEDIF($C$7,B171,"y"))*MAX(0,MIN(EDATE(B171,1),$C$9)-MAX(B171,$C$7))/(EDATE(B171,1)-B171))</f>
        <v>1029.57878999783</v>
      </c>
      <c r="E171" s="33" t="n">
        <f aca="false">-SUMIFS(Échéancier!$I$5:$I$300,Échéancier!$J$5:$J$300,$C$5,Échéancier!$C$5:$C$300,"&gt;="&amp;B171,Échéancier!$C$5:$C$300,"&lt;"&amp;EDATE(B171,1))</f>
        <v>-841.32</v>
      </c>
      <c r="F171" s="33" t="n">
        <f aca="false">-SUMIFS($D$68:$D$106,$E$68:$E$106,$C$5,$C$68:$C$106,"&gt;="&amp;B171,$C$68:$C$106,"&lt;"&amp;EDATE(B171,1))</f>
        <v>-0</v>
      </c>
      <c r="G171" s="33" t="n">
        <f aca="false">SUMIFS(Journal!$K$5:$K$1004,Journal!$C$5:$C$1004,$C$5,Journal!$A$5:$A$1004,"&gt;="&amp;B171,Journal!$A$5:$A$1004,"&lt;"&amp;MIN(EDATE(B171,1),$C$6+1))</f>
        <v>0</v>
      </c>
      <c r="H171" s="33" t="n">
        <f aca="false">IF(B171&lt;=$C$6,0,($C$12-$C$13/12)*(1+$C$14)^(YEAR(B171)-YEAR($C$6)))</f>
        <v>0</v>
      </c>
      <c r="I171" s="33" t="n">
        <f aca="false">SUM(D171:H171)</f>
        <v>188.258789997828</v>
      </c>
      <c r="J171" s="33" t="n">
        <f aca="false">IF(C171&lt;=$C$22,I171,0)</f>
        <v>188.258789997828</v>
      </c>
      <c r="K171" s="33" t="n">
        <f aca="false">IF(C171&lt;=$D$22,I171,0)</f>
        <v>188.258789997828</v>
      </c>
      <c r="L171" s="33" t="n">
        <f aca="false">IF(C171&lt;=$E$22,I171,0)</f>
        <v>188.258789997828</v>
      </c>
    </row>
    <row r="172" customFormat="false" ht="15" hidden="false" customHeight="true" outlineLevel="0" collapsed="false">
      <c r="B172" s="65" t="n">
        <f aca="false">EDATE(B171,1)</f>
        <v>44228</v>
      </c>
      <c r="C172" s="64" t="n">
        <f aca="false">B172+14</f>
        <v>44242</v>
      </c>
      <c r="D172" s="33" t="n">
        <f aca="false">IF(OR($C$9="",B172&gt;=$C$9),0,$C$10*(1+$C$11)^IF(B172&lt;$C$7,0,DATEDIF($C$7,B172,"y"))*MAX(0,MIN(EDATE(B172,1),$C$9)-MAX(B172,$C$7))/(EDATE(B172,1)-B172))</f>
        <v>1029.57878999783</v>
      </c>
      <c r="E172" s="33" t="n">
        <f aca="false">-SUMIFS(Échéancier!$I$5:$I$300,Échéancier!$J$5:$J$300,$C$5,Échéancier!$C$5:$C$300,"&gt;="&amp;B172,Échéancier!$C$5:$C$300,"&lt;"&amp;EDATE(B172,1))</f>
        <v>-841.32</v>
      </c>
      <c r="F172" s="33" t="n">
        <f aca="false">-SUMIFS($D$68:$D$106,$E$68:$E$106,$C$5,$C$68:$C$106,"&gt;="&amp;B172,$C$68:$C$106,"&lt;"&amp;EDATE(B172,1))</f>
        <v>-0</v>
      </c>
      <c r="G172" s="33" t="n">
        <f aca="false">SUMIFS(Journal!$K$5:$K$1004,Journal!$C$5:$C$1004,$C$5,Journal!$A$5:$A$1004,"&gt;="&amp;B172,Journal!$A$5:$A$1004,"&lt;"&amp;MIN(EDATE(B172,1),$C$6+1))</f>
        <v>0</v>
      </c>
      <c r="H172" s="33" t="n">
        <f aca="false">IF(B172&lt;=$C$6,0,($C$12-$C$13/12)*(1+$C$14)^(YEAR(B172)-YEAR($C$6)))</f>
        <v>0</v>
      </c>
      <c r="I172" s="33" t="n">
        <f aca="false">SUM(D172:H172)</f>
        <v>188.258789997828</v>
      </c>
      <c r="J172" s="33" t="n">
        <f aca="false">IF(C172&lt;=$C$22,I172,0)</f>
        <v>188.258789997828</v>
      </c>
      <c r="K172" s="33" t="n">
        <f aca="false">IF(C172&lt;=$D$22,I172,0)</f>
        <v>188.258789997828</v>
      </c>
      <c r="L172" s="33" t="n">
        <f aca="false">IF(C172&lt;=$E$22,I172,0)</f>
        <v>188.258789997828</v>
      </c>
    </row>
    <row r="173" customFormat="false" ht="15" hidden="false" customHeight="true" outlineLevel="0" collapsed="false">
      <c r="B173" s="65" t="n">
        <f aca="false">EDATE(B172,1)</f>
        <v>44256</v>
      </c>
      <c r="C173" s="64" t="n">
        <f aca="false">B173+14</f>
        <v>44270</v>
      </c>
      <c r="D173" s="33" t="n">
        <f aca="false">IF(OR($C$9="",B173&gt;=$C$9),0,$C$10*(1+$C$11)^IF(B173&lt;$C$7,0,DATEDIF($C$7,B173,"y"))*MAX(0,MIN(EDATE(B173,1),$C$9)-MAX(B173,$C$7))/(EDATE(B173,1)-B173))</f>
        <v>1029.57878999783</v>
      </c>
      <c r="E173" s="33" t="n">
        <f aca="false">-SUMIFS(Échéancier!$I$5:$I$300,Échéancier!$J$5:$J$300,$C$5,Échéancier!$C$5:$C$300,"&gt;="&amp;B173,Échéancier!$C$5:$C$300,"&lt;"&amp;EDATE(B173,1))</f>
        <v>-841.32</v>
      </c>
      <c r="F173" s="33" t="n">
        <f aca="false">-SUMIFS($D$68:$D$106,$E$68:$E$106,$C$5,$C$68:$C$106,"&gt;="&amp;B173,$C$68:$C$106,"&lt;"&amp;EDATE(B173,1))</f>
        <v>-0</v>
      </c>
      <c r="G173" s="33" t="n">
        <f aca="false">SUMIFS(Journal!$K$5:$K$1004,Journal!$C$5:$C$1004,$C$5,Journal!$A$5:$A$1004,"&gt;="&amp;B173,Journal!$A$5:$A$1004,"&lt;"&amp;MIN(EDATE(B173,1),$C$6+1))</f>
        <v>0</v>
      </c>
      <c r="H173" s="33" t="n">
        <f aca="false">IF(B173&lt;=$C$6,0,($C$12-$C$13/12)*(1+$C$14)^(YEAR(B173)-YEAR($C$6)))</f>
        <v>0</v>
      </c>
      <c r="I173" s="33" t="n">
        <f aca="false">SUM(D173:H173)</f>
        <v>188.258789997828</v>
      </c>
      <c r="J173" s="33" t="n">
        <f aca="false">IF(C173&lt;=$C$22,I173,0)</f>
        <v>188.258789997828</v>
      </c>
      <c r="K173" s="33" t="n">
        <f aca="false">IF(C173&lt;=$D$22,I173,0)</f>
        <v>188.258789997828</v>
      </c>
      <c r="L173" s="33" t="n">
        <f aca="false">IF(C173&lt;=$E$22,I173,0)</f>
        <v>188.258789997828</v>
      </c>
    </row>
    <row r="174" customFormat="false" ht="15" hidden="false" customHeight="true" outlineLevel="0" collapsed="false">
      <c r="B174" s="65" t="n">
        <f aca="false">EDATE(B173,1)</f>
        <v>44287</v>
      </c>
      <c r="C174" s="64" t="n">
        <f aca="false">B174+14</f>
        <v>44301</v>
      </c>
      <c r="D174" s="33" t="n">
        <f aca="false">IF(OR($C$9="",B174&gt;=$C$9),0,$C$10*(1+$C$11)^IF(B174&lt;$C$7,0,DATEDIF($C$7,B174,"y"))*MAX(0,MIN(EDATE(B174,1),$C$9)-MAX(B174,$C$7))/(EDATE(B174,1)-B174))</f>
        <v>1029.57878999783</v>
      </c>
      <c r="E174" s="33" t="n">
        <f aca="false">-SUMIFS(Échéancier!$I$5:$I$300,Échéancier!$J$5:$J$300,$C$5,Échéancier!$C$5:$C$300,"&gt;="&amp;B174,Échéancier!$C$5:$C$300,"&lt;"&amp;EDATE(B174,1))</f>
        <v>-841.32</v>
      </c>
      <c r="F174" s="33" t="n">
        <f aca="false">-SUMIFS($D$68:$D$106,$E$68:$E$106,$C$5,$C$68:$C$106,"&gt;="&amp;B174,$C$68:$C$106,"&lt;"&amp;EDATE(B174,1))</f>
        <v>-0</v>
      </c>
      <c r="G174" s="33" t="n">
        <f aca="false">SUMIFS(Journal!$K$5:$K$1004,Journal!$C$5:$C$1004,$C$5,Journal!$A$5:$A$1004,"&gt;="&amp;B174,Journal!$A$5:$A$1004,"&lt;"&amp;MIN(EDATE(B174,1),$C$6+1))</f>
        <v>0</v>
      </c>
      <c r="H174" s="33" t="n">
        <f aca="false">IF(B174&lt;=$C$6,0,($C$12-$C$13/12)*(1+$C$14)^(YEAR(B174)-YEAR($C$6)))</f>
        <v>0</v>
      </c>
      <c r="I174" s="33" t="n">
        <f aca="false">SUM(D174:H174)</f>
        <v>188.258789997828</v>
      </c>
      <c r="J174" s="33" t="n">
        <f aca="false">IF(C174&lt;=$C$22,I174,0)</f>
        <v>188.258789997828</v>
      </c>
      <c r="K174" s="33" t="n">
        <f aca="false">IF(C174&lt;=$D$22,I174,0)</f>
        <v>188.258789997828</v>
      </c>
      <c r="L174" s="33" t="n">
        <f aca="false">IF(C174&lt;=$E$22,I174,0)</f>
        <v>188.258789997828</v>
      </c>
    </row>
    <row r="175" customFormat="false" ht="15" hidden="false" customHeight="true" outlineLevel="0" collapsed="false">
      <c r="B175" s="65" t="n">
        <f aca="false">EDATE(B174,1)</f>
        <v>44317</v>
      </c>
      <c r="C175" s="64" t="n">
        <f aca="false">B175+14</f>
        <v>44331</v>
      </c>
      <c r="D175" s="33" t="n">
        <f aca="false">IF(OR($C$9="",B175&gt;=$C$9),0,$C$10*(1+$C$11)^IF(B175&lt;$C$7,0,DATEDIF($C$7,B175,"y"))*MAX(0,MIN(EDATE(B175,1),$C$9)-MAX(B175,$C$7))/(EDATE(B175,1)-B175))</f>
        <v>1029.57878999783</v>
      </c>
      <c r="E175" s="33" t="n">
        <f aca="false">-SUMIFS(Échéancier!$I$5:$I$300,Échéancier!$J$5:$J$300,$C$5,Échéancier!$C$5:$C$300,"&gt;="&amp;B175,Échéancier!$C$5:$C$300,"&lt;"&amp;EDATE(B175,1))</f>
        <v>-841.32</v>
      </c>
      <c r="F175" s="33" t="n">
        <f aca="false">-SUMIFS($D$68:$D$106,$E$68:$E$106,$C$5,$C$68:$C$106,"&gt;="&amp;B175,$C$68:$C$106,"&lt;"&amp;EDATE(B175,1))</f>
        <v>-0</v>
      </c>
      <c r="G175" s="33" t="n">
        <f aca="false">SUMIFS(Journal!$K$5:$K$1004,Journal!$C$5:$C$1004,$C$5,Journal!$A$5:$A$1004,"&gt;="&amp;B175,Journal!$A$5:$A$1004,"&lt;"&amp;MIN(EDATE(B175,1),$C$6+1))</f>
        <v>0</v>
      </c>
      <c r="H175" s="33" t="n">
        <f aca="false">IF(B175&lt;=$C$6,0,($C$12-$C$13/12)*(1+$C$14)^(YEAR(B175)-YEAR($C$6)))</f>
        <v>0</v>
      </c>
      <c r="I175" s="33" t="n">
        <f aca="false">SUM(D175:H175)</f>
        <v>188.258789997828</v>
      </c>
      <c r="J175" s="33" t="n">
        <f aca="false">IF(C175&lt;=$C$22,I175,0)</f>
        <v>188.258789997828</v>
      </c>
      <c r="K175" s="33" t="n">
        <f aca="false">IF(C175&lt;=$D$22,I175,0)</f>
        <v>188.258789997828</v>
      </c>
      <c r="L175" s="33" t="n">
        <f aca="false">IF(C175&lt;=$E$22,I175,0)</f>
        <v>188.258789997828</v>
      </c>
    </row>
    <row r="176" customFormat="false" ht="15" hidden="false" customHeight="true" outlineLevel="0" collapsed="false">
      <c r="B176" s="65" t="n">
        <f aca="false">EDATE(B175,1)</f>
        <v>44348</v>
      </c>
      <c r="C176" s="64" t="n">
        <f aca="false">B176+14</f>
        <v>44362</v>
      </c>
      <c r="D176" s="33" t="n">
        <f aca="false">IF(OR($C$9="",B176&gt;=$C$9),0,$C$10*(1+$C$11)^IF(B176&lt;$C$7,0,DATEDIF($C$7,B176,"y"))*MAX(0,MIN(EDATE(B176,1),$C$9)-MAX(B176,$C$7))/(EDATE(B176,1)-B176))</f>
        <v>1029.57878999783</v>
      </c>
      <c r="E176" s="33" t="n">
        <f aca="false">-SUMIFS(Échéancier!$I$5:$I$300,Échéancier!$J$5:$J$300,$C$5,Échéancier!$C$5:$C$300,"&gt;="&amp;B176,Échéancier!$C$5:$C$300,"&lt;"&amp;EDATE(B176,1))</f>
        <v>-841.33</v>
      </c>
      <c r="F176" s="33" t="n">
        <f aca="false">-SUMIFS($D$68:$D$106,$E$68:$E$106,$C$5,$C$68:$C$106,"&gt;="&amp;B176,$C$68:$C$106,"&lt;"&amp;EDATE(B176,1))</f>
        <v>-0</v>
      </c>
      <c r="G176" s="33" t="n">
        <f aca="false">SUMIFS(Journal!$K$5:$K$1004,Journal!$C$5:$C$1004,$C$5,Journal!$A$5:$A$1004,"&gt;="&amp;B176,Journal!$A$5:$A$1004,"&lt;"&amp;MIN(EDATE(B176,1),$C$6+1))</f>
        <v>0</v>
      </c>
      <c r="H176" s="33" t="n">
        <f aca="false">IF(B176&lt;=$C$6,0,($C$12-$C$13/12)*(1+$C$14)^(YEAR(B176)-YEAR($C$6)))</f>
        <v>0</v>
      </c>
      <c r="I176" s="33" t="n">
        <f aca="false">SUM(D176:H176)</f>
        <v>188.248789997828</v>
      </c>
      <c r="J176" s="33" t="n">
        <f aca="false">IF(C176&lt;=$C$22,I176,0)</f>
        <v>188.248789997828</v>
      </c>
      <c r="K176" s="33" t="n">
        <f aca="false">IF(C176&lt;=$D$22,I176,0)</f>
        <v>188.248789997828</v>
      </c>
      <c r="L176" s="33" t="n">
        <f aca="false">IF(C176&lt;=$E$22,I176,0)</f>
        <v>188.248789997828</v>
      </c>
    </row>
    <row r="177" customFormat="false" ht="15" hidden="false" customHeight="true" outlineLevel="0" collapsed="false">
      <c r="B177" s="65" t="n">
        <f aca="false">EDATE(B176,1)</f>
        <v>44378</v>
      </c>
      <c r="C177" s="64" t="n">
        <f aca="false">B177+14</f>
        <v>44392</v>
      </c>
      <c r="D177" s="33" t="n">
        <f aca="false">IF(OR($C$9="",B177&gt;=$C$9),0,$C$10*(1+$C$11)^IF(B177&lt;$C$7,0,DATEDIF($C$7,B177,"y"))*MAX(0,MIN(EDATE(B177,1),$C$9)-MAX(B177,$C$7))/(EDATE(B177,1)-B177))</f>
        <v>1029.57878999783</v>
      </c>
      <c r="E177" s="33" t="n">
        <f aca="false">-SUMIFS(Échéancier!$I$5:$I$300,Échéancier!$J$5:$J$300,$C$5,Échéancier!$C$5:$C$300,"&gt;="&amp;B177,Échéancier!$C$5:$C$300,"&lt;"&amp;EDATE(B177,1))</f>
        <v>-841.33</v>
      </c>
      <c r="F177" s="33" t="n">
        <f aca="false">-SUMIFS($D$68:$D$106,$E$68:$E$106,$C$5,$C$68:$C$106,"&gt;="&amp;B177,$C$68:$C$106,"&lt;"&amp;EDATE(B177,1))</f>
        <v>-1953</v>
      </c>
      <c r="G177" s="33" t="n">
        <f aca="false">SUMIFS(Journal!$K$5:$K$1004,Journal!$C$5:$C$1004,$C$5,Journal!$A$5:$A$1004,"&gt;="&amp;B177,Journal!$A$5:$A$1004,"&lt;"&amp;MIN(EDATE(B177,1),$C$6+1))</f>
        <v>0</v>
      </c>
      <c r="H177" s="33" t="n">
        <f aca="false">IF(B177&lt;=$C$6,0,($C$12-$C$13/12)*(1+$C$14)^(YEAR(B177)-YEAR($C$6)))</f>
        <v>0</v>
      </c>
      <c r="I177" s="33" t="n">
        <f aca="false">SUM(D177:H177)</f>
        <v>-1764.75121000217</v>
      </c>
      <c r="J177" s="33" t="n">
        <f aca="false">IF(C177&lt;=$C$22,I177,0)</f>
        <v>-1764.75121000217</v>
      </c>
      <c r="K177" s="33" t="n">
        <f aca="false">IF(C177&lt;=$D$22,I177,0)</f>
        <v>-1764.75121000217</v>
      </c>
      <c r="L177" s="33" t="n">
        <f aca="false">IF(C177&lt;=$E$22,I177,0)</f>
        <v>-1764.75121000217</v>
      </c>
    </row>
    <row r="178" customFormat="false" ht="15" hidden="false" customHeight="true" outlineLevel="0" collapsed="false">
      <c r="B178" s="65" t="n">
        <f aca="false">EDATE(B177,1)</f>
        <v>44409</v>
      </c>
      <c r="C178" s="64" t="n">
        <f aca="false">B178+14</f>
        <v>44423</v>
      </c>
      <c r="D178" s="33" t="n">
        <f aca="false">IF(OR($C$9="",B178&gt;=$C$9),0,$C$10*(1+$C$11)^IF(B178&lt;$C$7,0,DATEDIF($C$7,B178,"y"))*MAX(0,MIN(EDATE(B178,1),$C$9)-MAX(B178,$C$7))/(EDATE(B178,1)-B178))</f>
        <v>1029.57878999783</v>
      </c>
      <c r="E178" s="33" t="n">
        <f aca="false">-SUMIFS(Échéancier!$I$5:$I$300,Échéancier!$J$5:$J$300,$C$5,Échéancier!$C$5:$C$300,"&gt;="&amp;B178,Échéancier!$C$5:$C$300,"&lt;"&amp;EDATE(B178,1))</f>
        <v>-841.33</v>
      </c>
      <c r="F178" s="33" t="n">
        <f aca="false">-SUMIFS($D$68:$D$106,$E$68:$E$106,$C$5,$C$68:$C$106,"&gt;="&amp;B178,$C$68:$C$106,"&lt;"&amp;EDATE(B178,1))</f>
        <v>-0</v>
      </c>
      <c r="G178" s="33" t="n">
        <f aca="false">SUMIFS(Journal!$K$5:$K$1004,Journal!$C$5:$C$1004,$C$5,Journal!$A$5:$A$1004,"&gt;="&amp;B178,Journal!$A$5:$A$1004,"&lt;"&amp;MIN(EDATE(B178,1),$C$6+1))</f>
        <v>0</v>
      </c>
      <c r="H178" s="33" t="n">
        <f aca="false">IF(B178&lt;=$C$6,0,($C$12-$C$13/12)*(1+$C$14)^(YEAR(B178)-YEAR($C$6)))</f>
        <v>0</v>
      </c>
      <c r="I178" s="33" t="n">
        <f aca="false">SUM(D178:H178)</f>
        <v>188.248789997828</v>
      </c>
      <c r="J178" s="33" t="n">
        <f aca="false">IF(C178&lt;=$C$22,I178,0)</f>
        <v>188.248789997828</v>
      </c>
      <c r="K178" s="33" t="n">
        <f aca="false">IF(C178&lt;=$D$22,I178,0)</f>
        <v>188.248789997828</v>
      </c>
      <c r="L178" s="33" t="n">
        <f aca="false">IF(C178&lt;=$E$22,I178,0)</f>
        <v>188.248789997828</v>
      </c>
    </row>
    <row r="179" customFormat="false" ht="15" hidden="false" customHeight="true" outlineLevel="0" collapsed="false">
      <c r="B179" s="65" t="n">
        <f aca="false">EDATE(B178,1)</f>
        <v>44440</v>
      </c>
      <c r="C179" s="64" t="n">
        <f aca="false">B179+14</f>
        <v>44454</v>
      </c>
      <c r="D179" s="33" t="n">
        <f aca="false">IF(OR($C$9="",B179&gt;=$C$9),0,$C$10*(1+$C$11)^IF(B179&lt;$C$7,0,DATEDIF($C$7,B179,"y"))*MAX(0,MIN(EDATE(B179,1),$C$9)-MAX(B179,$C$7))/(EDATE(B179,1)-B179))</f>
        <v>1029.57878999783</v>
      </c>
      <c r="E179" s="33" t="n">
        <f aca="false">-SUMIFS(Échéancier!$I$5:$I$300,Échéancier!$J$5:$J$300,$C$5,Échéancier!$C$5:$C$300,"&gt;="&amp;B179,Échéancier!$C$5:$C$300,"&lt;"&amp;EDATE(B179,1))</f>
        <v>-841.33</v>
      </c>
      <c r="F179" s="33" t="n">
        <f aca="false">-SUMIFS($D$68:$D$106,$E$68:$E$106,$C$5,$C$68:$C$106,"&gt;="&amp;B179,$C$68:$C$106,"&lt;"&amp;EDATE(B179,1))</f>
        <v>-0</v>
      </c>
      <c r="G179" s="33" t="n">
        <f aca="false">SUMIFS(Journal!$K$5:$K$1004,Journal!$C$5:$C$1004,$C$5,Journal!$A$5:$A$1004,"&gt;="&amp;B179,Journal!$A$5:$A$1004,"&lt;"&amp;MIN(EDATE(B179,1),$C$6+1))</f>
        <v>0</v>
      </c>
      <c r="H179" s="33" t="n">
        <f aca="false">IF(B179&lt;=$C$6,0,($C$12-$C$13/12)*(1+$C$14)^(YEAR(B179)-YEAR($C$6)))</f>
        <v>0</v>
      </c>
      <c r="I179" s="33" t="n">
        <f aca="false">SUM(D179:H179)</f>
        <v>188.248789997828</v>
      </c>
      <c r="J179" s="33" t="n">
        <f aca="false">IF(C179&lt;=$C$22,I179,0)</f>
        <v>188.248789997828</v>
      </c>
      <c r="K179" s="33" t="n">
        <f aca="false">IF(C179&lt;=$D$22,I179,0)</f>
        <v>188.248789997828</v>
      </c>
      <c r="L179" s="33" t="n">
        <f aca="false">IF(C179&lt;=$E$22,I179,0)</f>
        <v>188.248789997828</v>
      </c>
    </row>
    <row r="180" customFormat="false" ht="15" hidden="false" customHeight="true" outlineLevel="0" collapsed="false">
      <c r="B180" s="65" t="n">
        <f aca="false">EDATE(B179,1)</f>
        <v>44470</v>
      </c>
      <c r="C180" s="64" t="n">
        <f aca="false">B180+14</f>
        <v>44484</v>
      </c>
      <c r="D180" s="33" t="n">
        <f aca="false">IF(OR($C$9="",B180&gt;=$C$9),0,$C$10*(1+$C$11)^IF(B180&lt;$C$7,0,DATEDIF($C$7,B180,"y"))*MAX(0,MIN(EDATE(B180,1),$C$9)-MAX(B180,$C$7))/(EDATE(B180,1)-B180))</f>
        <v>1029.57878999783</v>
      </c>
      <c r="E180" s="33" t="n">
        <f aca="false">-SUMIFS(Échéancier!$I$5:$I$300,Échéancier!$J$5:$J$300,$C$5,Échéancier!$C$5:$C$300,"&gt;="&amp;B180,Échéancier!$C$5:$C$300,"&lt;"&amp;EDATE(B180,1))</f>
        <v>-841.33</v>
      </c>
      <c r="F180" s="33" t="n">
        <f aca="false">-SUMIFS($D$68:$D$106,$E$68:$E$106,$C$5,$C$68:$C$106,"&gt;="&amp;B180,$C$68:$C$106,"&lt;"&amp;EDATE(B180,1))</f>
        <v>-446.4</v>
      </c>
      <c r="G180" s="33" t="n">
        <f aca="false">SUMIFS(Journal!$K$5:$K$1004,Journal!$C$5:$C$1004,$C$5,Journal!$A$5:$A$1004,"&gt;="&amp;B180,Journal!$A$5:$A$1004,"&lt;"&amp;MIN(EDATE(B180,1),$C$6+1))</f>
        <v>0</v>
      </c>
      <c r="H180" s="33" t="n">
        <f aca="false">IF(B180&lt;=$C$6,0,($C$12-$C$13/12)*(1+$C$14)^(YEAR(B180)-YEAR($C$6)))</f>
        <v>0</v>
      </c>
      <c r="I180" s="33" t="n">
        <f aca="false">SUM(D180:H180)</f>
        <v>-258.151210002172</v>
      </c>
      <c r="J180" s="33" t="n">
        <f aca="false">IF(C180&lt;=$C$22,I180,0)</f>
        <v>-258.151210002172</v>
      </c>
      <c r="K180" s="33" t="n">
        <f aca="false">IF(C180&lt;=$D$22,I180,0)</f>
        <v>-258.151210002172</v>
      </c>
      <c r="L180" s="33" t="n">
        <f aca="false">IF(C180&lt;=$E$22,I180,0)</f>
        <v>-258.151210002172</v>
      </c>
    </row>
    <row r="181" customFormat="false" ht="15" hidden="false" customHeight="true" outlineLevel="0" collapsed="false">
      <c r="B181" s="65" t="n">
        <f aca="false">EDATE(B180,1)</f>
        <v>44501</v>
      </c>
      <c r="C181" s="64" t="n">
        <f aca="false">B181+14</f>
        <v>44515</v>
      </c>
      <c r="D181" s="33" t="n">
        <f aca="false">IF(OR($C$9="",B181&gt;=$C$9),0,$C$10*(1+$C$11)^IF(B181&lt;$C$7,0,DATEDIF($C$7,B181,"y"))*MAX(0,MIN(EDATE(B181,1),$C$9)-MAX(B181,$C$7))/(EDATE(B181,1)-B181))</f>
        <v>1029.57878999783</v>
      </c>
      <c r="E181" s="33" t="n">
        <f aca="false">-SUMIFS(Échéancier!$I$5:$I$300,Échéancier!$J$5:$J$300,$C$5,Échéancier!$C$5:$C$300,"&gt;="&amp;B181,Échéancier!$C$5:$C$300,"&lt;"&amp;EDATE(B181,1))</f>
        <v>-841.33</v>
      </c>
      <c r="F181" s="33" t="n">
        <f aca="false">-SUMIFS($D$68:$D$106,$E$68:$E$106,$C$5,$C$68:$C$106,"&gt;="&amp;B181,$C$68:$C$106,"&lt;"&amp;EDATE(B181,1))</f>
        <v>-0</v>
      </c>
      <c r="G181" s="33" t="n">
        <f aca="false">SUMIFS(Journal!$K$5:$K$1004,Journal!$C$5:$C$1004,$C$5,Journal!$A$5:$A$1004,"&gt;="&amp;B181,Journal!$A$5:$A$1004,"&lt;"&amp;MIN(EDATE(B181,1),$C$6+1))</f>
        <v>0</v>
      </c>
      <c r="H181" s="33" t="n">
        <f aca="false">IF(B181&lt;=$C$6,0,($C$12-$C$13/12)*(1+$C$14)^(YEAR(B181)-YEAR($C$6)))</f>
        <v>0</v>
      </c>
      <c r="I181" s="33" t="n">
        <f aca="false">SUM(D181:H181)</f>
        <v>188.248789997828</v>
      </c>
      <c r="J181" s="33" t="n">
        <f aca="false">IF(C181&lt;=$C$22,I181,0)</f>
        <v>188.248789997828</v>
      </c>
      <c r="K181" s="33" t="n">
        <f aca="false">IF(C181&lt;=$D$22,I181,0)</f>
        <v>188.248789997828</v>
      </c>
      <c r="L181" s="33" t="n">
        <f aca="false">IF(C181&lt;=$E$22,I181,0)</f>
        <v>188.248789997828</v>
      </c>
    </row>
    <row r="182" customFormat="false" ht="15" hidden="false" customHeight="true" outlineLevel="0" collapsed="false">
      <c r="B182" s="65" t="n">
        <f aca="false">EDATE(B181,1)</f>
        <v>44531</v>
      </c>
      <c r="C182" s="64" t="n">
        <f aca="false">B182+14</f>
        <v>44545</v>
      </c>
      <c r="D182" s="33" t="n">
        <f aca="false">IF(OR($C$9="",B182&gt;=$C$9),0,$C$10*(1+$C$11)^IF(B182&lt;$C$7,0,DATEDIF($C$7,B182,"y"))*MAX(0,MIN(EDATE(B182,1),$C$9)-MAX(B182,$C$7))/(EDATE(B182,1)-B182))</f>
        <v>1047.90529245979</v>
      </c>
      <c r="E182" s="33" t="n">
        <f aca="false">-SUMIFS(Échéancier!$I$5:$I$300,Échéancier!$J$5:$J$300,$C$5,Échéancier!$C$5:$C$300,"&gt;="&amp;B182,Échéancier!$C$5:$C$300,"&lt;"&amp;EDATE(B182,1))</f>
        <v>-841.33</v>
      </c>
      <c r="F182" s="33" t="n">
        <f aca="false">-SUMIFS($D$68:$D$106,$E$68:$E$106,$C$5,$C$68:$C$106,"&gt;="&amp;B182,$C$68:$C$106,"&lt;"&amp;EDATE(B182,1))</f>
        <v>-0</v>
      </c>
      <c r="G182" s="33" t="n">
        <f aca="false">SUMIFS(Journal!$K$5:$K$1004,Journal!$C$5:$C$1004,$C$5,Journal!$A$5:$A$1004,"&gt;="&amp;B182,Journal!$A$5:$A$1004,"&lt;"&amp;MIN(EDATE(B182,1),$C$6+1))</f>
        <v>0</v>
      </c>
      <c r="H182" s="33" t="n">
        <f aca="false">IF(B182&lt;=$C$6,0,($C$12-$C$13/12)*(1+$C$14)^(YEAR(B182)-YEAR($C$6)))</f>
        <v>0</v>
      </c>
      <c r="I182" s="33" t="n">
        <f aca="false">SUM(D182:H182)</f>
        <v>206.575292459789</v>
      </c>
      <c r="J182" s="33" t="n">
        <f aca="false">IF(C182&lt;=$C$22,I182,0)</f>
        <v>206.575292459789</v>
      </c>
      <c r="K182" s="33" t="n">
        <f aca="false">IF(C182&lt;=$D$22,I182,0)</f>
        <v>206.575292459789</v>
      </c>
      <c r="L182" s="33" t="n">
        <f aca="false">IF(C182&lt;=$E$22,I182,0)</f>
        <v>206.575292459789</v>
      </c>
    </row>
    <row r="183" customFormat="false" ht="15" hidden="false" customHeight="true" outlineLevel="0" collapsed="false">
      <c r="B183" s="65" t="n">
        <f aca="false">EDATE(B182,1)</f>
        <v>44562</v>
      </c>
      <c r="C183" s="64" t="n">
        <f aca="false">B183+14</f>
        <v>44576</v>
      </c>
      <c r="D183" s="33" t="n">
        <f aca="false">IF(OR($C$9="",B183&gt;=$C$9),0,$C$10*(1+$C$11)^IF(B183&lt;$C$7,0,DATEDIF($C$7,B183,"y"))*MAX(0,MIN(EDATE(B183,1),$C$9)-MAX(B183,$C$7))/(EDATE(B183,1)-B183))</f>
        <v>1047.90529245979</v>
      </c>
      <c r="E183" s="33" t="n">
        <f aca="false">-SUMIFS(Échéancier!$I$5:$I$300,Échéancier!$J$5:$J$300,$C$5,Échéancier!$C$5:$C$300,"&gt;="&amp;B183,Échéancier!$C$5:$C$300,"&lt;"&amp;EDATE(B183,1))</f>
        <v>-841.33</v>
      </c>
      <c r="F183" s="33" t="n">
        <f aca="false">-SUMIFS($D$68:$D$106,$E$68:$E$106,$C$5,$C$68:$C$106,"&gt;="&amp;B183,$C$68:$C$106,"&lt;"&amp;EDATE(B183,1))</f>
        <v>-0</v>
      </c>
      <c r="G183" s="33" t="n">
        <f aca="false">SUMIFS(Journal!$K$5:$K$1004,Journal!$C$5:$C$1004,$C$5,Journal!$A$5:$A$1004,"&gt;="&amp;B183,Journal!$A$5:$A$1004,"&lt;"&amp;MIN(EDATE(B183,1),$C$6+1))</f>
        <v>0</v>
      </c>
      <c r="H183" s="33" t="n">
        <f aca="false">IF(B183&lt;=$C$6,0,($C$12-$C$13/12)*(1+$C$14)^(YEAR(B183)-YEAR($C$6)))</f>
        <v>0</v>
      </c>
      <c r="I183" s="33" t="n">
        <f aca="false">SUM(D183:H183)</f>
        <v>206.575292459789</v>
      </c>
      <c r="J183" s="33" t="n">
        <f aca="false">IF(C183&lt;=$C$22,I183,0)</f>
        <v>206.575292459789</v>
      </c>
      <c r="K183" s="33" t="n">
        <f aca="false">IF(C183&lt;=$D$22,I183,0)</f>
        <v>206.575292459789</v>
      </c>
      <c r="L183" s="33" t="n">
        <f aca="false">IF(C183&lt;=$E$22,I183,0)</f>
        <v>206.575292459789</v>
      </c>
    </row>
    <row r="184" customFormat="false" ht="15" hidden="false" customHeight="true" outlineLevel="0" collapsed="false">
      <c r="B184" s="65" t="n">
        <f aca="false">EDATE(B183,1)</f>
        <v>44593</v>
      </c>
      <c r="C184" s="64" t="n">
        <f aca="false">B184+14</f>
        <v>44607</v>
      </c>
      <c r="D184" s="33" t="n">
        <f aca="false">IF(OR($C$9="",B184&gt;=$C$9),0,$C$10*(1+$C$11)^IF(B184&lt;$C$7,0,DATEDIF($C$7,B184,"y"))*MAX(0,MIN(EDATE(B184,1),$C$9)-MAX(B184,$C$7))/(EDATE(B184,1)-B184))</f>
        <v>1047.90529245979</v>
      </c>
      <c r="E184" s="33" t="n">
        <f aca="false">-SUMIFS(Échéancier!$I$5:$I$300,Échéancier!$J$5:$J$300,$C$5,Échéancier!$C$5:$C$300,"&gt;="&amp;B184,Échéancier!$C$5:$C$300,"&lt;"&amp;EDATE(B184,1))</f>
        <v>-841.33</v>
      </c>
      <c r="F184" s="33" t="n">
        <f aca="false">-SUMIFS($D$68:$D$106,$E$68:$E$106,$C$5,$C$68:$C$106,"&gt;="&amp;B184,$C$68:$C$106,"&lt;"&amp;EDATE(B184,1))</f>
        <v>-0</v>
      </c>
      <c r="G184" s="33" t="n">
        <f aca="false">SUMIFS(Journal!$K$5:$K$1004,Journal!$C$5:$C$1004,$C$5,Journal!$A$5:$A$1004,"&gt;="&amp;B184,Journal!$A$5:$A$1004,"&lt;"&amp;MIN(EDATE(B184,1),$C$6+1))</f>
        <v>0</v>
      </c>
      <c r="H184" s="33" t="n">
        <f aca="false">IF(B184&lt;=$C$6,0,($C$12-$C$13/12)*(1+$C$14)^(YEAR(B184)-YEAR($C$6)))</f>
        <v>0</v>
      </c>
      <c r="I184" s="33" t="n">
        <f aca="false">SUM(D184:H184)</f>
        <v>206.575292459789</v>
      </c>
      <c r="J184" s="33" t="n">
        <f aca="false">IF(C184&lt;=$C$22,I184,0)</f>
        <v>206.575292459789</v>
      </c>
      <c r="K184" s="33" t="n">
        <f aca="false">IF(C184&lt;=$D$22,I184,0)</f>
        <v>206.575292459789</v>
      </c>
      <c r="L184" s="33" t="n">
        <f aca="false">IF(C184&lt;=$E$22,I184,0)</f>
        <v>206.575292459789</v>
      </c>
    </row>
    <row r="185" customFormat="false" ht="15" hidden="false" customHeight="true" outlineLevel="0" collapsed="false">
      <c r="B185" s="65" t="n">
        <f aca="false">EDATE(B184,1)</f>
        <v>44621</v>
      </c>
      <c r="C185" s="64" t="n">
        <f aca="false">B185+14</f>
        <v>44635</v>
      </c>
      <c r="D185" s="33" t="n">
        <f aca="false">IF(OR($C$9="",B185&gt;=$C$9),0,$C$10*(1+$C$11)^IF(B185&lt;$C$7,0,DATEDIF($C$7,B185,"y"))*MAX(0,MIN(EDATE(B185,1),$C$9)-MAX(B185,$C$7))/(EDATE(B185,1)-B185))</f>
        <v>1047.90529245979</v>
      </c>
      <c r="E185" s="33" t="n">
        <f aca="false">-SUMIFS(Échéancier!$I$5:$I$300,Échéancier!$J$5:$J$300,$C$5,Échéancier!$C$5:$C$300,"&gt;="&amp;B185,Échéancier!$C$5:$C$300,"&lt;"&amp;EDATE(B185,1))</f>
        <v>-841.33</v>
      </c>
      <c r="F185" s="33" t="n">
        <f aca="false">-SUMIFS($D$68:$D$106,$E$68:$E$106,$C$5,$C$68:$C$106,"&gt;="&amp;B185,$C$68:$C$106,"&lt;"&amp;EDATE(B185,1))</f>
        <v>-0</v>
      </c>
      <c r="G185" s="33" t="n">
        <f aca="false">SUMIFS(Journal!$K$5:$K$1004,Journal!$C$5:$C$1004,$C$5,Journal!$A$5:$A$1004,"&gt;="&amp;B185,Journal!$A$5:$A$1004,"&lt;"&amp;MIN(EDATE(B185,1),$C$6+1))</f>
        <v>0</v>
      </c>
      <c r="H185" s="33" t="n">
        <f aca="false">IF(B185&lt;=$C$6,0,($C$12-$C$13/12)*(1+$C$14)^(YEAR(B185)-YEAR($C$6)))</f>
        <v>0</v>
      </c>
      <c r="I185" s="33" t="n">
        <f aca="false">SUM(D185:H185)</f>
        <v>206.575292459789</v>
      </c>
      <c r="J185" s="33" t="n">
        <f aca="false">IF(C185&lt;=$C$22,I185,0)</f>
        <v>206.575292459789</v>
      </c>
      <c r="K185" s="33" t="n">
        <f aca="false">IF(C185&lt;=$D$22,I185,0)</f>
        <v>206.575292459789</v>
      </c>
      <c r="L185" s="33" t="n">
        <f aca="false">IF(C185&lt;=$E$22,I185,0)</f>
        <v>206.575292459789</v>
      </c>
    </row>
    <row r="186" customFormat="false" ht="15" hidden="false" customHeight="true" outlineLevel="0" collapsed="false">
      <c r="B186" s="65" t="n">
        <f aca="false">EDATE(B185,1)</f>
        <v>44652</v>
      </c>
      <c r="C186" s="64" t="n">
        <f aca="false">B186+14</f>
        <v>44666</v>
      </c>
      <c r="D186" s="33" t="n">
        <f aca="false">IF(OR($C$9="",B186&gt;=$C$9),0,$C$10*(1+$C$11)^IF(B186&lt;$C$7,0,DATEDIF($C$7,B186,"y"))*MAX(0,MIN(EDATE(B186,1),$C$9)-MAX(B186,$C$7))/(EDATE(B186,1)-B186))</f>
        <v>1047.90529245979</v>
      </c>
      <c r="E186" s="33" t="n">
        <f aca="false">-SUMIFS(Échéancier!$I$5:$I$300,Échéancier!$J$5:$J$300,$C$5,Échéancier!$C$5:$C$300,"&gt;="&amp;B186,Échéancier!$C$5:$C$300,"&lt;"&amp;EDATE(B186,1))</f>
        <v>-841.32</v>
      </c>
      <c r="F186" s="33" t="n">
        <f aca="false">-SUMIFS($D$68:$D$106,$E$68:$E$106,$C$5,$C$68:$C$106,"&gt;="&amp;B186,$C$68:$C$106,"&lt;"&amp;EDATE(B186,1))</f>
        <v>-0</v>
      </c>
      <c r="G186" s="33" t="n">
        <f aca="false">SUMIFS(Journal!$K$5:$K$1004,Journal!$C$5:$C$1004,$C$5,Journal!$A$5:$A$1004,"&gt;="&amp;B186,Journal!$A$5:$A$1004,"&lt;"&amp;MIN(EDATE(B186,1),$C$6+1))</f>
        <v>0</v>
      </c>
      <c r="H186" s="33" t="n">
        <f aca="false">IF(B186&lt;=$C$6,0,($C$12-$C$13/12)*(1+$C$14)^(YEAR(B186)-YEAR($C$6)))</f>
        <v>0</v>
      </c>
      <c r="I186" s="33" t="n">
        <f aca="false">SUM(D186:H186)</f>
        <v>206.585292459789</v>
      </c>
      <c r="J186" s="33" t="n">
        <f aca="false">IF(C186&lt;=$C$22,I186,0)</f>
        <v>206.585292459789</v>
      </c>
      <c r="K186" s="33" t="n">
        <f aca="false">IF(C186&lt;=$D$22,I186,0)</f>
        <v>206.585292459789</v>
      </c>
      <c r="L186" s="33" t="n">
        <f aca="false">IF(C186&lt;=$E$22,I186,0)</f>
        <v>206.585292459789</v>
      </c>
    </row>
    <row r="187" customFormat="false" ht="15" hidden="false" customHeight="true" outlineLevel="0" collapsed="false">
      <c r="B187" s="65" t="n">
        <f aca="false">EDATE(B186,1)</f>
        <v>44682</v>
      </c>
      <c r="C187" s="64" t="n">
        <f aca="false">B187+14</f>
        <v>44696</v>
      </c>
      <c r="D187" s="33" t="n">
        <f aca="false">IF(OR($C$9="",B187&gt;=$C$9),0,$C$10*(1+$C$11)^IF(B187&lt;$C$7,0,DATEDIF($C$7,B187,"y"))*MAX(0,MIN(EDATE(B187,1),$C$9)-MAX(B187,$C$7))/(EDATE(B187,1)-B187))</f>
        <v>1047.90529245979</v>
      </c>
      <c r="E187" s="33" t="n">
        <f aca="false">-SUMIFS(Échéancier!$I$5:$I$300,Échéancier!$J$5:$J$300,$C$5,Échéancier!$C$5:$C$300,"&gt;="&amp;B187,Échéancier!$C$5:$C$300,"&lt;"&amp;EDATE(B187,1))</f>
        <v>-841.32</v>
      </c>
      <c r="F187" s="33" t="n">
        <f aca="false">-SUMIFS($D$68:$D$106,$E$68:$E$106,$C$5,$C$68:$C$106,"&gt;="&amp;B187,$C$68:$C$106,"&lt;"&amp;EDATE(B187,1))</f>
        <v>-0</v>
      </c>
      <c r="G187" s="33" t="n">
        <f aca="false">SUMIFS(Journal!$K$5:$K$1004,Journal!$C$5:$C$1004,$C$5,Journal!$A$5:$A$1004,"&gt;="&amp;B187,Journal!$A$5:$A$1004,"&lt;"&amp;MIN(EDATE(B187,1),$C$6+1))</f>
        <v>0</v>
      </c>
      <c r="H187" s="33" t="n">
        <f aca="false">IF(B187&lt;=$C$6,0,($C$12-$C$13/12)*(1+$C$14)^(YEAR(B187)-YEAR($C$6)))</f>
        <v>0</v>
      </c>
      <c r="I187" s="33" t="n">
        <f aca="false">SUM(D187:H187)</f>
        <v>206.585292459789</v>
      </c>
      <c r="J187" s="33" t="n">
        <f aca="false">IF(C187&lt;=$C$22,I187,0)</f>
        <v>206.585292459789</v>
      </c>
      <c r="K187" s="33" t="n">
        <f aca="false">IF(C187&lt;=$D$22,I187,0)</f>
        <v>206.585292459789</v>
      </c>
      <c r="L187" s="33" t="n">
        <f aca="false">IF(C187&lt;=$E$22,I187,0)</f>
        <v>206.585292459789</v>
      </c>
    </row>
    <row r="188" customFormat="false" ht="15" hidden="false" customHeight="true" outlineLevel="0" collapsed="false">
      <c r="B188" s="65" t="n">
        <f aca="false">EDATE(B187,1)</f>
        <v>44713</v>
      </c>
      <c r="C188" s="64" t="n">
        <f aca="false">B188+14</f>
        <v>44727</v>
      </c>
      <c r="D188" s="33" t="n">
        <f aca="false">IF(OR($C$9="",B188&gt;=$C$9),0,$C$10*(1+$C$11)^IF(B188&lt;$C$7,0,DATEDIF($C$7,B188,"y"))*MAX(0,MIN(EDATE(B188,1),$C$9)-MAX(B188,$C$7))/(EDATE(B188,1)-B188))</f>
        <v>1047.90529245979</v>
      </c>
      <c r="E188" s="33" t="n">
        <f aca="false">-SUMIFS(Échéancier!$I$5:$I$300,Échéancier!$J$5:$J$300,$C$5,Échéancier!$C$5:$C$300,"&gt;="&amp;B188,Échéancier!$C$5:$C$300,"&lt;"&amp;EDATE(B188,1))</f>
        <v>-841.32</v>
      </c>
      <c r="F188" s="33" t="n">
        <f aca="false">-SUMIFS($D$68:$D$106,$E$68:$E$106,$C$5,$C$68:$C$106,"&gt;="&amp;B188,$C$68:$C$106,"&lt;"&amp;EDATE(B188,1))</f>
        <v>-0</v>
      </c>
      <c r="G188" s="33" t="n">
        <f aca="false">SUMIFS(Journal!$K$5:$K$1004,Journal!$C$5:$C$1004,$C$5,Journal!$A$5:$A$1004,"&gt;="&amp;B188,Journal!$A$5:$A$1004,"&lt;"&amp;MIN(EDATE(B188,1),$C$6+1))</f>
        <v>0</v>
      </c>
      <c r="H188" s="33" t="n">
        <f aca="false">IF(B188&lt;=$C$6,0,($C$12-$C$13/12)*(1+$C$14)^(YEAR(B188)-YEAR($C$6)))</f>
        <v>0</v>
      </c>
      <c r="I188" s="33" t="n">
        <f aca="false">SUM(D188:H188)</f>
        <v>206.585292459789</v>
      </c>
      <c r="J188" s="33" t="n">
        <f aca="false">IF(C188&lt;=$C$22,I188,0)</f>
        <v>206.585292459789</v>
      </c>
      <c r="K188" s="33" t="n">
        <f aca="false">IF(C188&lt;=$D$22,I188,0)</f>
        <v>206.585292459789</v>
      </c>
      <c r="L188" s="33" t="n">
        <f aca="false">IF(C188&lt;=$E$22,I188,0)</f>
        <v>206.585292459789</v>
      </c>
    </row>
    <row r="189" customFormat="false" ht="15" hidden="false" customHeight="true" outlineLevel="0" collapsed="false">
      <c r="B189" s="65" t="n">
        <f aca="false">EDATE(B188,1)</f>
        <v>44743</v>
      </c>
      <c r="C189" s="64" t="n">
        <f aca="false">B189+14</f>
        <v>44757</v>
      </c>
      <c r="D189" s="33" t="n">
        <f aca="false">IF(OR($C$9="",B189&gt;=$C$9),0,$C$10*(1+$C$11)^IF(B189&lt;$C$7,0,DATEDIF($C$7,B189,"y"))*MAX(0,MIN(EDATE(B189,1),$C$9)-MAX(B189,$C$7))/(EDATE(B189,1)-B189))</f>
        <v>1047.90529245979</v>
      </c>
      <c r="E189" s="33" t="n">
        <f aca="false">-SUMIFS(Échéancier!$I$5:$I$300,Échéancier!$J$5:$J$300,$C$5,Échéancier!$C$5:$C$300,"&gt;="&amp;B189,Échéancier!$C$5:$C$300,"&lt;"&amp;EDATE(B189,1))</f>
        <v>-841.33</v>
      </c>
      <c r="F189" s="33" t="n">
        <f aca="false">-SUMIFS($D$68:$D$106,$E$68:$E$106,$C$5,$C$68:$C$106,"&gt;="&amp;B189,$C$68:$C$106,"&lt;"&amp;EDATE(B189,1))</f>
        <v>-1953</v>
      </c>
      <c r="G189" s="33" t="n">
        <f aca="false">SUMIFS(Journal!$K$5:$K$1004,Journal!$C$5:$C$1004,$C$5,Journal!$A$5:$A$1004,"&gt;="&amp;B189,Journal!$A$5:$A$1004,"&lt;"&amp;MIN(EDATE(B189,1),$C$6+1))</f>
        <v>0</v>
      </c>
      <c r="H189" s="33" t="n">
        <f aca="false">IF(B189&lt;=$C$6,0,($C$12-$C$13/12)*(1+$C$14)^(YEAR(B189)-YEAR($C$6)))</f>
        <v>0</v>
      </c>
      <c r="I189" s="33" t="n">
        <f aca="false">SUM(D189:H189)</f>
        <v>-1746.42470754021</v>
      </c>
      <c r="J189" s="33" t="n">
        <f aca="false">IF(C189&lt;=$C$22,I189,0)</f>
        <v>-1746.42470754021</v>
      </c>
      <c r="K189" s="33" t="n">
        <f aca="false">IF(C189&lt;=$D$22,I189,0)</f>
        <v>-1746.42470754021</v>
      </c>
      <c r="L189" s="33" t="n">
        <f aca="false">IF(C189&lt;=$E$22,I189,0)</f>
        <v>-1746.42470754021</v>
      </c>
    </row>
    <row r="190" customFormat="false" ht="15" hidden="false" customHeight="true" outlineLevel="0" collapsed="false">
      <c r="B190" s="65" t="n">
        <f aca="false">EDATE(B189,1)</f>
        <v>44774</v>
      </c>
      <c r="C190" s="64" t="n">
        <f aca="false">B190+14</f>
        <v>44788</v>
      </c>
      <c r="D190" s="33" t="n">
        <f aca="false">IF(OR($C$9="",B190&gt;=$C$9),0,$C$10*(1+$C$11)^IF(B190&lt;$C$7,0,DATEDIF($C$7,B190,"y"))*MAX(0,MIN(EDATE(B190,1),$C$9)-MAX(B190,$C$7))/(EDATE(B190,1)-B190))</f>
        <v>1047.90529245979</v>
      </c>
      <c r="E190" s="33" t="n">
        <f aca="false">-SUMIFS(Échéancier!$I$5:$I$300,Échéancier!$J$5:$J$300,$C$5,Échéancier!$C$5:$C$300,"&gt;="&amp;B190,Échéancier!$C$5:$C$300,"&lt;"&amp;EDATE(B190,1))</f>
        <v>-841.33</v>
      </c>
      <c r="F190" s="33" t="n">
        <f aca="false">-SUMIFS($D$68:$D$106,$E$68:$E$106,$C$5,$C$68:$C$106,"&gt;="&amp;B190,$C$68:$C$106,"&lt;"&amp;EDATE(B190,1))</f>
        <v>-0</v>
      </c>
      <c r="G190" s="33" t="n">
        <f aca="false">SUMIFS(Journal!$K$5:$K$1004,Journal!$C$5:$C$1004,$C$5,Journal!$A$5:$A$1004,"&gt;="&amp;B190,Journal!$A$5:$A$1004,"&lt;"&amp;MIN(EDATE(B190,1),$C$6+1))</f>
        <v>0</v>
      </c>
      <c r="H190" s="33" t="n">
        <f aca="false">IF(B190&lt;=$C$6,0,($C$12-$C$13/12)*(1+$C$14)^(YEAR(B190)-YEAR($C$6)))</f>
        <v>0</v>
      </c>
      <c r="I190" s="33" t="n">
        <f aca="false">SUM(D190:H190)</f>
        <v>206.575292459789</v>
      </c>
      <c r="J190" s="33" t="n">
        <f aca="false">IF(C190&lt;=$C$22,I190,0)</f>
        <v>206.575292459789</v>
      </c>
      <c r="K190" s="33" t="n">
        <f aca="false">IF(C190&lt;=$D$22,I190,0)</f>
        <v>206.575292459789</v>
      </c>
      <c r="L190" s="33" t="n">
        <f aca="false">IF(C190&lt;=$E$22,I190,0)</f>
        <v>206.575292459789</v>
      </c>
    </row>
    <row r="191" customFormat="false" ht="15" hidden="false" customHeight="true" outlineLevel="0" collapsed="false">
      <c r="B191" s="65" t="n">
        <f aca="false">EDATE(B190,1)</f>
        <v>44805</v>
      </c>
      <c r="C191" s="64" t="n">
        <f aca="false">B191+14</f>
        <v>44819</v>
      </c>
      <c r="D191" s="33" t="n">
        <f aca="false">IF(OR($C$9="",B191&gt;=$C$9),0,$C$10*(1+$C$11)^IF(B191&lt;$C$7,0,DATEDIF($C$7,B191,"y"))*MAX(0,MIN(EDATE(B191,1),$C$9)-MAX(B191,$C$7))/(EDATE(B191,1)-B191))</f>
        <v>1047.90529245979</v>
      </c>
      <c r="E191" s="33" t="n">
        <f aca="false">-SUMIFS(Échéancier!$I$5:$I$300,Échéancier!$J$5:$J$300,$C$5,Échéancier!$C$5:$C$300,"&gt;="&amp;B191,Échéancier!$C$5:$C$300,"&lt;"&amp;EDATE(B191,1))</f>
        <v>-841.33</v>
      </c>
      <c r="F191" s="33" t="n">
        <f aca="false">-SUMIFS($D$68:$D$106,$E$68:$E$106,$C$5,$C$68:$C$106,"&gt;="&amp;B191,$C$68:$C$106,"&lt;"&amp;EDATE(B191,1))</f>
        <v>-0</v>
      </c>
      <c r="G191" s="33" t="n">
        <f aca="false">SUMIFS(Journal!$K$5:$K$1004,Journal!$C$5:$C$1004,$C$5,Journal!$A$5:$A$1004,"&gt;="&amp;B191,Journal!$A$5:$A$1004,"&lt;"&amp;MIN(EDATE(B191,1),$C$6+1))</f>
        <v>0</v>
      </c>
      <c r="H191" s="33" t="n">
        <f aca="false">IF(B191&lt;=$C$6,0,($C$12-$C$13/12)*(1+$C$14)^(YEAR(B191)-YEAR($C$6)))</f>
        <v>0</v>
      </c>
      <c r="I191" s="33" t="n">
        <f aca="false">SUM(D191:H191)</f>
        <v>206.575292459789</v>
      </c>
      <c r="J191" s="33" t="n">
        <f aca="false">IF(C191&lt;=$C$22,I191,0)</f>
        <v>206.575292459789</v>
      </c>
      <c r="K191" s="33" t="n">
        <f aca="false">IF(C191&lt;=$D$22,I191,0)</f>
        <v>206.575292459789</v>
      </c>
      <c r="L191" s="33" t="n">
        <f aca="false">IF(C191&lt;=$E$22,I191,0)</f>
        <v>206.575292459789</v>
      </c>
    </row>
    <row r="192" customFormat="false" ht="15" hidden="false" customHeight="true" outlineLevel="0" collapsed="false">
      <c r="B192" s="65" t="n">
        <f aca="false">EDATE(B191,1)</f>
        <v>44835</v>
      </c>
      <c r="C192" s="64" t="n">
        <f aca="false">B192+14</f>
        <v>44849</v>
      </c>
      <c r="D192" s="33" t="n">
        <f aca="false">IF(OR($C$9="",B192&gt;=$C$9),0,$C$10*(1+$C$11)^IF(B192&lt;$C$7,0,DATEDIF($C$7,B192,"y"))*MAX(0,MIN(EDATE(B192,1),$C$9)-MAX(B192,$C$7))/(EDATE(B192,1)-B192))</f>
        <v>1047.90529245979</v>
      </c>
      <c r="E192" s="33" t="n">
        <f aca="false">-SUMIFS(Échéancier!$I$5:$I$300,Échéancier!$J$5:$J$300,$C$5,Échéancier!$C$5:$C$300,"&gt;="&amp;B192,Échéancier!$C$5:$C$300,"&lt;"&amp;EDATE(B192,1))</f>
        <v>-841.33</v>
      </c>
      <c r="F192" s="33" t="n">
        <f aca="false">-SUMIFS($D$68:$D$106,$E$68:$E$106,$C$5,$C$68:$C$106,"&gt;="&amp;B192,$C$68:$C$106,"&lt;"&amp;EDATE(B192,1))</f>
        <v>-462.21</v>
      </c>
      <c r="G192" s="33" t="n">
        <f aca="false">SUMIFS(Journal!$K$5:$K$1004,Journal!$C$5:$C$1004,$C$5,Journal!$A$5:$A$1004,"&gt;="&amp;B192,Journal!$A$5:$A$1004,"&lt;"&amp;MIN(EDATE(B192,1),$C$6+1))</f>
        <v>0</v>
      </c>
      <c r="H192" s="33" t="n">
        <f aca="false">IF(B192&lt;=$C$6,0,($C$12-$C$13/12)*(1+$C$14)^(YEAR(B192)-YEAR($C$6)))</f>
        <v>0</v>
      </c>
      <c r="I192" s="33" t="n">
        <f aca="false">SUM(D192:H192)</f>
        <v>-255.634707540211</v>
      </c>
      <c r="J192" s="33" t="n">
        <f aca="false">IF(C192&lt;=$C$22,I192,0)</f>
        <v>-255.634707540211</v>
      </c>
      <c r="K192" s="33" t="n">
        <f aca="false">IF(C192&lt;=$D$22,I192,0)</f>
        <v>-255.634707540211</v>
      </c>
      <c r="L192" s="33" t="n">
        <f aca="false">IF(C192&lt;=$E$22,I192,0)</f>
        <v>-255.634707540211</v>
      </c>
    </row>
    <row r="193" customFormat="false" ht="15" hidden="false" customHeight="true" outlineLevel="0" collapsed="false">
      <c r="B193" s="65" t="n">
        <f aca="false">EDATE(B192,1)</f>
        <v>44866</v>
      </c>
      <c r="C193" s="64" t="n">
        <f aca="false">B193+14</f>
        <v>44880</v>
      </c>
      <c r="D193" s="33" t="n">
        <f aca="false">IF(OR($C$9="",B193&gt;=$C$9),0,$C$10*(1+$C$11)^IF(B193&lt;$C$7,0,DATEDIF($C$7,B193,"y"))*MAX(0,MIN(EDATE(B193,1),$C$9)-MAX(B193,$C$7))/(EDATE(B193,1)-B193))</f>
        <v>1047.90529245979</v>
      </c>
      <c r="E193" s="33" t="n">
        <f aca="false">-SUMIFS(Échéancier!$I$5:$I$300,Échéancier!$J$5:$J$300,$C$5,Échéancier!$C$5:$C$300,"&gt;="&amp;B193,Échéancier!$C$5:$C$300,"&lt;"&amp;EDATE(B193,1))</f>
        <v>-841.32</v>
      </c>
      <c r="F193" s="33" t="n">
        <f aca="false">-SUMIFS($D$68:$D$106,$E$68:$E$106,$C$5,$C$68:$C$106,"&gt;="&amp;B193,$C$68:$C$106,"&lt;"&amp;EDATE(B193,1))</f>
        <v>-0</v>
      </c>
      <c r="G193" s="33" t="n">
        <f aca="false">SUMIFS(Journal!$K$5:$K$1004,Journal!$C$5:$C$1004,$C$5,Journal!$A$5:$A$1004,"&gt;="&amp;B193,Journal!$A$5:$A$1004,"&lt;"&amp;MIN(EDATE(B193,1),$C$6+1))</f>
        <v>0</v>
      </c>
      <c r="H193" s="33" t="n">
        <f aca="false">IF(B193&lt;=$C$6,0,($C$12-$C$13/12)*(1+$C$14)^(YEAR(B193)-YEAR($C$6)))</f>
        <v>0</v>
      </c>
      <c r="I193" s="33" t="n">
        <f aca="false">SUM(D193:H193)</f>
        <v>206.585292459789</v>
      </c>
      <c r="J193" s="33" t="n">
        <f aca="false">IF(C193&lt;=$C$22,I193,0)</f>
        <v>206.585292459789</v>
      </c>
      <c r="K193" s="33" t="n">
        <f aca="false">IF(C193&lt;=$D$22,I193,0)</f>
        <v>206.585292459789</v>
      </c>
      <c r="L193" s="33" t="n">
        <f aca="false">IF(C193&lt;=$E$22,I193,0)</f>
        <v>206.585292459789</v>
      </c>
    </row>
    <row r="194" customFormat="false" ht="15" hidden="false" customHeight="true" outlineLevel="0" collapsed="false">
      <c r="B194" s="65" t="n">
        <f aca="false">EDATE(B193,1)</f>
        <v>44896</v>
      </c>
      <c r="C194" s="64" t="n">
        <f aca="false">B194+14</f>
        <v>44910</v>
      </c>
      <c r="D194" s="33" t="n">
        <f aca="false">IF(OR($C$9="",B194&gt;=$C$9),0,$C$10*(1+$C$11)^IF(B194&lt;$C$7,0,DATEDIF($C$7,B194,"y"))*MAX(0,MIN(EDATE(B194,1),$C$9)-MAX(B194,$C$7))/(EDATE(B194,1)-B194))</f>
        <v>1066.55800666557</v>
      </c>
      <c r="E194" s="33" t="n">
        <f aca="false">-SUMIFS(Échéancier!$I$5:$I$300,Échéancier!$J$5:$J$300,$C$5,Échéancier!$C$5:$C$300,"&gt;="&amp;B194,Échéancier!$C$5:$C$300,"&lt;"&amp;EDATE(B194,1))</f>
        <v>-841.32</v>
      </c>
      <c r="F194" s="33" t="n">
        <f aca="false">-SUMIFS($D$68:$D$106,$E$68:$E$106,$C$5,$C$68:$C$106,"&gt;="&amp;B194,$C$68:$C$106,"&lt;"&amp;EDATE(B194,1))</f>
        <v>-696.94</v>
      </c>
      <c r="G194" s="33" t="n">
        <f aca="false">SUMIFS(Journal!$K$5:$K$1004,Journal!$C$5:$C$1004,$C$5,Journal!$A$5:$A$1004,"&gt;="&amp;B194,Journal!$A$5:$A$1004,"&lt;"&amp;MIN(EDATE(B194,1),$C$6+1))</f>
        <v>0</v>
      </c>
      <c r="H194" s="33" t="n">
        <f aca="false">IF(B194&lt;=$C$6,0,($C$12-$C$13/12)*(1+$C$14)^(YEAR(B194)-YEAR($C$6)))</f>
        <v>0</v>
      </c>
      <c r="I194" s="33" t="n">
        <f aca="false">SUM(D194:H194)</f>
        <v>-471.701993334426</v>
      </c>
      <c r="J194" s="33" t="n">
        <f aca="false">IF(C194&lt;=$C$22,I194,0)</f>
        <v>-471.701993334426</v>
      </c>
      <c r="K194" s="33" t="n">
        <f aca="false">IF(C194&lt;=$D$22,I194,0)</f>
        <v>-471.701993334426</v>
      </c>
      <c r="L194" s="33" t="n">
        <f aca="false">IF(C194&lt;=$E$22,I194,0)</f>
        <v>-471.701993334426</v>
      </c>
    </row>
    <row r="195" customFormat="false" ht="15" hidden="false" customHeight="true" outlineLevel="0" collapsed="false">
      <c r="B195" s="65" t="n">
        <f aca="false">EDATE(B194,1)</f>
        <v>44927</v>
      </c>
      <c r="C195" s="64" t="n">
        <f aca="false">B195+14</f>
        <v>44941</v>
      </c>
      <c r="D195" s="33" t="n">
        <f aca="false">IF(OR($C$9="",B195&gt;=$C$9),0,$C$10*(1+$C$11)^IF(B195&lt;$C$7,0,DATEDIF($C$7,B195,"y"))*MAX(0,MIN(EDATE(B195,1),$C$9)-MAX(B195,$C$7))/(EDATE(B195,1)-B195))</f>
        <v>1066.55800666557</v>
      </c>
      <c r="E195" s="33" t="n">
        <f aca="false">-SUMIFS(Échéancier!$I$5:$I$300,Échéancier!$J$5:$J$300,$C$5,Échéancier!$C$5:$C$300,"&gt;="&amp;B195,Échéancier!$C$5:$C$300,"&lt;"&amp;EDATE(B195,1))</f>
        <v>-841.32</v>
      </c>
      <c r="F195" s="33" t="n">
        <f aca="false">-SUMIFS($D$68:$D$106,$E$68:$E$106,$C$5,$C$68:$C$106,"&gt;="&amp;B195,$C$68:$C$106,"&lt;"&amp;EDATE(B195,1))</f>
        <v>-0</v>
      </c>
      <c r="G195" s="33" t="n">
        <f aca="false">SUMIFS(Journal!$K$5:$K$1004,Journal!$C$5:$C$1004,$C$5,Journal!$A$5:$A$1004,"&gt;="&amp;B195,Journal!$A$5:$A$1004,"&lt;"&amp;MIN(EDATE(B195,1),$C$6+1))</f>
        <v>0</v>
      </c>
      <c r="H195" s="33" t="n">
        <f aca="false">IF(B195&lt;=$C$6,0,($C$12-$C$13/12)*(1+$C$14)^(YEAR(B195)-YEAR($C$6)))</f>
        <v>0</v>
      </c>
      <c r="I195" s="33" t="n">
        <f aca="false">SUM(D195:H195)</f>
        <v>225.238006665574</v>
      </c>
      <c r="J195" s="33" t="n">
        <f aca="false">IF(C195&lt;=$C$22,I195,0)</f>
        <v>225.238006665574</v>
      </c>
      <c r="K195" s="33" t="n">
        <f aca="false">IF(C195&lt;=$D$22,I195,0)</f>
        <v>225.238006665574</v>
      </c>
      <c r="L195" s="33" t="n">
        <f aca="false">IF(C195&lt;=$E$22,I195,0)</f>
        <v>225.238006665574</v>
      </c>
    </row>
    <row r="196" customFormat="false" ht="15" hidden="false" customHeight="true" outlineLevel="0" collapsed="false">
      <c r="B196" s="65" t="n">
        <f aca="false">EDATE(B195,1)</f>
        <v>44958</v>
      </c>
      <c r="C196" s="64" t="n">
        <f aca="false">B196+14</f>
        <v>44972</v>
      </c>
      <c r="D196" s="33" t="n">
        <f aca="false">IF(OR($C$9="",B196&gt;=$C$9),0,$C$10*(1+$C$11)^IF(B196&lt;$C$7,0,DATEDIF($C$7,B196,"y"))*MAX(0,MIN(EDATE(B196,1),$C$9)-MAX(B196,$C$7))/(EDATE(B196,1)-B196))</f>
        <v>1066.55800666557</v>
      </c>
      <c r="E196" s="33" t="n">
        <f aca="false">-SUMIFS(Échéancier!$I$5:$I$300,Échéancier!$J$5:$J$300,$C$5,Échéancier!$C$5:$C$300,"&gt;="&amp;B196,Échéancier!$C$5:$C$300,"&lt;"&amp;EDATE(B196,1))</f>
        <v>-841.33</v>
      </c>
      <c r="F196" s="33" t="n">
        <f aca="false">-SUMIFS($D$68:$D$106,$E$68:$E$106,$C$5,$C$68:$C$106,"&gt;="&amp;B196,$C$68:$C$106,"&lt;"&amp;EDATE(B196,1))</f>
        <v>-0</v>
      </c>
      <c r="G196" s="33" t="n">
        <f aca="false">SUMIFS(Journal!$K$5:$K$1004,Journal!$C$5:$C$1004,$C$5,Journal!$A$5:$A$1004,"&gt;="&amp;B196,Journal!$A$5:$A$1004,"&lt;"&amp;MIN(EDATE(B196,1),$C$6+1))</f>
        <v>0</v>
      </c>
      <c r="H196" s="33" t="n">
        <f aca="false">IF(B196&lt;=$C$6,0,($C$12-$C$13/12)*(1+$C$14)^(YEAR(B196)-YEAR($C$6)))</f>
        <v>0</v>
      </c>
      <c r="I196" s="33" t="n">
        <f aca="false">SUM(D196:H196)</f>
        <v>225.228006665574</v>
      </c>
      <c r="J196" s="33" t="n">
        <f aca="false">IF(C196&lt;=$C$22,I196,0)</f>
        <v>225.228006665574</v>
      </c>
      <c r="K196" s="33" t="n">
        <f aca="false">IF(C196&lt;=$D$22,I196,0)</f>
        <v>225.228006665574</v>
      </c>
      <c r="L196" s="33" t="n">
        <f aca="false">IF(C196&lt;=$E$22,I196,0)</f>
        <v>225.228006665574</v>
      </c>
    </row>
    <row r="197" customFormat="false" ht="15" hidden="false" customHeight="true" outlineLevel="0" collapsed="false">
      <c r="B197" s="65" t="n">
        <f aca="false">EDATE(B196,1)</f>
        <v>44986</v>
      </c>
      <c r="C197" s="64" t="n">
        <f aca="false">B197+14</f>
        <v>45000</v>
      </c>
      <c r="D197" s="33" t="n">
        <f aca="false">IF(OR($C$9="",B197&gt;=$C$9),0,$C$10*(1+$C$11)^IF(B197&lt;$C$7,0,DATEDIF($C$7,B197,"y"))*MAX(0,MIN(EDATE(B197,1),$C$9)-MAX(B197,$C$7))/(EDATE(B197,1)-B197))</f>
        <v>1066.55800666557</v>
      </c>
      <c r="E197" s="33" t="n">
        <f aca="false">-SUMIFS(Échéancier!$I$5:$I$300,Échéancier!$J$5:$J$300,$C$5,Échéancier!$C$5:$C$300,"&gt;="&amp;B197,Échéancier!$C$5:$C$300,"&lt;"&amp;EDATE(B197,1))</f>
        <v>-841.33</v>
      </c>
      <c r="F197" s="33" t="n">
        <f aca="false">-SUMIFS($D$68:$D$106,$E$68:$E$106,$C$5,$C$68:$C$106,"&gt;="&amp;B197,$C$68:$C$106,"&lt;"&amp;EDATE(B197,1))</f>
        <v>-631</v>
      </c>
      <c r="G197" s="33" t="n">
        <f aca="false">SUMIFS(Journal!$K$5:$K$1004,Journal!$C$5:$C$1004,$C$5,Journal!$A$5:$A$1004,"&gt;="&amp;B197,Journal!$A$5:$A$1004,"&lt;"&amp;MIN(EDATE(B197,1),$C$6+1))</f>
        <v>0</v>
      </c>
      <c r="H197" s="33" t="n">
        <f aca="false">IF(B197&lt;=$C$6,0,($C$12-$C$13/12)*(1+$C$14)^(YEAR(B197)-YEAR($C$6)))</f>
        <v>0</v>
      </c>
      <c r="I197" s="33" t="n">
        <f aca="false">SUM(D197:H197)</f>
        <v>-405.771993334426</v>
      </c>
      <c r="J197" s="33" t="n">
        <f aca="false">IF(C197&lt;=$C$22,I197,0)</f>
        <v>-405.771993334426</v>
      </c>
      <c r="K197" s="33" t="n">
        <f aca="false">IF(C197&lt;=$D$22,I197,0)</f>
        <v>-405.771993334426</v>
      </c>
      <c r="L197" s="33" t="n">
        <f aca="false">IF(C197&lt;=$E$22,I197,0)</f>
        <v>-405.771993334426</v>
      </c>
    </row>
    <row r="198" customFormat="false" ht="15" hidden="false" customHeight="true" outlineLevel="0" collapsed="false">
      <c r="B198" s="65" t="n">
        <f aca="false">EDATE(B197,1)</f>
        <v>45017</v>
      </c>
      <c r="C198" s="64" t="n">
        <f aca="false">B198+14</f>
        <v>45031</v>
      </c>
      <c r="D198" s="33" t="n">
        <f aca="false">IF(OR($C$9="",B198&gt;=$C$9),0,$C$10*(1+$C$11)^IF(B198&lt;$C$7,0,DATEDIF($C$7,B198,"y"))*MAX(0,MIN(EDATE(B198,1),$C$9)-MAX(B198,$C$7))/(EDATE(B198,1)-B198))</f>
        <v>1066.55800666557</v>
      </c>
      <c r="E198" s="33" t="n">
        <f aca="false">-SUMIFS(Échéancier!$I$5:$I$300,Échéancier!$J$5:$J$300,$C$5,Échéancier!$C$5:$C$300,"&gt;="&amp;B198,Échéancier!$C$5:$C$300,"&lt;"&amp;EDATE(B198,1))</f>
        <v>-841.33</v>
      </c>
      <c r="F198" s="33" t="n">
        <f aca="false">-SUMIFS($D$68:$D$106,$E$68:$E$106,$C$5,$C$68:$C$106,"&gt;="&amp;B198,$C$68:$C$106,"&lt;"&amp;EDATE(B198,1))</f>
        <v>-197.85</v>
      </c>
      <c r="G198" s="33" t="n">
        <f aca="false">SUMIFS(Journal!$K$5:$K$1004,Journal!$C$5:$C$1004,$C$5,Journal!$A$5:$A$1004,"&gt;="&amp;B198,Journal!$A$5:$A$1004,"&lt;"&amp;MIN(EDATE(B198,1),$C$6+1))</f>
        <v>0</v>
      </c>
      <c r="H198" s="33" t="n">
        <f aca="false">IF(B198&lt;=$C$6,0,($C$12-$C$13/12)*(1+$C$14)^(YEAR(B198)-YEAR($C$6)))</f>
        <v>0</v>
      </c>
      <c r="I198" s="33" t="n">
        <f aca="false">SUM(D198:H198)</f>
        <v>27.3780066655739</v>
      </c>
      <c r="J198" s="33" t="n">
        <f aca="false">IF(C198&lt;=$C$22,I198,0)</f>
        <v>27.3780066655739</v>
      </c>
      <c r="K198" s="33" t="n">
        <f aca="false">IF(C198&lt;=$D$22,I198,0)</f>
        <v>27.3780066655739</v>
      </c>
      <c r="L198" s="33" t="n">
        <f aca="false">IF(C198&lt;=$E$22,I198,0)</f>
        <v>27.3780066655739</v>
      </c>
    </row>
    <row r="199" customFormat="false" ht="15" hidden="false" customHeight="true" outlineLevel="0" collapsed="false">
      <c r="B199" s="65" t="n">
        <f aca="false">EDATE(B198,1)</f>
        <v>45047</v>
      </c>
      <c r="C199" s="64" t="n">
        <f aca="false">B199+14</f>
        <v>45061</v>
      </c>
      <c r="D199" s="33" t="n">
        <f aca="false">IF(OR($C$9="",B199&gt;=$C$9),0,$C$10*(1+$C$11)^IF(B199&lt;$C$7,0,DATEDIF($C$7,B199,"y"))*MAX(0,MIN(EDATE(B199,1),$C$9)-MAX(B199,$C$7))/(EDATE(B199,1)-B199))</f>
        <v>1066.55800666557</v>
      </c>
      <c r="E199" s="33" t="n">
        <f aca="false">-SUMIFS(Échéancier!$I$5:$I$300,Échéancier!$J$5:$J$300,$C$5,Échéancier!$C$5:$C$300,"&gt;="&amp;B199,Échéancier!$C$5:$C$300,"&lt;"&amp;EDATE(B199,1))</f>
        <v>-841.32</v>
      </c>
      <c r="F199" s="33" t="n">
        <f aca="false">-SUMIFS($D$68:$D$106,$E$68:$E$106,$C$5,$C$68:$C$106,"&gt;="&amp;B199,$C$68:$C$106,"&lt;"&amp;EDATE(B199,1))</f>
        <v>-0</v>
      </c>
      <c r="G199" s="33" t="n">
        <f aca="false">SUMIFS(Journal!$K$5:$K$1004,Journal!$C$5:$C$1004,$C$5,Journal!$A$5:$A$1004,"&gt;="&amp;B199,Journal!$A$5:$A$1004,"&lt;"&amp;MIN(EDATE(B199,1),$C$6+1))</f>
        <v>0</v>
      </c>
      <c r="H199" s="33" t="n">
        <f aca="false">IF(B199&lt;=$C$6,0,($C$12-$C$13/12)*(1+$C$14)^(YEAR(B199)-YEAR($C$6)))</f>
        <v>0</v>
      </c>
      <c r="I199" s="33" t="n">
        <f aca="false">SUM(D199:H199)</f>
        <v>225.238006665574</v>
      </c>
      <c r="J199" s="33" t="n">
        <f aca="false">IF(C199&lt;=$C$22,I199,0)</f>
        <v>225.238006665574</v>
      </c>
      <c r="K199" s="33" t="n">
        <f aca="false">IF(C199&lt;=$D$22,I199,0)</f>
        <v>225.238006665574</v>
      </c>
      <c r="L199" s="33" t="n">
        <f aca="false">IF(C199&lt;=$E$22,I199,0)</f>
        <v>225.238006665574</v>
      </c>
    </row>
    <row r="200" customFormat="false" ht="15" hidden="false" customHeight="true" outlineLevel="0" collapsed="false">
      <c r="B200" s="65" t="n">
        <f aca="false">EDATE(B199,1)</f>
        <v>45078</v>
      </c>
      <c r="C200" s="64" t="n">
        <f aca="false">B200+14</f>
        <v>45092</v>
      </c>
      <c r="D200" s="33" t="n">
        <f aca="false">IF(OR($C$9="",B200&gt;=$C$9),0,$C$10*(1+$C$11)^IF(B200&lt;$C$7,0,DATEDIF($C$7,B200,"y"))*MAX(0,MIN(EDATE(B200,1),$C$9)-MAX(B200,$C$7))/(EDATE(B200,1)-B200))</f>
        <v>1066.55800666557</v>
      </c>
      <c r="E200" s="33" t="n">
        <f aca="false">-SUMIFS(Échéancier!$I$5:$I$300,Échéancier!$J$5:$J$300,$C$5,Échéancier!$C$5:$C$300,"&gt;="&amp;B200,Échéancier!$C$5:$C$300,"&lt;"&amp;EDATE(B200,1))</f>
        <v>-841.32</v>
      </c>
      <c r="F200" s="33" t="n">
        <f aca="false">-SUMIFS($D$68:$D$106,$E$68:$E$106,$C$5,$C$68:$C$106,"&gt;="&amp;B200,$C$68:$C$106,"&lt;"&amp;EDATE(B200,1))</f>
        <v>-433.14</v>
      </c>
      <c r="G200" s="33" t="n">
        <f aca="false">SUMIFS(Journal!$K$5:$K$1004,Journal!$C$5:$C$1004,$C$5,Journal!$A$5:$A$1004,"&gt;="&amp;B200,Journal!$A$5:$A$1004,"&lt;"&amp;MIN(EDATE(B200,1),$C$6+1))</f>
        <v>0</v>
      </c>
      <c r="H200" s="33" t="n">
        <f aca="false">IF(B200&lt;=$C$6,0,($C$12-$C$13/12)*(1+$C$14)^(YEAR(B200)-YEAR($C$6)))</f>
        <v>0</v>
      </c>
      <c r="I200" s="33" t="n">
        <f aca="false">SUM(D200:H200)</f>
        <v>-207.901993334426</v>
      </c>
      <c r="J200" s="33" t="n">
        <f aca="false">IF(C200&lt;=$C$22,I200,0)</f>
        <v>-207.901993334426</v>
      </c>
      <c r="K200" s="33" t="n">
        <f aca="false">IF(C200&lt;=$D$22,I200,0)</f>
        <v>-207.901993334426</v>
      </c>
      <c r="L200" s="33" t="n">
        <f aca="false">IF(C200&lt;=$E$22,I200,0)</f>
        <v>-207.901993334426</v>
      </c>
    </row>
    <row r="201" customFormat="false" ht="15" hidden="false" customHeight="true" outlineLevel="0" collapsed="false">
      <c r="B201" s="65" t="n">
        <f aca="false">EDATE(B200,1)</f>
        <v>45108</v>
      </c>
      <c r="C201" s="64" t="n">
        <f aca="false">B201+14</f>
        <v>45122</v>
      </c>
      <c r="D201" s="33" t="n">
        <f aca="false">IF(OR($C$9="",B201&gt;=$C$9),0,$C$10*(1+$C$11)^IF(B201&lt;$C$7,0,DATEDIF($C$7,B201,"y"))*MAX(0,MIN(EDATE(B201,1),$C$9)-MAX(B201,$C$7))/(EDATE(B201,1)-B201))</f>
        <v>1066.55800666557</v>
      </c>
      <c r="E201" s="33" t="n">
        <f aca="false">-SUMIFS(Échéancier!$I$5:$I$300,Échéancier!$J$5:$J$300,$C$5,Échéancier!$C$5:$C$300,"&gt;="&amp;B201,Échéancier!$C$5:$C$300,"&lt;"&amp;EDATE(B201,1))</f>
        <v>-841.33</v>
      </c>
      <c r="F201" s="33" t="n">
        <f aca="false">-SUMIFS($D$68:$D$106,$E$68:$E$106,$C$5,$C$68:$C$106,"&gt;="&amp;B201,$C$68:$C$106,"&lt;"&amp;EDATE(B201,1))</f>
        <v>-0</v>
      </c>
      <c r="G201" s="33" t="n">
        <f aca="false">SUMIFS(Journal!$K$5:$K$1004,Journal!$C$5:$C$1004,$C$5,Journal!$A$5:$A$1004,"&gt;="&amp;B201,Journal!$A$5:$A$1004,"&lt;"&amp;MIN(EDATE(B201,1),$C$6+1))</f>
        <v>0</v>
      </c>
      <c r="H201" s="33" t="n">
        <f aca="false">IF(B201&lt;=$C$6,0,($C$12-$C$13/12)*(1+$C$14)^(YEAR(B201)-YEAR($C$6)))</f>
        <v>0</v>
      </c>
      <c r="I201" s="33" t="n">
        <f aca="false">SUM(D201:H201)</f>
        <v>225.228006665574</v>
      </c>
      <c r="J201" s="33" t="n">
        <f aca="false">IF(C201&lt;=$C$22,I201,0)</f>
        <v>225.228006665574</v>
      </c>
      <c r="K201" s="33" t="n">
        <f aca="false">IF(C201&lt;=$D$22,I201,0)</f>
        <v>225.228006665574</v>
      </c>
      <c r="L201" s="33" t="n">
        <f aca="false">IF(C201&lt;=$E$22,I201,0)</f>
        <v>225.228006665574</v>
      </c>
    </row>
    <row r="202" customFormat="false" ht="15" hidden="false" customHeight="true" outlineLevel="0" collapsed="false">
      <c r="B202" s="65" t="n">
        <f aca="false">EDATE(B201,1)</f>
        <v>45139</v>
      </c>
      <c r="C202" s="64" t="n">
        <f aca="false">B202+14</f>
        <v>45153</v>
      </c>
      <c r="D202" s="33" t="n">
        <f aca="false">IF(OR($C$9="",B202&gt;=$C$9),0,$C$10*(1+$C$11)^IF(B202&lt;$C$7,0,DATEDIF($C$7,B202,"y"))*MAX(0,MIN(EDATE(B202,1),$C$9)-MAX(B202,$C$7))/(EDATE(B202,1)-B202))</f>
        <v>1066.55800666557</v>
      </c>
      <c r="E202" s="33" t="n">
        <f aca="false">-SUMIFS(Échéancier!$I$5:$I$300,Échéancier!$J$5:$J$300,$C$5,Échéancier!$C$5:$C$300,"&gt;="&amp;B202,Échéancier!$C$5:$C$300,"&lt;"&amp;EDATE(B202,1))</f>
        <v>-841.33</v>
      </c>
      <c r="F202" s="33" t="n">
        <f aca="false">-SUMIFS($D$68:$D$106,$E$68:$E$106,$C$5,$C$68:$C$106,"&gt;="&amp;B202,$C$68:$C$106,"&lt;"&amp;EDATE(B202,1))</f>
        <v>-0</v>
      </c>
      <c r="G202" s="33" t="n">
        <f aca="false">SUMIFS(Journal!$K$5:$K$1004,Journal!$C$5:$C$1004,$C$5,Journal!$A$5:$A$1004,"&gt;="&amp;B202,Journal!$A$5:$A$1004,"&lt;"&amp;MIN(EDATE(B202,1),$C$6+1))</f>
        <v>0</v>
      </c>
      <c r="H202" s="33" t="n">
        <f aca="false">IF(B202&lt;=$C$6,0,($C$12-$C$13/12)*(1+$C$14)^(YEAR(B202)-YEAR($C$6)))</f>
        <v>0</v>
      </c>
      <c r="I202" s="33" t="n">
        <f aca="false">SUM(D202:H202)</f>
        <v>225.228006665574</v>
      </c>
      <c r="J202" s="33" t="n">
        <f aca="false">IF(C202&lt;=$C$22,I202,0)</f>
        <v>225.228006665574</v>
      </c>
      <c r="K202" s="33" t="n">
        <f aca="false">IF(C202&lt;=$D$22,I202,0)</f>
        <v>225.228006665574</v>
      </c>
      <c r="L202" s="33" t="n">
        <f aca="false">IF(C202&lt;=$E$22,I202,0)</f>
        <v>225.228006665574</v>
      </c>
    </row>
    <row r="203" customFormat="false" ht="15" hidden="false" customHeight="true" outlineLevel="0" collapsed="false">
      <c r="B203" s="65" t="n">
        <f aca="false">EDATE(B202,1)</f>
        <v>45170</v>
      </c>
      <c r="C203" s="64" t="n">
        <f aca="false">B203+14</f>
        <v>45184</v>
      </c>
      <c r="D203" s="33" t="n">
        <f aca="false">IF(OR($C$9="",B203&gt;=$C$9),0,$C$10*(1+$C$11)^IF(B203&lt;$C$7,0,DATEDIF($C$7,B203,"y"))*MAX(0,MIN(EDATE(B203,1),$C$9)-MAX(B203,$C$7))/(EDATE(B203,1)-B203))</f>
        <v>1066.55800666557</v>
      </c>
      <c r="E203" s="33" t="n">
        <f aca="false">-SUMIFS(Échéancier!$I$5:$I$300,Échéancier!$J$5:$J$300,$C$5,Échéancier!$C$5:$C$300,"&gt;="&amp;B203,Échéancier!$C$5:$C$300,"&lt;"&amp;EDATE(B203,1))</f>
        <v>-841.33</v>
      </c>
      <c r="F203" s="33" t="n">
        <f aca="false">-SUMIFS($D$68:$D$106,$E$68:$E$106,$C$5,$C$68:$C$106,"&gt;="&amp;B203,$C$68:$C$106,"&lt;"&amp;EDATE(B203,1))</f>
        <v>-253.29</v>
      </c>
      <c r="G203" s="33" t="n">
        <f aca="false">SUMIFS(Journal!$K$5:$K$1004,Journal!$C$5:$C$1004,$C$5,Journal!$A$5:$A$1004,"&gt;="&amp;B203,Journal!$A$5:$A$1004,"&lt;"&amp;MIN(EDATE(B203,1),$C$6+1))</f>
        <v>0</v>
      </c>
      <c r="H203" s="33" t="n">
        <f aca="false">IF(B203&lt;=$C$6,0,($C$12-$C$13/12)*(1+$C$14)^(YEAR(B203)-YEAR($C$6)))</f>
        <v>0</v>
      </c>
      <c r="I203" s="33" t="n">
        <f aca="false">SUM(D203:H203)</f>
        <v>-28.0619933344262</v>
      </c>
      <c r="J203" s="33" t="n">
        <f aca="false">IF(C203&lt;=$C$22,I203,0)</f>
        <v>-28.0619933344262</v>
      </c>
      <c r="K203" s="33" t="n">
        <f aca="false">IF(C203&lt;=$D$22,I203,0)</f>
        <v>-28.0619933344262</v>
      </c>
      <c r="L203" s="33" t="n">
        <f aca="false">IF(C203&lt;=$E$22,I203,0)</f>
        <v>-28.0619933344262</v>
      </c>
    </row>
    <row r="204" customFormat="false" ht="15" hidden="false" customHeight="true" outlineLevel="0" collapsed="false">
      <c r="B204" s="65" t="n">
        <f aca="false">EDATE(B203,1)</f>
        <v>45200</v>
      </c>
      <c r="C204" s="64" t="n">
        <f aca="false">B204+14</f>
        <v>45214</v>
      </c>
      <c r="D204" s="33" t="n">
        <f aca="false">IF(OR($C$9="",B204&gt;=$C$9),0,$C$10*(1+$C$11)^IF(B204&lt;$C$7,0,DATEDIF($C$7,B204,"y"))*MAX(0,MIN(EDATE(B204,1),$C$9)-MAX(B204,$C$7))/(EDATE(B204,1)-B204))</f>
        <v>1066.55800666557</v>
      </c>
      <c r="E204" s="33" t="n">
        <f aca="false">-SUMIFS(Échéancier!$I$5:$I$300,Échéancier!$J$5:$J$300,$C$5,Échéancier!$C$5:$C$300,"&gt;="&amp;B204,Échéancier!$C$5:$C$300,"&lt;"&amp;EDATE(B204,1))</f>
        <v>-841.32</v>
      </c>
      <c r="F204" s="33" t="n">
        <f aca="false">-SUMIFS($D$68:$D$106,$E$68:$E$106,$C$5,$C$68:$C$106,"&gt;="&amp;B204,$C$68:$C$106,"&lt;"&amp;EDATE(B204,1))</f>
        <v>-1297.98</v>
      </c>
      <c r="G204" s="33" t="n">
        <f aca="false">SUMIFS(Journal!$K$5:$K$1004,Journal!$C$5:$C$1004,$C$5,Journal!$A$5:$A$1004,"&gt;="&amp;B204,Journal!$A$5:$A$1004,"&lt;"&amp;MIN(EDATE(B204,1),$C$6+1))</f>
        <v>0</v>
      </c>
      <c r="H204" s="33" t="n">
        <f aca="false">IF(B204&lt;=$C$6,0,($C$12-$C$13/12)*(1+$C$14)^(YEAR(B204)-YEAR($C$6)))</f>
        <v>0</v>
      </c>
      <c r="I204" s="33" t="n">
        <f aca="false">SUM(D204:H204)</f>
        <v>-1072.74199333443</v>
      </c>
      <c r="J204" s="33" t="n">
        <f aca="false">IF(C204&lt;=$C$22,I204,0)</f>
        <v>-1072.74199333443</v>
      </c>
      <c r="K204" s="33" t="n">
        <f aca="false">IF(C204&lt;=$D$22,I204,0)</f>
        <v>-1072.74199333443</v>
      </c>
      <c r="L204" s="33" t="n">
        <f aca="false">IF(C204&lt;=$E$22,I204,0)</f>
        <v>-1072.74199333443</v>
      </c>
    </row>
    <row r="205" customFormat="false" ht="15" hidden="false" customHeight="true" outlineLevel="0" collapsed="false">
      <c r="B205" s="65" t="n">
        <f aca="false">EDATE(B204,1)</f>
        <v>45231</v>
      </c>
      <c r="C205" s="64" t="n">
        <f aca="false">B205+14</f>
        <v>45245</v>
      </c>
      <c r="D205" s="33" t="n">
        <f aca="false">IF(OR($C$9="",B205&gt;=$C$9),0,$C$10*(1+$C$11)^IF(B205&lt;$C$7,0,DATEDIF($C$7,B205,"y"))*MAX(0,MIN(EDATE(B205,1),$C$9)-MAX(B205,$C$7))/(EDATE(B205,1)-B205))</f>
        <v>0</v>
      </c>
      <c r="E205" s="33" t="n">
        <f aca="false">-SUMIFS(Échéancier!$I$5:$I$300,Échéancier!$J$5:$J$300,$C$5,Échéancier!$C$5:$C$300,"&gt;="&amp;B205,Échéancier!$C$5:$C$300,"&lt;"&amp;EDATE(B205,1))</f>
        <v>-841.33</v>
      </c>
      <c r="F205" s="33" t="n">
        <f aca="false">-SUMIFS($D$68:$D$106,$E$68:$E$106,$C$5,$C$68:$C$106,"&gt;="&amp;B205,$C$68:$C$106,"&lt;"&amp;EDATE(B205,1))</f>
        <v>-181.35</v>
      </c>
      <c r="G205" s="33" t="n">
        <f aca="false">SUMIFS(Journal!$K$5:$K$1004,Journal!$C$5:$C$1004,$C$5,Journal!$A$5:$A$1004,"&gt;="&amp;B205,Journal!$A$5:$A$1004,"&lt;"&amp;MIN(EDATE(B205,1),$C$6+1))</f>
        <v>0</v>
      </c>
      <c r="H205" s="33" t="n">
        <f aca="false">IF(B205&lt;=$C$6,0,($C$12-$C$13/12)*(1+$C$14)^(YEAR(B205)-YEAR($C$6)))</f>
        <v>0</v>
      </c>
      <c r="I205" s="33" t="n">
        <f aca="false">SUM(D205:H205)</f>
        <v>-1022.68</v>
      </c>
      <c r="J205" s="33" t="n">
        <f aca="false">IF(C205&lt;=$C$22,I205,0)</f>
        <v>-1022.68</v>
      </c>
      <c r="K205" s="33" t="n">
        <f aca="false">IF(C205&lt;=$D$22,I205,0)</f>
        <v>-1022.68</v>
      </c>
      <c r="L205" s="33" t="n">
        <f aca="false">IF(C205&lt;=$E$22,I205,0)</f>
        <v>-1022.68</v>
      </c>
    </row>
    <row r="206" customFormat="false" ht="15" hidden="false" customHeight="true" outlineLevel="0" collapsed="false">
      <c r="B206" s="65" t="n">
        <f aca="false">EDATE(B205,1)</f>
        <v>45261</v>
      </c>
      <c r="C206" s="64" t="n">
        <f aca="false">B206+14</f>
        <v>45275</v>
      </c>
      <c r="D206" s="33" t="n">
        <f aca="false">IF(OR($C$9="",B206&gt;=$C$9),0,$C$10*(1+$C$11)^IF(B206&lt;$C$7,0,DATEDIF($C$7,B206,"y"))*MAX(0,MIN(EDATE(B206,1),$C$9)-MAX(B206,$C$7))/(EDATE(B206,1)-B206))</f>
        <v>0</v>
      </c>
      <c r="E206" s="33" t="n">
        <f aca="false">-SUMIFS(Échéancier!$I$5:$I$300,Échéancier!$J$5:$J$300,$C$5,Échéancier!$C$5:$C$300,"&gt;="&amp;B206,Échéancier!$C$5:$C$300,"&lt;"&amp;EDATE(B206,1))</f>
        <v>-841.33</v>
      </c>
      <c r="F206" s="33" t="n">
        <f aca="false">-SUMIFS($D$68:$D$106,$E$68:$E$106,$C$5,$C$68:$C$106,"&gt;="&amp;B206,$C$68:$C$106,"&lt;"&amp;EDATE(B206,1))</f>
        <v>-0</v>
      </c>
      <c r="G206" s="33" t="n">
        <f aca="false">SUMIFS(Journal!$K$5:$K$1004,Journal!$C$5:$C$1004,$C$5,Journal!$A$5:$A$1004,"&gt;="&amp;B206,Journal!$A$5:$A$1004,"&lt;"&amp;MIN(EDATE(B206,1),$C$6+1))</f>
        <v>0</v>
      </c>
      <c r="H206" s="33" t="n">
        <f aca="false">IF(B206&lt;=$C$6,0,($C$12-$C$13/12)*(1+$C$14)^(YEAR(B206)-YEAR($C$6)))</f>
        <v>0</v>
      </c>
      <c r="I206" s="33" t="n">
        <f aca="false">SUM(D206:H206)</f>
        <v>-841.33</v>
      </c>
      <c r="J206" s="33" t="n">
        <f aca="false">IF(C206&lt;=$C$22,I206,0)</f>
        <v>-841.33</v>
      </c>
      <c r="K206" s="33" t="n">
        <f aca="false">IF(C206&lt;=$D$22,I206,0)</f>
        <v>-841.33</v>
      </c>
      <c r="L206" s="33" t="n">
        <f aca="false">IF(C206&lt;=$E$22,I206,0)</f>
        <v>-841.33</v>
      </c>
    </row>
    <row r="207" customFormat="false" ht="15" hidden="false" customHeight="true" outlineLevel="0" collapsed="false">
      <c r="B207" s="65" t="n">
        <f aca="false">EDATE(B206,1)</f>
        <v>45292</v>
      </c>
      <c r="C207" s="64" t="n">
        <f aca="false">B207+14</f>
        <v>45306</v>
      </c>
      <c r="D207" s="33" t="n">
        <f aca="false">IF(OR($C$9="",B207&gt;=$C$9),0,$C$10*(1+$C$11)^IF(B207&lt;$C$7,0,DATEDIF($C$7,B207,"y"))*MAX(0,MIN(EDATE(B207,1),$C$9)-MAX(B207,$C$7))/(EDATE(B207,1)-B207))</f>
        <v>0</v>
      </c>
      <c r="E207" s="33" t="n">
        <f aca="false">-SUMIFS(Échéancier!$I$5:$I$300,Échéancier!$J$5:$J$300,$C$5,Échéancier!$C$5:$C$300,"&gt;="&amp;B207,Échéancier!$C$5:$C$300,"&lt;"&amp;EDATE(B207,1))</f>
        <v>-841.33</v>
      </c>
      <c r="F207" s="33" t="n">
        <f aca="false">-SUMIFS($D$68:$D$106,$E$68:$E$106,$C$5,$C$68:$C$106,"&gt;="&amp;B207,$C$68:$C$106,"&lt;"&amp;EDATE(B207,1))</f>
        <v>-0</v>
      </c>
      <c r="G207" s="33" t="n">
        <f aca="false">SUMIFS(Journal!$K$5:$K$1004,Journal!$C$5:$C$1004,$C$5,Journal!$A$5:$A$1004,"&gt;="&amp;B207,Journal!$A$5:$A$1004,"&lt;"&amp;MIN(EDATE(B207,1),$C$6+1))</f>
        <v>0</v>
      </c>
      <c r="H207" s="33" t="n">
        <f aca="false">IF(B207&lt;=$C$6,0,($C$12-$C$13/12)*(1+$C$14)^(YEAR(B207)-YEAR($C$6)))</f>
        <v>0</v>
      </c>
      <c r="I207" s="33" t="n">
        <f aca="false">SUM(D207:H207)</f>
        <v>-841.33</v>
      </c>
      <c r="J207" s="33" t="n">
        <f aca="false">IF(C207&lt;=$C$22,I207,0)</f>
        <v>-841.33</v>
      </c>
      <c r="K207" s="33" t="n">
        <f aca="false">IF(C207&lt;=$D$22,I207,0)</f>
        <v>-841.33</v>
      </c>
      <c r="L207" s="33" t="n">
        <f aca="false">IF(C207&lt;=$E$22,I207,0)</f>
        <v>-841.33</v>
      </c>
    </row>
    <row r="208" customFormat="false" ht="15" hidden="false" customHeight="true" outlineLevel="0" collapsed="false">
      <c r="B208" s="65" t="n">
        <f aca="false">EDATE(B207,1)</f>
        <v>45323</v>
      </c>
      <c r="C208" s="64" t="n">
        <f aca="false">B208+14</f>
        <v>45337</v>
      </c>
      <c r="D208" s="33" t="n">
        <f aca="false">IF(OR($C$9="",B208&gt;=$C$9),0,$C$10*(1+$C$11)^IF(B208&lt;$C$7,0,DATEDIF($C$7,B208,"y"))*MAX(0,MIN(EDATE(B208,1),$C$9)-MAX(B208,$C$7))/(EDATE(B208,1)-B208))</f>
        <v>0</v>
      </c>
      <c r="E208" s="33" t="n">
        <f aca="false">-SUMIFS(Échéancier!$I$5:$I$300,Échéancier!$J$5:$J$300,$C$5,Échéancier!$C$5:$C$300,"&gt;="&amp;B208,Échéancier!$C$5:$C$300,"&lt;"&amp;EDATE(B208,1))</f>
        <v>-841.32</v>
      </c>
      <c r="F208" s="33" t="n">
        <f aca="false">-SUMIFS($D$68:$D$106,$E$68:$E$106,$C$5,$C$68:$C$106,"&gt;="&amp;B208,$C$68:$C$106,"&lt;"&amp;EDATE(B208,1))</f>
        <v>-796.96</v>
      </c>
      <c r="G208" s="33" t="n">
        <f aca="false">SUMIFS(Journal!$K$5:$K$1004,Journal!$C$5:$C$1004,$C$5,Journal!$A$5:$A$1004,"&gt;="&amp;B208,Journal!$A$5:$A$1004,"&lt;"&amp;MIN(EDATE(B208,1),$C$6+1))</f>
        <v>0</v>
      </c>
      <c r="H208" s="33" t="n">
        <f aca="false">IF(B208&lt;=$C$6,0,($C$12-$C$13/12)*(1+$C$14)^(YEAR(B208)-YEAR($C$6)))</f>
        <v>0</v>
      </c>
      <c r="I208" s="33" t="n">
        <f aca="false">SUM(D208:H208)</f>
        <v>-1638.28</v>
      </c>
      <c r="J208" s="33" t="n">
        <f aca="false">IF(C208&lt;=$C$22,I208,0)</f>
        <v>-1638.28</v>
      </c>
      <c r="K208" s="33" t="n">
        <f aca="false">IF(C208&lt;=$D$22,I208,0)</f>
        <v>-1638.28</v>
      </c>
      <c r="L208" s="33" t="n">
        <f aca="false">IF(C208&lt;=$E$22,I208,0)</f>
        <v>-1638.28</v>
      </c>
    </row>
    <row r="209" customFormat="false" ht="15" hidden="false" customHeight="true" outlineLevel="0" collapsed="false">
      <c r="B209" s="65" t="n">
        <f aca="false">EDATE(B208,1)</f>
        <v>45352</v>
      </c>
      <c r="C209" s="64" t="n">
        <f aca="false">B209+14</f>
        <v>45366</v>
      </c>
      <c r="D209" s="33" t="n">
        <f aca="false">IF(OR($C$9="",B209&gt;=$C$9),0,$C$10*(1+$C$11)^IF(B209&lt;$C$7,0,DATEDIF($C$7,B209,"y"))*MAX(0,MIN(EDATE(B209,1),$C$9)-MAX(B209,$C$7))/(EDATE(B209,1)-B209))</f>
        <v>0</v>
      </c>
      <c r="E209" s="33" t="n">
        <f aca="false">-SUMIFS(Échéancier!$I$5:$I$300,Échéancier!$J$5:$J$300,$C$5,Échéancier!$C$5:$C$300,"&gt;="&amp;B209,Échéancier!$C$5:$C$300,"&lt;"&amp;EDATE(B209,1))</f>
        <v>-841.33</v>
      </c>
      <c r="F209" s="33" t="n">
        <f aca="false">-SUMIFS($D$68:$D$106,$E$68:$E$106,$C$5,$C$68:$C$106,"&gt;="&amp;B209,$C$68:$C$106,"&lt;"&amp;EDATE(B209,1))</f>
        <v>-181.35</v>
      </c>
      <c r="G209" s="33" t="n">
        <f aca="false">SUMIFS(Journal!$K$5:$K$1004,Journal!$C$5:$C$1004,$C$5,Journal!$A$5:$A$1004,"&gt;="&amp;B209,Journal!$A$5:$A$1004,"&lt;"&amp;MIN(EDATE(B209,1),$C$6+1))</f>
        <v>0</v>
      </c>
      <c r="H209" s="33" t="n">
        <f aca="false">IF(B209&lt;=$C$6,0,($C$12-$C$13/12)*(1+$C$14)^(YEAR(B209)-YEAR($C$6)))</f>
        <v>0</v>
      </c>
      <c r="I209" s="33" t="n">
        <f aca="false">SUM(D209:H209)</f>
        <v>-1022.68</v>
      </c>
      <c r="J209" s="33" t="n">
        <f aca="false">IF(C209&lt;=$C$22,I209,0)</f>
        <v>-1022.68</v>
      </c>
      <c r="K209" s="33" t="n">
        <f aca="false">IF(C209&lt;=$D$22,I209,0)</f>
        <v>-1022.68</v>
      </c>
      <c r="L209" s="33" t="n">
        <f aca="false">IF(C209&lt;=$E$22,I209,0)</f>
        <v>-1022.68</v>
      </c>
    </row>
    <row r="210" customFormat="false" ht="15" hidden="false" customHeight="true" outlineLevel="0" collapsed="false">
      <c r="B210" s="65" t="n">
        <f aca="false">EDATE(B209,1)</f>
        <v>45383</v>
      </c>
      <c r="C210" s="64" t="n">
        <f aca="false">B210+14</f>
        <v>45397</v>
      </c>
      <c r="D210" s="33" t="n">
        <f aca="false">IF(OR($C$9="",B210&gt;=$C$9),0,$C$10*(1+$C$11)^IF(B210&lt;$C$7,0,DATEDIF($C$7,B210,"y"))*MAX(0,MIN(EDATE(B210,1),$C$9)-MAX(B210,$C$7))/(EDATE(B210,1)-B210))</f>
        <v>0</v>
      </c>
      <c r="E210" s="33" t="n">
        <f aca="false">-SUMIFS(Échéancier!$I$5:$I$300,Échéancier!$J$5:$J$300,$C$5,Échéancier!$C$5:$C$300,"&gt;="&amp;B210,Échéancier!$C$5:$C$300,"&lt;"&amp;EDATE(B210,1))</f>
        <v>-841.33</v>
      </c>
      <c r="F210" s="33" t="n">
        <f aca="false">-SUMIFS($D$68:$D$106,$E$68:$E$106,$C$5,$C$68:$C$106,"&gt;="&amp;B210,$C$68:$C$106,"&lt;"&amp;EDATE(B210,1))</f>
        <v>-752.3</v>
      </c>
      <c r="G210" s="33" t="n">
        <f aca="false">SUMIFS(Journal!$K$5:$K$1004,Journal!$C$5:$C$1004,$C$5,Journal!$A$5:$A$1004,"&gt;="&amp;B210,Journal!$A$5:$A$1004,"&lt;"&amp;MIN(EDATE(B210,1),$C$6+1))</f>
        <v>0</v>
      </c>
      <c r="H210" s="33" t="n">
        <f aca="false">IF(B210&lt;=$C$6,0,($C$12-$C$13/12)*(1+$C$14)^(YEAR(B210)-YEAR($C$6)))</f>
        <v>0</v>
      </c>
      <c r="I210" s="33" t="n">
        <f aca="false">SUM(D210:H210)</f>
        <v>-1593.63</v>
      </c>
      <c r="J210" s="33" t="n">
        <f aca="false">IF(C210&lt;=$C$22,I210,0)</f>
        <v>-1593.63</v>
      </c>
      <c r="K210" s="33" t="n">
        <f aca="false">IF(C210&lt;=$D$22,I210,0)</f>
        <v>-1593.63</v>
      </c>
      <c r="L210" s="33" t="n">
        <f aca="false">IF(C210&lt;=$E$22,I210,0)</f>
        <v>-1593.63</v>
      </c>
    </row>
    <row r="211" customFormat="false" ht="15" hidden="false" customHeight="true" outlineLevel="0" collapsed="false">
      <c r="B211" s="65" t="n">
        <f aca="false">EDATE(B210,1)</f>
        <v>45413</v>
      </c>
      <c r="C211" s="64" t="n">
        <f aca="false">B211+14</f>
        <v>45427</v>
      </c>
      <c r="D211" s="33" t="n">
        <f aca="false">IF(OR($C$9="",B211&gt;=$C$9),0,$C$10*(1+$C$11)^IF(B211&lt;$C$7,0,DATEDIF($C$7,B211,"y"))*MAX(0,MIN(EDATE(B211,1),$C$9)-MAX(B211,$C$7))/(EDATE(B211,1)-B211))</f>
        <v>0</v>
      </c>
      <c r="E211" s="33" t="n">
        <f aca="false">-SUMIFS(Échéancier!$I$5:$I$300,Échéancier!$J$5:$J$300,$C$5,Échéancier!$C$5:$C$300,"&gt;="&amp;B211,Échéancier!$C$5:$C$300,"&lt;"&amp;EDATE(B211,1))</f>
        <v>-841.32</v>
      </c>
      <c r="F211" s="33" t="n">
        <f aca="false">-SUMIFS($D$68:$D$106,$E$68:$E$106,$C$5,$C$68:$C$106,"&gt;="&amp;B211,$C$68:$C$106,"&lt;"&amp;EDATE(B211,1))</f>
        <v>-0</v>
      </c>
      <c r="G211" s="33" t="n">
        <f aca="false">SUMIFS(Journal!$K$5:$K$1004,Journal!$C$5:$C$1004,$C$5,Journal!$A$5:$A$1004,"&gt;="&amp;B211,Journal!$A$5:$A$1004,"&lt;"&amp;MIN(EDATE(B211,1),$C$6+1))</f>
        <v>-539.42</v>
      </c>
      <c r="H211" s="33" t="n">
        <f aca="false">IF(B211&lt;=$C$6,0,($C$12-$C$13/12)*(1+$C$14)^(YEAR(B211)-YEAR($C$6)))</f>
        <v>0</v>
      </c>
      <c r="I211" s="33" t="n">
        <f aca="false">SUM(D211:H211)</f>
        <v>-1380.74</v>
      </c>
      <c r="J211" s="33" t="n">
        <f aca="false">IF(C211&lt;=$C$22,I211,0)</f>
        <v>-1380.74</v>
      </c>
      <c r="K211" s="33" t="n">
        <f aca="false">IF(C211&lt;=$D$22,I211,0)</f>
        <v>-1380.74</v>
      </c>
      <c r="L211" s="33" t="n">
        <f aca="false">IF(C211&lt;=$E$22,I211,0)</f>
        <v>-1380.74</v>
      </c>
    </row>
    <row r="212" customFormat="false" ht="15" hidden="false" customHeight="true" outlineLevel="0" collapsed="false">
      <c r="B212" s="65" t="n">
        <f aca="false">EDATE(B211,1)</f>
        <v>45444</v>
      </c>
      <c r="C212" s="64" t="n">
        <f aca="false">B212+14</f>
        <v>45458</v>
      </c>
      <c r="D212" s="33" t="n">
        <f aca="false">IF(OR($C$9="",B212&gt;=$C$9),0,$C$10*(1+$C$11)^IF(B212&lt;$C$7,0,DATEDIF($C$7,B212,"y"))*MAX(0,MIN(EDATE(B212,1),$C$9)-MAX(B212,$C$7))/(EDATE(B212,1)-B212))</f>
        <v>0</v>
      </c>
      <c r="E212" s="33" t="n">
        <f aca="false">-SUMIFS(Échéancier!$I$5:$I$300,Échéancier!$J$5:$J$300,$C$5,Échéancier!$C$5:$C$300,"&gt;="&amp;B212,Échéancier!$C$5:$C$300,"&lt;"&amp;EDATE(B212,1))</f>
        <v>-841.32</v>
      </c>
      <c r="F212" s="33" t="n">
        <f aca="false">-SUMIFS($D$68:$D$106,$E$68:$E$106,$C$5,$C$68:$C$106,"&gt;="&amp;B212,$C$68:$C$106,"&lt;"&amp;EDATE(B212,1))</f>
        <v>-0</v>
      </c>
      <c r="G212" s="33" t="n">
        <f aca="false">SUMIFS(Journal!$K$5:$K$1004,Journal!$C$5:$C$1004,$C$5,Journal!$A$5:$A$1004,"&gt;="&amp;B212,Journal!$A$5:$A$1004,"&lt;"&amp;MIN(EDATE(B212,1),$C$6+1))</f>
        <v>-540.09</v>
      </c>
      <c r="H212" s="33" t="n">
        <f aca="false">IF(B212&lt;=$C$6,0,($C$12-$C$13/12)*(1+$C$14)^(YEAR(B212)-YEAR($C$6)))</f>
        <v>0</v>
      </c>
      <c r="I212" s="33" t="n">
        <f aca="false">SUM(D212:H212)</f>
        <v>-1381.41</v>
      </c>
      <c r="J212" s="33" t="n">
        <f aca="false">IF(C212&lt;=$C$22,I212,0)</f>
        <v>-1381.41</v>
      </c>
      <c r="K212" s="33" t="n">
        <f aca="false">IF(C212&lt;=$D$22,I212,0)</f>
        <v>-1381.41</v>
      </c>
      <c r="L212" s="33" t="n">
        <f aca="false">IF(C212&lt;=$E$22,I212,0)</f>
        <v>-1381.41</v>
      </c>
    </row>
    <row r="213" customFormat="false" ht="15" hidden="false" customHeight="true" outlineLevel="0" collapsed="false">
      <c r="B213" s="65" t="n">
        <f aca="false">EDATE(B212,1)</f>
        <v>45474</v>
      </c>
      <c r="C213" s="64" t="n">
        <f aca="false">B213+14</f>
        <v>45488</v>
      </c>
      <c r="D213" s="33" t="n">
        <f aca="false">IF(OR($C$9="",B213&gt;=$C$9),0,$C$10*(1+$C$11)^IF(B213&lt;$C$7,0,DATEDIF($C$7,B213,"y"))*MAX(0,MIN(EDATE(B213,1),$C$9)-MAX(B213,$C$7))/(EDATE(B213,1)-B213))</f>
        <v>0</v>
      </c>
      <c r="E213" s="33" t="n">
        <f aca="false">-SUMIFS(Échéancier!$I$5:$I$300,Échéancier!$J$5:$J$300,$C$5,Échéancier!$C$5:$C$300,"&gt;="&amp;B213,Échéancier!$C$5:$C$300,"&lt;"&amp;EDATE(B213,1))</f>
        <v>-841.33</v>
      </c>
      <c r="F213" s="33" t="n">
        <f aca="false">-SUMIFS($D$68:$D$106,$E$68:$E$106,$C$5,$C$68:$C$106,"&gt;="&amp;B213,$C$68:$C$106,"&lt;"&amp;EDATE(B213,1))</f>
        <v>-0</v>
      </c>
      <c r="G213" s="33" t="n">
        <f aca="false">SUMIFS(Journal!$K$5:$K$1004,Journal!$C$5:$C$1004,$C$5,Journal!$A$5:$A$1004,"&gt;="&amp;B213,Journal!$A$5:$A$1004,"&lt;"&amp;MIN(EDATE(B213,1),$C$6+1))</f>
        <v>1035.65</v>
      </c>
      <c r="H213" s="33" t="n">
        <f aca="false">IF(B213&lt;=$C$6,0,($C$12-$C$13/12)*(1+$C$14)^(YEAR(B213)-YEAR($C$6)))</f>
        <v>0</v>
      </c>
      <c r="I213" s="33" t="n">
        <f aca="false">SUM(D213:H213)</f>
        <v>194.32</v>
      </c>
      <c r="J213" s="33" t="n">
        <f aca="false">IF(C213&lt;=$C$22,I213,0)</f>
        <v>194.32</v>
      </c>
      <c r="K213" s="33" t="n">
        <f aca="false">IF(C213&lt;=$D$22,I213,0)</f>
        <v>194.32</v>
      </c>
      <c r="L213" s="33" t="n">
        <f aca="false">IF(C213&lt;=$E$22,I213,0)</f>
        <v>194.32</v>
      </c>
    </row>
    <row r="214" customFormat="false" ht="15" hidden="false" customHeight="true" outlineLevel="0" collapsed="false">
      <c r="B214" s="65" t="n">
        <f aca="false">EDATE(B213,1)</f>
        <v>45505</v>
      </c>
      <c r="C214" s="64" t="n">
        <f aca="false">B214+14</f>
        <v>45519</v>
      </c>
      <c r="D214" s="33" t="n">
        <f aca="false">IF(OR($C$9="",B214&gt;=$C$9),0,$C$10*(1+$C$11)^IF(B214&lt;$C$7,0,DATEDIF($C$7,B214,"y"))*MAX(0,MIN(EDATE(B214,1),$C$9)-MAX(B214,$C$7))/(EDATE(B214,1)-B214))</f>
        <v>0</v>
      </c>
      <c r="E214" s="33" t="n">
        <f aca="false">-SUMIFS(Échéancier!$I$5:$I$300,Échéancier!$J$5:$J$300,$C$5,Échéancier!$C$5:$C$300,"&gt;="&amp;B214,Échéancier!$C$5:$C$300,"&lt;"&amp;EDATE(B214,1))</f>
        <v>-841.32</v>
      </c>
      <c r="F214" s="33" t="n">
        <f aca="false">-SUMIFS($D$68:$D$106,$E$68:$E$106,$C$5,$C$68:$C$106,"&gt;="&amp;B214,$C$68:$C$106,"&lt;"&amp;EDATE(B214,1))</f>
        <v>-0</v>
      </c>
      <c r="G214" s="33" t="n">
        <f aca="false">SUMIFS(Journal!$K$5:$K$1004,Journal!$C$5:$C$1004,$C$5,Journal!$A$5:$A$1004,"&gt;="&amp;B214,Journal!$A$5:$A$1004,"&lt;"&amp;MIN(EDATE(B214,1),$C$6+1))</f>
        <v>687.67</v>
      </c>
      <c r="H214" s="33" t="n">
        <f aca="false">IF(B214&lt;=$C$6,0,($C$12-$C$13/12)*(1+$C$14)^(YEAR(B214)-YEAR($C$6)))</f>
        <v>0</v>
      </c>
      <c r="I214" s="33" t="n">
        <f aca="false">SUM(D214:H214)</f>
        <v>-153.65</v>
      </c>
      <c r="J214" s="33" t="n">
        <f aca="false">IF(C214&lt;=$C$22,I214,0)</f>
        <v>-153.65</v>
      </c>
      <c r="K214" s="33" t="n">
        <f aca="false">IF(C214&lt;=$D$22,I214,0)</f>
        <v>-153.65</v>
      </c>
      <c r="L214" s="33" t="n">
        <f aca="false">IF(C214&lt;=$E$22,I214,0)</f>
        <v>-153.65</v>
      </c>
    </row>
    <row r="215" customFormat="false" ht="15" hidden="false" customHeight="true" outlineLevel="0" collapsed="false">
      <c r="B215" s="65" t="n">
        <f aca="false">EDATE(B214,1)</f>
        <v>45536</v>
      </c>
      <c r="C215" s="64" t="n">
        <f aca="false">B215+14</f>
        <v>45550</v>
      </c>
      <c r="D215" s="33" t="n">
        <f aca="false">IF(OR($C$9="",B215&gt;=$C$9),0,$C$10*(1+$C$11)^IF(B215&lt;$C$7,0,DATEDIF($C$7,B215,"y"))*MAX(0,MIN(EDATE(B215,1),$C$9)-MAX(B215,$C$7))/(EDATE(B215,1)-B215))</f>
        <v>0</v>
      </c>
      <c r="E215" s="33" t="n">
        <f aca="false">-SUMIFS(Échéancier!$I$5:$I$300,Échéancier!$J$5:$J$300,$C$5,Échéancier!$C$5:$C$300,"&gt;="&amp;B215,Échéancier!$C$5:$C$300,"&lt;"&amp;EDATE(B215,1))</f>
        <v>-841.32</v>
      </c>
      <c r="F215" s="33" t="n">
        <f aca="false">-SUMIFS($D$68:$D$106,$E$68:$E$106,$C$5,$C$68:$C$106,"&gt;="&amp;B215,$C$68:$C$106,"&lt;"&amp;EDATE(B215,1))</f>
        <v>-0</v>
      </c>
      <c r="G215" s="33" t="n">
        <f aca="false">SUMIFS(Journal!$K$5:$K$1004,Journal!$C$5:$C$1004,$C$5,Journal!$A$5:$A$1004,"&gt;="&amp;B215,Journal!$A$5:$A$1004,"&lt;"&amp;MIN(EDATE(B215,1),$C$6+1))</f>
        <v>566.04</v>
      </c>
      <c r="H215" s="33" t="n">
        <f aca="false">IF(B215&lt;=$C$6,0,($C$12-$C$13/12)*(1+$C$14)^(YEAR(B215)-YEAR($C$6)))</f>
        <v>0</v>
      </c>
      <c r="I215" s="33" t="n">
        <f aca="false">SUM(D215:H215)</f>
        <v>-275.28</v>
      </c>
      <c r="J215" s="33" t="n">
        <f aca="false">IF(C215&lt;=$C$22,I215,0)</f>
        <v>-275.28</v>
      </c>
      <c r="K215" s="33" t="n">
        <f aca="false">IF(C215&lt;=$D$22,I215,0)</f>
        <v>-275.28</v>
      </c>
      <c r="L215" s="33" t="n">
        <f aca="false">IF(C215&lt;=$E$22,I215,0)</f>
        <v>-275.28</v>
      </c>
    </row>
    <row r="216" customFormat="false" ht="15" hidden="false" customHeight="true" outlineLevel="0" collapsed="false">
      <c r="B216" s="65" t="n">
        <f aca="false">EDATE(B215,1)</f>
        <v>45566</v>
      </c>
      <c r="C216" s="64" t="n">
        <f aca="false">B216+14</f>
        <v>45580</v>
      </c>
      <c r="D216" s="33" t="n">
        <f aca="false">IF(OR($C$9="",B216&gt;=$C$9),0,$C$10*(1+$C$11)^IF(B216&lt;$C$7,0,DATEDIF($C$7,B216,"y"))*MAX(0,MIN(EDATE(B216,1),$C$9)-MAX(B216,$C$7))/(EDATE(B216,1)-B216))</f>
        <v>0</v>
      </c>
      <c r="E216" s="33" t="n">
        <f aca="false">-SUMIFS(Échéancier!$I$5:$I$300,Échéancier!$J$5:$J$300,$C$5,Échéancier!$C$5:$C$300,"&gt;="&amp;B216,Échéancier!$C$5:$C$300,"&lt;"&amp;EDATE(B216,1))</f>
        <v>-841.33</v>
      </c>
      <c r="F216" s="33" t="n">
        <f aca="false">-SUMIFS($D$68:$D$106,$E$68:$E$106,$C$5,$C$68:$C$106,"&gt;="&amp;B216,$C$68:$C$106,"&lt;"&amp;EDATE(B216,1))</f>
        <v>-0</v>
      </c>
      <c r="G216" s="33" t="n">
        <f aca="false">SUMIFS(Journal!$K$5:$K$1004,Journal!$C$5:$C$1004,$C$5,Journal!$A$5:$A$1004,"&gt;="&amp;B216,Journal!$A$5:$A$1004,"&lt;"&amp;MIN(EDATE(B216,1),$C$6+1))</f>
        <v>482.3</v>
      </c>
      <c r="H216" s="33" t="n">
        <f aca="false">IF(B216&lt;=$C$6,0,($C$12-$C$13/12)*(1+$C$14)^(YEAR(B216)-YEAR($C$6)))</f>
        <v>0</v>
      </c>
      <c r="I216" s="33" t="n">
        <f aca="false">SUM(D216:H216)</f>
        <v>-359.03</v>
      </c>
      <c r="J216" s="33" t="n">
        <f aca="false">IF(C216&lt;=$C$22,I216,0)</f>
        <v>-359.03</v>
      </c>
      <c r="K216" s="33" t="n">
        <f aca="false">IF(C216&lt;=$D$22,I216,0)</f>
        <v>-359.03</v>
      </c>
      <c r="L216" s="33" t="n">
        <f aca="false">IF(C216&lt;=$E$22,I216,0)</f>
        <v>-359.03</v>
      </c>
    </row>
    <row r="217" customFormat="false" ht="15" hidden="false" customHeight="true" outlineLevel="0" collapsed="false">
      <c r="B217" s="65" t="n">
        <f aca="false">EDATE(B216,1)</f>
        <v>45597</v>
      </c>
      <c r="C217" s="64" t="n">
        <f aca="false">B217+14</f>
        <v>45611</v>
      </c>
      <c r="D217" s="33" t="n">
        <f aca="false">IF(OR($C$9="",B217&gt;=$C$9),0,$C$10*(1+$C$11)^IF(B217&lt;$C$7,0,DATEDIF($C$7,B217,"y"))*MAX(0,MIN(EDATE(B217,1),$C$9)-MAX(B217,$C$7))/(EDATE(B217,1)-B217))</f>
        <v>0</v>
      </c>
      <c r="E217" s="33" t="n">
        <f aca="false">-SUMIFS(Échéancier!$I$5:$I$300,Échéancier!$J$5:$J$300,$C$5,Échéancier!$C$5:$C$300,"&gt;="&amp;B217,Échéancier!$C$5:$C$300,"&lt;"&amp;EDATE(B217,1))</f>
        <v>-841.32</v>
      </c>
      <c r="F217" s="33" t="n">
        <f aca="false">-SUMIFS($D$68:$D$106,$E$68:$E$106,$C$5,$C$68:$C$106,"&gt;="&amp;B217,$C$68:$C$106,"&lt;"&amp;EDATE(B217,1))</f>
        <v>-0</v>
      </c>
      <c r="G217" s="33" t="n">
        <f aca="false">SUMIFS(Journal!$K$5:$K$1004,Journal!$C$5:$C$1004,$C$5,Journal!$A$5:$A$1004,"&gt;="&amp;B217,Journal!$A$5:$A$1004,"&lt;"&amp;MIN(EDATE(B217,1),$C$6+1))</f>
        <v>1082.77</v>
      </c>
      <c r="H217" s="33" t="n">
        <f aca="false">IF(B217&lt;=$C$6,0,($C$12-$C$13/12)*(1+$C$14)^(YEAR(B217)-YEAR($C$6)))</f>
        <v>0</v>
      </c>
      <c r="I217" s="33" t="n">
        <f aca="false">SUM(D217:H217)</f>
        <v>241.45</v>
      </c>
      <c r="J217" s="33" t="n">
        <f aca="false">IF(C217&lt;=$C$22,I217,0)</f>
        <v>241.45</v>
      </c>
      <c r="K217" s="33" t="n">
        <f aca="false">IF(C217&lt;=$D$22,I217,0)</f>
        <v>241.45</v>
      </c>
      <c r="L217" s="33" t="n">
        <f aca="false">IF(C217&lt;=$E$22,I217,0)</f>
        <v>241.45</v>
      </c>
    </row>
    <row r="218" customFormat="false" ht="15" hidden="false" customHeight="true" outlineLevel="0" collapsed="false">
      <c r="B218" s="65" t="n">
        <f aca="false">EDATE(B217,1)</f>
        <v>45627</v>
      </c>
      <c r="C218" s="64" t="n">
        <f aca="false">B218+14</f>
        <v>45641</v>
      </c>
      <c r="D218" s="33" t="n">
        <f aca="false">IF(OR($C$9="",B218&gt;=$C$9),0,$C$10*(1+$C$11)^IF(B218&lt;$C$7,0,DATEDIF($C$7,B218,"y"))*MAX(0,MIN(EDATE(B218,1),$C$9)-MAX(B218,$C$7))/(EDATE(B218,1)-B218))</f>
        <v>0</v>
      </c>
      <c r="E218" s="33" t="n">
        <f aca="false">-SUMIFS(Échéancier!$I$5:$I$300,Échéancier!$J$5:$J$300,$C$5,Échéancier!$C$5:$C$300,"&gt;="&amp;B218,Échéancier!$C$5:$C$300,"&lt;"&amp;EDATE(B218,1))</f>
        <v>-841.32</v>
      </c>
      <c r="F218" s="33" t="n">
        <f aca="false">-SUMIFS($D$68:$D$106,$E$68:$E$106,$C$5,$C$68:$C$106,"&gt;="&amp;B218,$C$68:$C$106,"&lt;"&amp;EDATE(B218,1))</f>
        <v>-0</v>
      </c>
      <c r="G218" s="33" t="n">
        <f aca="false">SUMIFS(Journal!$K$5:$K$1004,Journal!$C$5:$C$1004,$C$5,Journal!$A$5:$A$1004,"&gt;="&amp;B218,Journal!$A$5:$A$1004,"&lt;"&amp;MIN(EDATE(B218,1),$C$6+1))</f>
        <v>569.85</v>
      </c>
      <c r="H218" s="33" t="n">
        <f aca="false">IF(B218&lt;=$C$6,0,($C$12-$C$13/12)*(1+$C$14)^(YEAR(B218)-YEAR($C$6)))</f>
        <v>0</v>
      </c>
      <c r="I218" s="33" t="n">
        <f aca="false">SUM(D218:H218)</f>
        <v>-271.47</v>
      </c>
      <c r="J218" s="33" t="n">
        <f aca="false">IF(C218&lt;=$C$22,I218,0)</f>
        <v>-271.47</v>
      </c>
      <c r="K218" s="33" t="n">
        <f aca="false">IF(C218&lt;=$D$22,I218,0)</f>
        <v>-271.47</v>
      </c>
      <c r="L218" s="33" t="n">
        <f aca="false">IF(C218&lt;=$E$22,I218,0)</f>
        <v>-271.47</v>
      </c>
    </row>
    <row r="219" customFormat="false" ht="15" hidden="false" customHeight="true" outlineLevel="0" collapsed="false">
      <c r="B219" s="65" t="n">
        <f aca="false">EDATE(B218,1)</f>
        <v>45658</v>
      </c>
      <c r="C219" s="64" t="n">
        <f aca="false">B219+14</f>
        <v>45672</v>
      </c>
      <c r="D219" s="33" t="n">
        <f aca="false">IF(OR($C$9="",B219&gt;=$C$9),0,$C$10*(1+$C$11)^IF(B219&lt;$C$7,0,DATEDIF($C$7,B219,"y"))*MAX(0,MIN(EDATE(B219,1),$C$9)-MAX(B219,$C$7))/(EDATE(B219,1)-B219))</f>
        <v>0</v>
      </c>
      <c r="E219" s="33" t="n">
        <f aca="false">-SUMIFS(Échéancier!$I$5:$I$300,Échéancier!$J$5:$J$300,$C$5,Échéancier!$C$5:$C$300,"&gt;="&amp;B219,Échéancier!$C$5:$C$300,"&lt;"&amp;EDATE(B219,1))</f>
        <v>-841.33</v>
      </c>
      <c r="F219" s="33" t="n">
        <f aca="false">-SUMIFS($D$68:$D$106,$E$68:$E$106,$C$5,$C$68:$C$106,"&gt;="&amp;B219,$C$68:$C$106,"&lt;"&amp;EDATE(B219,1))</f>
        <v>-0</v>
      </c>
      <c r="G219" s="33" t="n">
        <f aca="false">SUMIFS(Journal!$K$5:$K$1004,Journal!$C$5:$C$1004,$C$5,Journal!$A$5:$A$1004,"&gt;="&amp;B219,Journal!$A$5:$A$1004,"&lt;"&amp;MIN(EDATE(B219,1),$C$6+1))</f>
        <v>266.57</v>
      </c>
      <c r="H219" s="33" t="n">
        <f aca="false">IF(B219&lt;=$C$6,0,($C$12-$C$13/12)*(1+$C$14)^(YEAR(B219)-YEAR($C$6)))</f>
        <v>0</v>
      </c>
      <c r="I219" s="33" t="n">
        <f aca="false">SUM(D219:H219)</f>
        <v>-574.76</v>
      </c>
      <c r="J219" s="33" t="n">
        <f aca="false">IF(C219&lt;=$C$22,I219,0)</f>
        <v>-574.76</v>
      </c>
      <c r="K219" s="33" t="n">
        <f aca="false">IF(C219&lt;=$D$22,I219,0)</f>
        <v>-574.76</v>
      </c>
      <c r="L219" s="33" t="n">
        <f aca="false">IF(C219&lt;=$E$22,I219,0)</f>
        <v>-574.76</v>
      </c>
    </row>
    <row r="220" customFormat="false" ht="15" hidden="false" customHeight="true" outlineLevel="0" collapsed="false">
      <c r="B220" s="65" t="n">
        <f aca="false">EDATE(B219,1)</f>
        <v>45689</v>
      </c>
      <c r="C220" s="64" t="n">
        <f aca="false">B220+14</f>
        <v>45703</v>
      </c>
      <c r="D220" s="33" t="n">
        <f aca="false">IF(OR($C$9="",B220&gt;=$C$9),0,$C$10*(1+$C$11)^IF(B220&lt;$C$7,0,DATEDIF($C$7,B220,"y"))*MAX(0,MIN(EDATE(B220,1),$C$9)-MAX(B220,$C$7))/(EDATE(B220,1)-B220))</f>
        <v>0</v>
      </c>
      <c r="E220" s="33" t="n">
        <f aca="false">-SUMIFS(Échéancier!$I$5:$I$300,Échéancier!$J$5:$J$300,$C$5,Échéancier!$C$5:$C$300,"&gt;="&amp;B220,Échéancier!$C$5:$C$300,"&lt;"&amp;EDATE(B220,1))</f>
        <v>-841.32</v>
      </c>
      <c r="F220" s="33" t="n">
        <f aca="false">-SUMIFS($D$68:$D$106,$E$68:$E$106,$C$5,$C$68:$C$106,"&gt;="&amp;B220,$C$68:$C$106,"&lt;"&amp;EDATE(B220,1))</f>
        <v>-0</v>
      </c>
      <c r="G220" s="33" t="n">
        <f aca="false">SUMIFS(Journal!$K$5:$K$1004,Journal!$C$5:$C$1004,$C$5,Journal!$A$5:$A$1004,"&gt;="&amp;B220,Journal!$A$5:$A$1004,"&lt;"&amp;MIN(EDATE(B220,1),$C$6+1))</f>
        <v>1035.65</v>
      </c>
      <c r="H220" s="33" t="n">
        <f aca="false">IF(B220&lt;=$C$6,0,($C$12-$C$13/12)*(1+$C$14)^(YEAR(B220)-YEAR($C$6)))</f>
        <v>0</v>
      </c>
      <c r="I220" s="33" t="n">
        <f aca="false">SUM(D220:H220)</f>
        <v>194.33</v>
      </c>
      <c r="J220" s="33" t="n">
        <f aca="false">IF(C220&lt;=$C$22,I220,0)</f>
        <v>194.33</v>
      </c>
      <c r="K220" s="33" t="n">
        <f aca="false">IF(C220&lt;=$D$22,I220,0)</f>
        <v>194.33</v>
      </c>
      <c r="L220" s="33" t="n">
        <f aca="false">IF(C220&lt;=$E$22,I220,0)</f>
        <v>194.33</v>
      </c>
    </row>
    <row r="221" customFormat="false" ht="15" hidden="false" customHeight="true" outlineLevel="0" collapsed="false">
      <c r="B221" s="65" t="n">
        <f aca="false">EDATE(B220,1)</f>
        <v>45717</v>
      </c>
      <c r="C221" s="64" t="n">
        <f aca="false">B221+14</f>
        <v>45731</v>
      </c>
      <c r="D221" s="33" t="n">
        <f aca="false">IF(OR($C$9="",B221&gt;=$C$9),0,$C$10*(1+$C$11)^IF(B221&lt;$C$7,0,DATEDIF($C$7,B221,"y"))*MAX(0,MIN(EDATE(B221,1),$C$9)-MAX(B221,$C$7))/(EDATE(B221,1)-B221))</f>
        <v>0</v>
      </c>
      <c r="E221" s="33" t="n">
        <f aca="false">-SUMIFS(Échéancier!$I$5:$I$300,Échéancier!$J$5:$J$300,$C$5,Échéancier!$C$5:$C$300,"&gt;="&amp;B221,Échéancier!$C$5:$C$300,"&lt;"&amp;EDATE(B221,1))</f>
        <v>-841.33</v>
      </c>
      <c r="F221" s="33" t="n">
        <f aca="false">-SUMIFS($D$68:$D$106,$E$68:$E$106,$C$5,$C$68:$C$106,"&gt;="&amp;B221,$C$68:$C$106,"&lt;"&amp;EDATE(B221,1))</f>
        <v>-0</v>
      </c>
      <c r="G221" s="33" t="n">
        <f aca="false">SUMIFS(Journal!$K$5:$K$1004,Journal!$C$5:$C$1004,$C$5,Journal!$A$5:$A$1004,"&gt;="&amp;B221,Journal!$A$5:$A$1004,"&lt;"&amp;MIN(EDATE(B221,1),$C$6+1))</f>
        <v>1035.65</v>
      </c>
      <c r="H221" s="33" t="n">
        <f aca="false">IF(B221&lt;=$C$6,0,($C$12-$C$13/12)*(1+$C$14)^(YEAR(B221)-YEAR($C$6)))</f>
        <v>0</v>
      </c>
      <c r="I221" s="33" t="n">
        <f aca="false">SUM(D221:H221)</f>
        <v>194.32</v>
      </c>
      <c r="J221" s="33" t="n">
        <f aca="false">IF(C221&lt;=$C$22,I221,0)</f>
        <v>194.32</v>
      </c>
      <c r="K221" s="33" t="n">
        <f aca="false">IF(C221&lt;=$D$22,I221,0)</f>
        <v>194.32</v>
      </c>
      <c r="L221" s="33" t="n">
        <f aca="false">IF(C221&lt;=$E$22,I221,0)</f>
        <v>194.32</v>
      </c>
    </row>
    <row r="222" customFormat="false" ht="15" hidden="false" customHeight="true" outlineLevel="0" collapsed="false">
      <c r="B222" s="65" t="n">
        <f aca="false">EDATE(B221,1)</f>
        <v>45748</v>
      </c>
      <c r="C222" s="64" t="n">
        <f aca="false">B222+14</f>
        <v>45762</v>
      </c>
      <c r="D222" s="33" t="n">
        <f aca="false">IF(OR($C$9="",B222&gt;=$C$9),0,$C$10*(1+$C$11)^IF(B222&lt;$C$7,0,DATEDIF($C$7,B222,"y"))*MAX(0,MIN(EDATE(B222,1),$C$9)-MAX(B222,$C$7))/(EDATE(B222,1)-B222))</f>
        <v>0</v>
      </c>
      <c r="E222" s="33" t="n">
        <f aca="false">-SUMIFS(Échéancier!$I$5:$I$300,Échéancier!$J$5:$J$300,$C$5,Échéancier!$C$5:$C$300,"&gt;="&amp;B222,Échéancier!$C$5:$C$300,"&lt;"&amp;EDATE(B222,1))</f>
        <v>-841.33</v>
      </c>
      <c r="F222" s="33" t="n">
        <f aca="false">-SUMIFS($D$68:$D$106,$E$68:$E$106,$C$5,$C$68:$C$106,"&gt;="&amp;B222,$C$68:$C$106,"&lt;"&amp;EDATE(B222,1))</f>
        <v>-0</v>
      </c>
      <c r="G222" s="33" t="n">
        <f aca="false">SUMIFS(Journal!$K$5:$K$1004,Journal!$C$5:$C$1004,$C$5,Journal!$A$5:$A$1004,"&gt;="&amp;B222,Journal!$A$5:$A$1004,"&lt;"&amp;MIN(EDATE(B222,1),$C$6+1))</f>
        <v>178.48</v>
      </c>
      <c r="H222" s="33" t="n">
        <f aca="false">IF(B222&lt;=$C$6,0,($C$12-$C$13/12)*(1+$C$14)^(YEAR(B222)-YEAR($C$6)))</f>
        <v>0</v>
      </c>
      <c r="I222" s="33" t="n">
        <f aca="false">SUM(D222:H222)</f>
        <v>-662.85</v>
      </c>
      <c r="J222" s="33" t="n">
        <f aca="false">IF(C222&lt;=$C$22,I222,0)</f>
        <v>-662.85</v>
      </c>
      <c r="K222" s="33" t="n">
        <f aca="false">IF(C222&lt;=$D$22,I222,0)</f>
        <v>-662.85</v>
      </c>
      <c r="L222" s="33" t="n">
        <f aca="false">IF(C222&lt;=$E$22,I222,0)</f>
        <v>-662.85</v>
      </c>
    </row>
    <row r="223" customFormat="false" ht="15" hidden="false" customHeight="true" outlineLevel="0" collapsed="false">
      <c r="B223" s="65" t="n">
        <f aca="false">EDATE(B222,1)</f>
        <v>45778</v>
      </c>
      <c r="C223" s="64" t="n">
        <f aca="false">B223+14</f>
        <v>45792</v>
      </c>
      <c r="D223" s="33" t="n">
        <f aca="false">IF(OR($C$9="",B223&gt;=$C$9),0,$C$10*(1+$C$11)^IF(B223&lt;$C$7,0,DATEDIF($C$7,B223,"y"))*MAX(0,MIN(EDATE(B223,1),$C$9)-MAX(B223,$C$7))/(EDATE(B223,1)-B223))</f>
        <v>0</v>
      </c>
      <c r="E223" s="33" t="n">
        <f aca="false">-SUMIFS(Échéancier!$I$5:$I$300,Échéancier!$J$5:$J$300,$C$5,Échéancier!$C$5:$C$300,"&gt;="&amp;B223,Échéancier!$C$5:$C$300,"&lt;"&amp;EDATE(B223,1))</f>
        <v>-841.32</v>
      </c>
      <c r="F223" s="33" t="n">
        <f aca="false">-SUMIFS($D$68:$D$106,$E$68:$E$106,$C$5,$C$68:$C$106,"&gt;="&amp;B223,$C$68:$C$106,"&lt;"&amp;EDATE(B223,1))</f>
        <v>-0</v>
      </c>
      <c r="G223" s="33" t="n">
        <f aca="false">SUMIFS(Journal!$K$5:$K$1004,Journal!$C$5:$C$1004,$C$5,Journal!$A$5:$A$1004,"&gt;="&amp;B223,Journal!$A$5:$A$1004,"&lt;"&amp;MIN(EDATE(B223,1),$C$6+1))</f>
        <v>1041.72</v>
      </c>
      <c r="H223" s="33" t="n">
        <f aca="false">IF(B223&lt;=$C$6,0,($C$12-$C$13/12)*(1+$C$14)^(YEAR(B223)-YEAR($C$6)))</f>
        <v>0</v>
      </c>
      <c r="I223" s="33" t="n">
        <f aca="false">SUM(D223:H223)</f>
        <v>200.4</v>
      </c>
      <c r="J223" s="33" t="n">
        <f aca="false">IF(C223&lt;=$C$22,I223,0)</f>
        <v>200.4</v>
      </c>
      <c r="K223" s="33" t="n">
        <f aca="false">IF(C223&lt;=$D$22,I223,0)</f>
        <v>200.4</v>
      </c>
      <c r="L223" s="33" t="n">
        <f aca="false">IF(C223&lt;=$E$22,I223,0)</f>
        <v>200.4</v>
      </c>
    </row>
    <row r="224" customFormat="false" ht="15" hidden="false" customHeight="true" outlineLevel="0" collapsed="false">
      <c r="B224" s="65" t="n">
        <f aca="false">EDATE(B223,1)</f>
        <v>45809</v>
      </c>
      <c r="C224" s="64" t="n">
        <f aca="false">B224+14</f>
        <v>45823</v>
      </c>
      <c r="D224" s="33" t="n">
        <f aca="false">IF(OR($C$9="",B224&gt;=$C$9),0,$C$10*(1+$C$11)^IF(B224&lt;$C$7,0,DATEDIF($C$7,B224,"y"))*MAX(0,MIN(EDATE(B224,1),$C$9)-MAX(B224,$C$7))/(EDATE(B224,1)-B224))</f>
        <v>0</v>
      </c>
      <c r="E224" s="33" t="n">
        <f aca="false">-SUMIFS(Échéancier!$I$5:$I$300,Échéancier!$J$5:$J$300,$C$5,Échéancier!$C$5:$C$300,"&gt;="&amp;B224,Échéancier!$C$5:$C$300,"&lt;"&amp;EDATE(B224,1))</f>
        <v>-841.33</v>
      </c>
      <c r="F224" s="33" t="n">
        <f aca="false">-SUMIFS($D$68:$D$106,$E$68:$E$106,$C$5,$C$68:$C$106,"&gt;="&amp;B224,$C$68:$C$106,"&lt;"&amp;EDATE(B224,1))</f>
        <v>-0</v>
      </c>
      <c r="G224" s="33" t="n">
        <f aca="false">SUMIFS(Journal!$K$5:$K$1004,Journal!$C$5:$C$1004,$C$5,Journal!$A$5:$A$1004,"&gt;="&amp;B224,Journal!$A$5:$A$1004,"&lt;"&amp;MIN(EDATE(B224,1),$C$6+1))</f>
        <v>1004.82</v>
      </c>
      <c r="H224" s="33" t="n">
        <f aca="false">IF(B224&lt;=$C$6,0,($C$12-$C$13/12)*(1+$C$14)^(YEAR(B224)-YEAR($C$6)))</f>
        <v>0</v>
      </c>
      <c r="I224" s="33" t="n">
        <f aca="false">SUM(D224:H224)</f>
        <v>163.49</v>
      </c>
      <c r="J224" s="33" t="n">
        <f aca="false">IF(C224&lt;=$C$22,I224,0)</f>
        <v>163.49</v>
      </c>
      <c r="K224" s="33" t="n">
        <f aca="false">IF(C224&lt;=$D$22,I224,0)</f>
        <v>163.49</v>
      </c>
      <c r="L224" s="33" t="n">
        <f aca="false">IF(C224&lt;=$E$22,I224,0)</f>
        <v>163.49</v>
      </c>
    </row>
    <row r="225" customFormat="false" ht="15" hidden="false" customHeight="true" outlineLevel="0" collapsed="false">
      <c r="B225" s="65" t="n">
        <f aca="false">EDATE(B224,1)</f>
        <v>45839</v>
      </c>
      <c r="C225" s="64" t="n">
        <f aca="false">B225+14</f>
        <v>45853</v>
      </c>
      <c r="D225" s="33" t="n">
        <f aca="false">IF(OR($C$9="",B225&gt;=$C$9),0,$C$10*(1+$C$11)^IF(B225&lt;$C$7,0,DATEDIF($C$7,B225,"y"))*MAX(0,MIN(EDATE(B225,1),$C$9)-MAX(B225,$C$7))/(EDATE(B225,1)-B225))</f>
        <v>0</v>
      </c>
      <c r="E225" s="33" t="n">
        <f aca="false">-SUMIFS(Échéancier!$I$5:$I$300,Échéancier!$J$5:$J$300,$C$5,Échéancier!$C$5:$C$300,"&gt;="&amp;B225,Échéancier!$C$5:$C$300,"&lt;"&amp;EDATE(B225,1))</f>
        <v>-841.32</v>
      </c>
      <c r="F225" s="33" t="n">
        <f aca="false">-SUMIFS($D$68:$D$106,$E$68:$E$106,$C$5,$C$68:$C$106,"&gt;="&amp;B225,$C$68:$C$106,"&lt;"&amp;EDATE(B225,1))</f>
        <v>-0</v>
      </c>
      <c r="G225" s="33" t="n">
        <f aca="false">SUMIFS(Journal!$K$5:$K$1004,Journal!$C$5:$C$1004,$C$5,Journal!$A$5:$A$1004,"&gt;="&amp;B225,Journal!$A$5:$A$1004,"&lt;"&amp;MIN(EDATE(B225,1),$C$6+1))</f>
        <v>351.58</v>
      </c>
      <c r="H225" s="33" t="n">
        <f aca="false">IF(B225&lt;=$C$6,0,($C$12-$C$13/12)*(1+$C$14)^(YEAR(B225)-YEAR($C$6)))</f>
        <v>0</v>
      </c>
      <c r="I225" s="33" t="n">
        <f aca="false">SUM(D225:H225)</f>
        <v>-489.74</v>
      </c>
      <c r="J225" s="33" t="n">
        <f aca="false">IF(C225&lt;=$C$22,I225,0)</f>
        <v>-489.74</v>
      </c>
      <c r="K225" s="33" t="n">
        <f aca="false">IF(C225&lt;=$D$22,I225,0)</f>
        <v>-489.74</v>
      </c>
      <c r="L225" s="33" t="n">
        <f aca="false">IF(C225&lt;=$E$22,I225,0)</f>
        <v>-489.74</v>
      </c>
    </row>
    <row r="226" customFormat="false" ht="15" hidden="false" customHeight="true" outlineLevel="0" collapsed="false">
      <c r="B226" s="65" t="n">
        <f aca="false">EDATE(B225,1)</f>
        <v>45870</v>
      </c>
      <c r="C226" s="64" t="n">
        <f aca="false">B226+14</f>
        <v>45884</v>
      </c>
      <c r="D226" s="33" t="n">
        <f aca="false">IF(OR($C$9="",B226&gt;=$C$9),0,$C$10*(1+$C$11)^IF(B226&lt;$C$7,0,DATEDIF($C$7,B226,"y"))*MAX(0,MIN(EDATE(B226,1),$C$9)-MAX(B226,$C$7))/(EDATE(B226,1)-B226))</f>
        <v>0</v>
      </c>
      <c r="E226" s="33" t="n">
        <f aca="false">-SUMIFS(Échéancier!$I$5:$I$300,Échéancier!$J$5:$J$300,$C$5,Échéancier!$C$5:$C$300,"&gt;="&amp;B226,Échéancier!$C$5:$C$300,"&lt;"&amp;EDATE(B226,1))</f>
        <v>-841.33</v>
      </c>
      <c r="F226" s="33" t="n">
        <f aca="false">-SUMIFS($D$68:$D$106,$E$68:$E$106,$C$5,$C$68:$C$106,"&gt;="&amp;B226,$C$68:$C$106,"&lt;"&amp;EDATE(B226,1))</f>
        <v>-0</v>
      </c>
      <c r="G226" s="33" t="n">
        <f aca="false">SUMIFS(Journal!$K$5:$K$1004,Journal!$C$5:$C$1004,$C$5,Journal!$A$5:$A$1004,"&gt;="&amp;B226,Journal!$A$5:$A$1004,"&lt;"&amp;MIN(EDATE(B226,1),$C$6+1))</f>
        <v>-954.71</v>
      </c>
      <c r="H226" s="33" t="n">
        <f aca="false">IF(B226&lt;=$C$6,0,($C$12-$C$13/12)*(1+$C$14)^(YEAR(B226)-YEAR($C$6)))</f>
        <v>0</v>
      </c>
      <c r="I226" s="33" t="n">
        <f aca="false">SUM(D226:H226)</f>
        <v>-1796.04</v>
      </c>
      <c r="J226" s="33" t="n">
        <f aca="false">IF(C226&lt;=$C$22,I226,0)</f>
        <v>-1796.04</v>
      </c>
      <c r="K226" s="33" t="n">
        <f aca="false">IF(C226&lt;=$D$22,I226,0)</f>
        <v>-1796.04</v>
      </c>
      <c r="L226" s="33" t="n">
        <f aca="false">IF(C226&lt;=$E$22,I226,0)</f>
        <v>-1796.04</v>
      </c>
    </row>
    <row r="227" customFormat="false" ht="15" hidden="false" customHeight="true" outlineLevel="0" collapsed="false">
      <c r="B227" s="65" t="n">
        <f aca="false">EDATE(B226,1)</f>
        <v>45901</v>
      </c>
      <c r="C227" s="64" t="n">
        <f aca="false">B227+14</f>
        <v>45915</v>
      </c>
      <c r="D227" s="33" t="n">
        <f aca="false">IF(OR($C$9="",B227&gt;=$C$9),0,$C$10*(1+$C$11)^IF(B227&lt;$C$7,0,DATEDIF($C$7,B227,"y"))*MAX(0,MIN(EDATE(B227,1),$C$9)-MAX(B227,$C$7))/(EDATE(B227,1)-B227))</f>
        <v>0</v>
      </c>
      <c r="E227" s="33" t="n">
        <f aca="false">-SUMIFS(Échéancier!$I$5:$I$300,Échéancier!$J$5:$J$300,$C$5,Échéancier!$C$5:$C$300,"&gt;="&amp;B227,Échéancier!$C$5:$C$300,"&lt;"&amp;EDATE(B227,1))</f>
        <v>-841.33</v>
      </c>
      <c r="F227" s="33" t="n">
        <f aca="false">-SUMIFS($D$68:$D$106,$E$68:$E$106,$C$5,$C$68:$C$106,"&gt;="&amp;B227,$C$68:$C$106,"&lt;"&amp;EDATE(B227,1))</f>
        <v>-0</v>
      </c>
      <c r="G227" s="33" t="n">
        <f aca="false">SUMIFS(Journal!$K$5:$K$1004,Journal!$C$5:$C$1004,$C$5,Journal!$A$5:$A$1004,"&gt;="&amp;B227,Journal!$A$5:$A$1004,"&lt;"&amp;MIN(EDATE(B227,1),$C$6+1))</f>
        <v>1049.08</v>
      </c>
      <c r="H227" s="33" t="n">
        <f aca="false">IF(B227&lt;=$C$6,0,($C$12-$C$13/12)*(1+$C$14)^(YEAR(B227)-YEAR($C$6)))</f>
        <v>0</v>
      </c>
      <c r="I227" s="33" t="n">
        <f aca="false">SUM(D227:H227)</f>
        <v>207.75</v>
      </c>
      <c r="J227" s="33" t="n">
        <f aca="false">IF(C227&lt;=$C$22,I227,0)</f>
        <v>207.75</v>
      </c>
      <c r="K227" s="33" t="n">
        <f aca="false">IF(C227&lt;=$D$22,I227,0)</f>
        <v>207.75</v>
      </c>
      <c r="L227" s="33" t="n">
        <f aca="false">IF(C227&lt;=$E$22,I227,0)</f>
        <v>207.75</v>
      </c>
    </row>
    <row r="228" customFormat="false" ht="15" hidden="false" customHeight="true" outlineLevel="0" collapsed="false">
      <c r="B228" s="65" t="n">
        <f aca="false">EDATE(B227,1)</f>
        <v>45931</v>
      </c>
      <c r="C228" s="64" t="n">
        <f aca="false">B228+14</f>
        <v>45945</v>
      </c>
      <c r="D228" s="33" t="n">
        <f aca="false">IF(OR($C$9="",B228&gt;=$C$9),0,$C$10*(1+$C$11)^IF(B228&lt;$C$7,0,DATEDIF($C$7,B228,"y"))*MAX(0,MIN(EDATE(B228,1),$C$9)-MAX(B228,$C$7))/(EDATE(B228,1)-B228))</f>
        <v>0</v>
      </c>
      <c r="E228" s="33" t="n">
        <f aca="false">-SUMIFS(Échéancier!$I$5:$I$300,Échéancier!$J$5:$J$300,$C$5,Échéancier!$C$5:$C$300,"&gt;="&amp;B228,Échéancier!$C$5:$C$300,"&lt;"&amp;EDATE(B228,1))</f>
        <v>-841.32</v>
      </c>
      <c r="F228" s="33" t="n">
        <f aca="false">-SUMIFS($D$68:$D$106,$E$68:$E$106,$C$5,$C$68:$C$106,"&gt;="&amp;B228,$C$68:$C$106,"&lt;"&amp;EDATE(B228,1))</f>
        <v>-0</v>
      </c>
      <c r="G228" s="33" t="n">
        <f aca="false">SUMIFS(Journal!$K$5:$K$1004,Journal!$C$5:$C$1004,$C$5,Journal!$A$5:$A$1004,"&gt;="&amp;B228,Journal!$A$5:$A$1004,"&lt;"&amp;MIN(EDATE(B228,1),$C$6+1))</f>
        <v>20.6399999999999</v>
      </c>
      <c r="H228" s="33" t="n">
        <f aca="false">IF(B228&lt;=$C$6,0,($C$12-$C$13/12)*(1+$C$14)^(YEAR(B228)-YEAR($C$6)))</f>
        <v>0</v>
      </c>
      <c r="I228" s="33" t="n">
        <f aca="false">SUM(D228:H228)</f>
        <v>-820.68</v>
      </c>
      <c r="J228" s="33" t="n">
        <f aca="false">IF(C228&lt;=$C$22,I228,0)</f>
        <v>-820.68</v>
      </c>
      <c r="K228" s="33" t="n">
        <f aca="false">IF(C228&lt;=$D$22,I228,0)</f>
        <v>-820.68</v>
      </c>
      <c r="L228" s="33" t="n">
        <f aca="false">IF(C228&lt;=$E$22,I228,0)</f>
        <v>-820.68</v>
      </c>
    </row>
    <row r="229" customFormat="false" ht="15" hidden="false" customHeight="true" outlineLevel="0" collapsed="false">
      <c r="B229" s="65" t="n">
        <f aca="false">EDATE(B228,1)</f>
        <v>45962</v>
      </c>
      <c r="C229" s="64" t="n">
        <f aca="false">B229+14</f>
        <v>45976</v>
      </c>
      <c r="D229" s="33" t="n">
        <f aca="false">IF(OR($C$9="",B229&gt;=$C$9),0,$C$10*(1+$C$11)^IF(B229&lt;$C$7,0,DATEDIF($C$7,B229,"y"))*MAX(0,MIN(EDATE(B229,1),$C$9)-MAX(B229,$C$7))/(EDATE(B229,1)-B229))</f>
        <v>0</v>
      </c>
      <c r="E229" s="33" t="n">
        <f aca="false">-SUMIFS(Échéancier!$I$5:$I$300,Échéancier!$J$5:$J$300,$C$5,Échéancier!$C$5:$C$300,"&gt;="&amp;B229,Échéancier!$C$5:$C$300,"&lt;"&amp;EDATE(B229,1))</f>
        <v>-841.33</v>
      </c>
      <c r="F229" s="33" t="n">
        <f aca="false">-SUMIFS($D$68:$D$106,$E$68:$E$106,$C$5,$C$68:$C$106,"&gt;="&amp;B229,$C$68:$C$106,"&lt;"&amp;EDATE(B229,1))</f>
        <v>-0</v>
      </c>
      <c r="G229" s="33" t="n">
        <f aca="false">SUMIFS(Journal!$K$5:$K$1004,Journal!$C$5:$C$1004,$C$5,Journal!$A$5:$A$1004,"&gt;="&amp;B229,Journal!$A$5:$A$1004,"&lt;"&amp;MIN(EDATE(B229,1),$C$6+1))</f>
        <v>1126.76</v>
      </c>
      <c r="H229" s="33" t="n">
        <f aca="false">IF(B229&lt;=$C$6,0,($C$12-$C$13/12)*(1+$C$14)^(YEAR(B229)-YEAR($C$6)))</f>
        <v>0</v>
      </c>
      <c r="I229" s="33" t="n">
        <f aca="false">SUM(D229:H229)</f>
        <v>285.43</v>
      </c>
      <c r="J229" s="33" t="n">
        <f aca="false">IF(C229&lt;=$C$22,I229,0)</f>
        <v>285.43</v>
      </c>
      <c r="K229" s="33" t="n">
        <f aca="false">IF(C229&lt;=$D$22,I229,0)</f>
        <v>285.43</v>
      </c>
      <c r="L229" s="33" t="n">
        <f aca="false">IF(C229&lt;=$E$22,I229,0)</f>
        <v>285.43</v>
      </c>
    </row>
    <row r="230" customFormat="false" ht="15" hidden="false" customHeight="true" outlineLevel="0" collapsed="false">
      <c r="B230" s="65" t="n">
        <f aca="false">EDATE(B229,1)</f>
        <v>45992</v>
      </c>
      <c r="C230" s="64" t="n">
        <f aca="false">B230+14</f>
        <v>46006</v>
      </c>
      <c r="D230" s="33" t="n">
        <f aca="false">IF(OR($C$9="",B230&gt;=$C$9),0,$C$10*(1+$C$11)^IF(B230&lt;$C$7,0,DATEDIF($C$7,B230,"y"))*MAX(0,MIN(EDATE(B230,1),$C$9)-MAX(B230,$C$7))/(EDATE(B230,1)-B230))</f>
        <v>0</v>
      </c>
      <c r="E230" s="33" t="n">
        <f aca="false">-SUMIFS(Échéancier!$I$5:$I$300,Échéancier!$J$5:$J$300,$C$5,Échéancier!$C$5:$C$300,"&gt;="&amp;B230,Échéancier!$C$5:$C$300,"&lt;"&amp;EDATE(B230,1))</f>
        <v>-841.32</v>
      </c>
      <c r="F230" s="33" t="n">
        <f aca="false">-SUMIFS($D$68:$D$106,$E$68:$E$106,$C$5,$C$68:$C$106,"&gt;="&amp;B230,$C$68:$C$106,"&lt;"&amp;EDATE(B230,1))</f>
        <v>-0</v>
      </c>
      <c r="G230" s="33" t="n">
        <f aca="false">SUMIFS(Journal!$K$5:$K$1004,Journal!$C$5:$C$1004,$C$5,Journal!$A$5:$A$1004,"&gt;="&amp;B230,Journal!$A$5:$A$1004,"&lt;"&amp;MIN(EDATE(B230,1),$C$6+1))</f>
        <v>856.17</v>
      </c>
      <c r="H230" s="33" t="n">
        <f aca="false">IF(B230&lt;=$C$6,0,($C$12-$C$13/12)*(1+$C$14)^(YEAR(B230)-YEAR($C$6)))</f>
        <v>0</v>
      </c>
      <c r="I230" s="33" t="n">
        <f aca="false">SUM(D230:H230)</f>
        <v>14.8499999999999</v>
      </c>
      <c r="J230" s="33" t="n">
        <f aca="false">IF(C230&lt;=$C$22,I230,0)</f>
        <v>14.8499999999999</v>
      </c>
      <c r="K230" s="33" t="n">
        <f aca="false">IF(C230&lt;=$D$22,I230,0)</f>
        <v>14.8499999999999</v>
      </c>
      <c r="L230" s="33" t="n">
        <f aca="false">IF(C230&lt;=$E$22,I230,0)</f>
        <v>14.8499999999999</v>
      </c>
    </row>
    <row r="231" customFormat="false" ht="15" hidden="false" customHeight="true" outlineLevel="0" collapsed="false">
      <c r="B231" s="65" t="n">
        <f aca="false">EDATE(B230,1)</f>
        <v>46023</v>
      </c>
      <c r="C231" s="64" t="n">
        <f aca="false">B231+14</f>
        <v>46037</v>
      </c>
      <c r="D231" s="33" t="n">
        <f aca="false">IF(OR($C$9="",B231&gt;=$C$9),0,$C$10*(1+$C$11)^IF(B231&lt;$C$7,0,DATEDIF($C$7,B231,"y"))*MAX(0,MIN(EDATE(B231,1),$C$9)-MAX(B231,$C$7))/(EDATE(B231,1)-B231))</f>
        <v>0</v>
      </c>
      <c r="E231" s="33" t="n">
        <f aca="false">-SUMIFS(Échéancier!$I$5:$I$300,Échéancier!$J$5:$J$300,$C$5,Échéancier!$C$5:$C$300,"&gt;="&amp;B231,Échéancier!$C$5:$C$300,"&lt;"&amp;EDATE(B231,1))</f>
        <v>-841.33</v>
      </c>
      <c r="F231" s="33" t="n">
        <f aca="false">-SUMIFS($D$68:$D$106,$E$68:$E$106,$C$5,$C$68:$C$106,"&gt;="&amp;B231,$C$68:$C$106,"&lt;"&amp;EDATE(B231,1))</f>
        <v>-0</v>
      </c>
      <c r="G231" s="33" t="n">
        <f aca="false">SUMIFS(Journal!$K$5:$K$1004,Journal!$C$5:$C$1004,$C$5,Journal!$A$5:$A$1004,"&gt;="&amp;B231,Journal!$A$5:$A$1004,"&lt;"&amp;MIN(EDATE(B231,1),$C$6+1))</f>
        <v>322.8</v>
      </c>
      <c r="H231" s="33" t="n">
        <f aca="false">IF(B231&lt;=$C$6,0,($C$12-$C$13/12)*(1+$C$14)^(YEAR(B231)-YEAR($C$6)))</f>
        <v>0</v>
      </c>
      <c r="I231" s="33" t="n">
        <f aca="false">SUM(D231:H231)</f>
        <v>-518.53</v>
      </c>
      <c r="J231" s="33" t="n">
        <f aca="false">IF(C231&lt;=$C$22,I231,0)</f>
        <v>-518.53</v>
      </c>
      <c r="K231" s="33" t="n">
        <f aca="false">IF(C231&lt;=$D$22,I231,0)</f>
        <v>-518.53</v>
      </c>
      <c r="L231" s="33" t="n">
        <f aca="false">IF(C231&lt;=$E$22,I231,0)</f>
        <v>-518.53</v>
      </c>
    </row>
    <row r="232" customFormat="false" ht="15" hidden="false" customHeight="true" outlineLevel="0" collapsed="false">
      <c r="B232" s="65" t="n">
        <f aca="false">EDATE(B231,1)</f>
        <v>46054</v>
      </c>
      <c r="C232" s="64" t="n">
        <f aca="false">B232+14</f>
        <v>46068</v>
      </c>
      <c r="D232" s="33" t="n">
        <f aca="false">IF(OR($C$9="",B232&gt;=$C$9),0,$C$10*(1+$C$11)^IF(B232&lt;$C$7,0,DATEDIF($C$7,B232,"y"))*MAX(0,MIN(EDATE(B232,1),$C$9)-MAX(B232,$C$7))/(EDATE(B232,1)-B232))</f>
        <v>0</v>
      </c>
      <c r="E232" s="33" t="n">
        <f aca="false">-SUMIFS(Échéancier!$I$5:$I$300,Échéancier!$J$5:$J$300,$C$5,Échéancier!$C$5:$C$300,"&gt;="&amp;B232,Échéancier!$C$5:$C$300,"&lt;"&amp;EDATE(B232,1))</f>
        <v>-841.32</v>
      </c>
      <c r="F232" s="33" t="n">
        <f aca="false">-SUMIFS($D$68:$D$106,$E$68:$E$106,$C$5,$C$68:$C$106,"&gt;="&amp;B232,$C$68:$C$106,"&lt;"&amp;EDATE(B232,1))</f>
        <v>-0</v>
      </c>
      <c r="G232" s="33" t="n">
        <f aca="false">SUMIFS(Journal!$K$5:$K$1004,Journal!$C$5:$C$1004,$C$5,Journal!$A$5:$A$1004,"&gt;="&amp;B232,Journal!$A$5:$A$1004,"&lt;"&amp;MIN(EDATE(B232,1),$C$6+1))</f>
        <v>1049.08</v>
      </c>
      <c r="H232" s="33" t="n">
        <f aca="false">IF(B232&lt;=$C$6,0,($C$12-$C$13/12)*(1+$C$14)^(YEAR(B232)-YEAR($C$6)))</f>
        <v>0</v>
      </c>
      <c r="I232" s="33" t="n">
        <f aca="false">SUM(D232:H232)</f>
        <v>207.76</v>
      </c>
      <c r="J232" s="33" t="n">
        <f aca="false">IF(C232&lt;=$C$22,I232,0)</f>
        <v>207.76</v>
      </c>
      <c r="K232" s="33" t="n">
        <f aca="false">IF(C232&lt;=$D$22,I232,0)</f>
        <v>207.76</v>
      </c>
      <c r="L232" s="33" t="n">
        <f aca="false">IF(C232&lt;=$E$22,I232,0)</f>
        <v>207.76</v>
      </c>
    </row>
    <row r="233" customFormat="false" ht="15" hidden="false" customHeight="true" outlineLevel="0" collapsed="false">
      <c r="B233" s="65" t="n">
        <f aca="false">EDATE(B232,1)</f>
        <v>46082</v>
      </c>
      <c r="C233" s="64" t="n">
        <f aca="false">B233+14</f>
        <v>46096</v>
      </c>
      <c r="D233" s="33" t="n">
        <f aca="false">IF(OR($C$9="",B233&gt;=$C$9),0,$C$10*(1+$C$11)^IF(B233&lt;$C$7,0,DATEDIF($C$7,B233,"y"))*MAX(0,MIN(EDATE(B233,1),$C$9)-MAX(B233,$C$7))/(EDATE(B233,1)-B233))</f>
        <v>0</v>
      </c>
      <c r="E233" s="33" t="n">
        <f aca="false">-SUMIFS(Échéancier!$I$5:$I$300,Échéancier!$J$5:$J$300,$C$5,Échéancier!$C$5:$C$300,"&gt;="&amp;B233,Échéancier!$C$5:$C$300,"&lt;"&amp;EDATE(B233,1))</f>
        <v>-841.33</v>
      </c>
      <c r="F233" s="33" t="n">
        <f aca="false">-SUMIFS($D$68:$D$106,$E$68:$E$106,$C$5,$C$68:$C$106,"&gt;="&amp;B233,$C$68:$C$106,"&lt;"&amp;EDATE(B233,1))</f>
        <v>-0</v>
      </c>
      <c r="G233" s="33" t="n">
        <f aca="false">SUMIFS(Journal!$K$5:$K$1004,Journal!$C$5:$C$1004,$C$5,Journal!$A$5:$A$1004,"&gt;="&amp;B233,Journal!$A$5:$A$1004,"&lt;"&amp;MIN(EDATE(B233,1),$C$6+1))</f>
        <v>-2.62000000000005</v>
      </c>
      <c r="H233" s="33" t="n">
        <f aca="false">IF(B233&lt;=$C$6,0,($C$12-$C$13/12)*(1+$C$14)^(YEAR(B233)-YEAR($C$6)))</f>
        <v>0</v>
      </c>
      <c r="I233" s="33" t="n">
        <f aca="false">SUM(D233:H233)</f>
        <v>-843.95</v>
      </c>
      <c r="J233" s="33" t="n">
        <f aca="false">IF(C233&lt;=$C$22,I233,0)</f>
        <v>-843.95</v>
      </c>
      <c r="K233" s="33" t="n">
        <f aca="false">IF(C233&lt;=$D$22,I233,0)</f>
        <v>-843.95</v>
      </c>
      <c r="L233" s="33" t="n">
        <f aca="false">IF(C233&lt;=$E$22,I233,0)</f>
        <v>-843.95</v>
      </c>
    </row>
    <row r="234" customFormat="false" ht="15" hidden="false" customHeight="true" outlineLevel="0" collapsed="false">
      <c r="B234" s="65" t="n">
        <f aca="false">EDATE(B233,1)</f>
        <v>46113</v>
      </c>
      <c r="C234" s="64" t="n">
        <f aca="false">B234+14</f>
        <v>46127</v>
      </c>
      <c r="D234" s="33" t="n">
        <f aca="false">IF(OR($C$9="",B234&gt;=$C$9),0,$C$10*(1+$C$11)^IF(B234&lt;$C$7,0,DATEDIF($C$7,B234,"y"))*MAX(0,MIN(EDATE(B234,1),$C$9)-MAX(B234,$C$7))/(EDATE(B234,1)-B234))</f>
        <v>0</v>
      </c>
      <c r="E234" s="33" t="n">
        <f aca="false">-SUMIFS(Échéancier!$I$5:$I$300,Échéancier!$J$5:$J$300,$C$5,Échéancier!$C$5:$C$300,"&gt;="&amp;B234,Échéancier!$C$5:$C$300,"&lt;"&amp;EDATE(B234,1))</f>
        <v>-841.32</v>
      </c>
      <c r="F234" s="33" t="n">
        <f aca="false">-SUMIFS($D$68:$D$106,$E$68:$E$106,$C$5,$C$68:$C$106,"&gt;="&amp;B234,$C$68:$C$106,"&lt;"&amp;EDATE(B234,1))</f>
        <v>-0</v>
      </c>
      <c r="G234" s="33" t="n">
        <f aca="false">SUMIFS(Journal!$K$5:$K$1004,Journal!$C$5:$C$1004,$C$5,Journal!$A$5:$A$1004,"&gt;="&amp;B234,Journal!$A$5:$A$1004,"&lt;"&amp;MIN(EDATE(B234,1),$C$6+1))</f>
        <v>1049.08</v>
      </c>
      <c r="H234" s="33" t="n">
        <f aca="false">IF(B234&lt;=$C$6,0,($C$12-$C$13/12)*(1+$C$14)^(YEAR(B234)-YEAR($C$6)))</f>
        <v>0</v>
      </c>
      <c r="I234" s="33" t="n">
        <f aca="false">SUM(D234:H234)</f>
        <v>207.76</v>
      </c>
      <c r="J234" s="33" t="n">
        <f aca="false">IF(C234&lt;=$C$22,I234,0)</f>
        <v>207.76</v>
      </c>
      <c r="K234" s="33" t="n">
        <f aca="false">IF(C234&lt;=$D$22,I234,0)</f>
        <v>207.76</v>
      </c>
      <c r="L234" s="33" t="n">
        <f aca="false">IF(C234&lt;=$E$22,I234,0)</f>
        <v>207.76</v>
      </c>
    </row>
    <row r="235" customFormat="false" ht="15" hidden="false" customHeight="true" outlineLevel="0" collapsed="false">
      <c r="B235" s="65" t="n">
        <f aca="false">EDATE(B234,1)</f>
        <v>46143</v>
      </c>
      <c r="C235" s="64" t="n">
        <f aca="false">B235+14</f>
        <v>46157</v>
      </c>
      <c r="D235" s="33" t="n">
        <f aca="false">IF(OR($C$9="",B235&gt;=$C$9),0,$C$10*(1+$C$11)^IF(B235&lt;$C$7,0,DATEDIF($C$7,B235,"y"))*MAX(0,MIN(EDATE(B235,1),$C$9)-MAX(B235,$C$7))/(EDATE(B235,1)-B235))</f>
        <v>0</v>
      </c>
      <c r="E235" s="33" t="n">
        <f aca="false">-SUMIFS(Échéancier!$I$5:$I$300,Échéancier!$J$5:$J$300,$C$5,Échéancier!$C$5:$C$300,"&gt;="&amp;B235,Échéancier!$C$5:$C$300,"&lt;"&amp;EDATE(B235,1))</f>
        <v>-841.33</v>
      </c>
      <c r="F235" s="33" t="n">
        <f aca="false">-SUMIFS($D$68:$D$106,$E$68:$E$106,$C$5,$C$68:$C$106,"&gt;="&amp;B235,$C$68:$C$106,"&lt;"&amp;EDATE(B235,1))</f>
        <v>-0</v>
      </c>
      <c r="G235" s="33" t="n">
        <f aca="false">SUMIFS(Journal!$K$5:$K$1004,Journal!$C$5:$C$1004,$C$5,Journal!$A$5:$A$1004,"&gt;="&amp;B235,Journal!$A$5:$A$1004,"&lt;"&amp;MIN(EDATE(B235,1),$C$6+1))</f>
        <v>1052.48</v>
      </c>
      <c r="H235" s="33" t="n">
        <f aca="false">IF(B235&lt;=$C$6,0,($C$12-$C$13/12)*(1+$C$14)^(YEAR(B235)-YEAR($C$6)))</f>
        <v>0</v>
      </c>
      <c r="I235" s="33" t="n">
        <f aca="false">SUM(D235:H235)</f>
        <v>211.15</v>
      </c>
      <c r="J235" s="33" t="n">
        <f aca="false">IF(C235&lt;=$C$22,I235,0)</f>
        <v>211.15</v>
      </c>
      <c r="K235" s="33" t="n">
        <f aca="false">IF(C235&lt;=$D$22,I235,0)</f>
        <v>211.15</v>
      </c>
      <c r="L235" s="33" t="n">
        <f aca="false">IF(C235&lt;=$E$22,I235,0)</f>
        <v>211.15</v>
      </c>
    </row>
    <row r="236" customFormat="false" ht="15" hidden="false" customHeight="true" outlineLevel="0" collapsed="false">
      <c r="B236" s="65" t="n">
        <f aca="false">EDATE(B235,1)</f>
        <v>46174</v>
      </c>
      <c r="C236" s="64" t="n">
        <f aca="false">B236+14</f>
        <v>46188</v>
      </c>
      <c r="D236" s="33" t="n">
        <f aca="false">IF(OR($C$9="",B236&gt;=$C$9),0,$C$10*(1+$C$11)^IF(B236&lt;$C$7,0,DATEDIF($C$7,B236,"y"))*MAX(0,MIN(EDATE(B236,1),$C$9)-MAX(B236,$C$7))/(EDATE(B236,1)-B236))</f>
        <v>0</v>
      </c>
      <c r="E236" s="33" t="n">
        <f aca="false">-SUMIFS(Échéancier!$I$5:$I$300,Échéancier!$J$5:$J$300,$C$5,Échéancier!$C$5:$C$300,"&gt;="&amp;B236,Échéancier!$C$5:$C$300,"&lt;"&amp;EDATE(B236,1))</f>
        <v>-841.32</v>
      </c>
      <c r="F236" s="33" t="n">
        <f aca="false">-SUMIFS($D$68:$D$106,$E$68:$E$106,$C$5,$C$68:$C$106,"&gt;="&amp;B236,$C$68:$C$106,"&lt;"&amp;EDATE(B236,1))</f>
        <v>-0</v>
      </c>
      <c r="G236" s="33" t="n">
        <f aca="false">SUMIFS(Journal!$K$5:$K$1004,Journal!$C$5:$C$1004,$C$5,Journal!$A$5:$A$1004,"&gt;="&amp;B236,Journal!$A$5:$A$1004,"&lt;"&amp;MIN(EDATE(B236,1),$C$6+1))</f>
        <v>1056.61</v>
      </c>
      <c r="H236" s="33" t="n">
        <f aca="false">IF(B236&lt;=$C$6,0,($C$12-$C$13/12)*(1+$C$14)^(YEAR(B236)-YEAR($C$6)))</f>
        <v>0</v>
      </c>
      <c r="I236" s="33" t="n">
        <f aca="false">SUM(D236:H236)</f>
        <v>215.29</v>
      </c>
      <c r="J236" s="33" t="n">
        <f aca="false">IF(C236&lt;=$C$22,I236,0)</f>
        <v>215.29</v>
      </c>
      <c r="K236" s="33" t="n">
        <f aca="false">IF(C236&lt;=$D$22,I236,0)</f>
        <v>215.29</v>
      </c>
      <c r="L236" s="33" t="n">
        <f aca="false">IF(C236&lt;=$E$22,I236,0)</f>
        <v>215.29</v>
      </c>
    </row>
    <row r="237" customFormat="false" ht="15" hidden="false" customHeight="true" outlineLevel="0" collapsed="false">
      <c r="B237" s="65" t="n">
        <f aca="false">EDATE(B236,1)</f>
        <v>46204</v>
      </c>
      <c r="C237" s="64" t="n">
        <f aca="false">B237+14</f>
        <v>46218</v>
      </c>
      <c r="D237" s="33" t="n">
        <f aca="false">IF(OR($C$9="",B237&gt;=$C$9),0,$C$10*(1+$C$11)^IF(B237&lt;$C$7,0,DATEDIF($C$7,B237,"y"))*MAX(0,MIN(EDATE(B237,1),$C$9)-MAX(B237,$C$7))/(EDATE(B237,1)-B237))</f>
        <v>0</v>
      </c>
      <c r="E237" s="33" t="n">
        <f aca="false">-SUMIFS(Échéancier!$I$5:$I$300,Échéancier!$J$5:$J$300,$C$5,Échéancier!$C$5:$C$300,"&gt;="&amp;B237,Échéancier!$C$5:$C$300,"&lt;"&amp;EDATE(B237,1))</f>
        <v>-841.33</v>
      </c>
      <c r="F237" s="33" t="n">
        <f aca="false">-SUMIFS($D$68:$D$106,$E$68:$E$106,$C$5,$C$68:$C$106,"&gt;="&amp;B237,$C$68:$C$106,"&lt;"&amp;EDATE(B237,1))</f>
        <v>-0</v>
      </c>
      <c r="G237" s="33" t="n">
        <f aca="false">SUMIFS(Journal!$K$5:$K$1004,Journal!$C$5:$C$1004,$C$5,Journal!$A$5:$A$1004,"&gt;="&amp;B237,Journal!$A$5:$A$1004,"&lt;"&amp;MIN(EDATE(B237,1),$C$6+1))</f>
        <v>-269.19</v>
      </c>
      <c r="H237" s="33" t="n">
        <f aca="false">IF(B237&lt;=$C$6,0,($C$12-$C$13/12)*(1+$C$14)^(YEAR(B237)-YEAR($C$6)))</f>
        <v>0</v>
      </c>
      <c r="I237" s="33" t="n">
        <f aca="false">SUM(D237:H237)</f>
        <v>-1110.52</v>
      </c>
      <c r="J237" s="33" t="n">
        <f aca="false">IF(C237&lt;=$C$22,I237,0)</f>
        <v>-1110.52</v>
      </c>
      <c r="K237" s="33" t="n">
        <f aca="false">IF(C237&lt;=$D$22,I237,0)</f>
        <v>-1110.52</v>
      </c>
      <c r="L237" s="33" t="n">
        <f aca="false">IF(C237&lt;=$E$22,I237,0)</f>
        <v>-1110.52</v>
      </c>
    </row>
    <row r="238" customFormat="false" ht="15" hidden="false" customHeight="true" outlineLevel="0" collapsed="false">
      <c r="B238" s="65" t="n">
        <f aca="false">EDATE(B237,1)</f>
        <v>46235</v>
      </c>
      <c r="C238" s="64" t="n">
        <f aca="false">B238+14</f>
        <v>46249</v>
      </c>
      <c r="D238" s="33" t="n">
        <f aca="false">IF(OR($C$9="",B238&gt;=$C$9),0,$C$10*(1+$C$11)^IF(B238&lt;$C$7,0,DATEDIF($C$7,B238,"y"))*MAX(0,MIN(EDATE(B238,1),$C$9)-MAX(B238,$C$7))/(EDATE(B238,1)-B238))</f>
        <v>0</v>
      </c>
      <c r="E238" s="33" t="n">
        <f aca="false">-SUMIFS(Échéancier!$I$5:$I$300,Échéancier!$J$5:$J$300,$C$5,Échéancier!$C$5:$C$300,"&gt;="&amp;B238,Échéancier!$C$5:$C$300,"&lt;"&amp;EDATE(B238,1))</f>
        <v>-841.32</v>
      </c>
      <c r="F238" s="33" t="n">
        <f aca="false">-SUMIFS($D$68:$D$106,$E$68:$E$106,$C$5,$C$68:$C$106,"&gt;="&amp;B238,$C$68:$C$106,"&lt;"&amp;EDATE(B238,1))</f>
        <v>-0</v>
      </c>
      <c r="G238" s="33" t="n">
        <f aca="false">SUMIFS(Journal!$K$5:$K$1004,Journal!$C$5:$C$1004,$C$5,Journal!$A$5:$A$1004,"&gt;="&amp;B238,Journal!$A$5:$A$1004,"&lt;"&amp;MIN(EDATE(B238,1),$C$6+1))</f>
        <v>1056.61</v>
      </c>
      <c r="H238" s="33" t="n">
        <f aca="false">IF(B238&lt;=$C$6,0,($C$12-$C$13/12)*(1+$C$14)^(YEAR(B238)-YEAR($C$6)))</f>
        <v>0</v>
      </c>
      <c r="I238" s="33" t="n">
        <f aca="false">SUM(D238:H238)</f>
        <v>215.29</v>
      </c>
      <c r="J238" s="33" t="n">
        <f aca="false">IF(C238&lt;=$C$22,I238,0)</f>
        <v>215.29</v>
      </c>
      <c r="K238" s="33" t="n">
        <f aca="false">IF(C238&lt;=$D$22,I238,0)</f>
        <v>215.29</v>
      </c>
      <c r="L238" s="33" t="n">
        <f aca="false">IF(C238&lt;=$E$22,I238,0)</f>
        <v>215.29</v>
      </c>
    </row>
    <row r="239" customFormat="false" ht="15" hidden="false" customHeight="true" outlineLevel="0" collapsed="false">
      <c r="B239" s="65" t="n">
        <f aca="false">EDATE(B238,1)</f>
        <v>46266</v>
      </c>
      <c r="C239" s="64" t="n">
        <f aca="false">B239+14</f>
        <v>46280</v>
      </c>
      <c r="D239" s="33" t="n">
        <f aca="false">IF(OR($C$9="",B239&gt;=$C$9),0,$C$10*(1+$C$11)^IF(B239&lt;$C$7,0,DATEDIF($C$7,B239,"y"))*MAX(0,MIN(EDATE(B239,1),$C$9)-MAX(B239,$C$7))/(EDATE(B239,1)-B239))</f>
        <v>0</v>
      </c>
      <c r="E239" s="33" t="n">
        <f aca="false">-SUMIFS(Échéancier!$I$5:$I$300,Échéancier!$J$5:$J$300,$C$5,Échéancier!$C$5:$C$300,"&gt;="&amp;B239,Échéancier!$C$5:$C$300,"&lt;"&amp;EDATE(B239,1))</f>
        <v>-841.33</v>
      </c>
      <c r="F239" s="33" t="n">
        <f aca="false">-SUMIFS($D$68:$D$106,$E$68:$E$106,$C$5,$C$68:$C$106,"&gt;="&amp;B239,$C$68:$C$106,"&lt;"&amp;EDATE(B239,1))</f>
        <v>-0</v>
      </c>
      <c r="G239" s="33" t="n">
        <f aca="false">SUMIFS(Journal!$K$5:$K$1004,Journal!$C$5:$C$1004,$C$5,Journal!$A$5:$A$1004,"&gt;="&amp;B239,Journal!$A$5:$A$1004,"&lt;"&amp;MIN(EDATE(B239,1),$C$6+1))</f>
        <v>253.78</v>
      </c>
      <c r="H239" s="33" t="n">
        <f aca="false">IF(B239&lt;=$C$6,0,($C$12-$C$13/12)*(1+$C$14)^(YEAR(B239)-YEAR($C$6)))</f>
        <v>0</v>
      </c>
      <c r="I239" s="33" t="n">
        <f aca="false">SUM(D239:H239)</f>
        <v>-587.55</v>
      </c>
      <c r="J239" s="33" t="n">
        <f aca="false">IF(C239&lt;=$C$22,I239,0)</f>
        <v>-587.55</v>
      </c>
      <c r="K239" s="33" t="n">
        <f aca="false">IF(C239&lt;=$D$22,I239,0)</f>
        <v>-587.55</v>
      </c>
      <c r="L239" s="33" t="n">
        <f aca="false">IF(C239&lt;=$E$22,I239,0)</f>
        <v>-587.55</v>
      </c>
    </row>
    <row r="240" customFormat="false" ht="15" hidden="false" customHeight="true" outlineLevel="0" collapsed="false">
      <c r="B240" s="65" t="n">
        <f aca="false">EDATE(B239,1)</f>
        <v>46296</v>
      </c>
      <c r="C240" s="64" t="n">
        <f aca="false">B240+14</f>
        <v>46310</v>
      </c>
      <c r="D240" s="33" t="n">
        <f aca="false">IF(OR($C$9="",B240&gt;=$C$9),0,$C$10*(1+$C$11)^IF(B240&lt;$C$7,0,DATEDIF($C$7,B240,"y"))*MAX(0,MIN(EDATE(B240,1),$C$9)-MAX(B240,$C$7))/(EDATE(B240,1)-B240))</f>
        <v>0</v>
      </c>
      <c r="E240" s="33" t="n">
        <f aca="false">-SUMIFS(Échéancier!$I$5:$I$300,Échéancier!$J$5:$J$300,$C$5,Échéancier!$C$5:$C$300,"&gt;="&amp;B240,Échéancier!$C$5:$C$300,"&lt;"&amp;EDATE(B240,1))</f>
        <v>-841.32</v>
      </c>
      <c r="F240" s="33" t="n">
        <f aca="false">-SUMIFS($D$68:$D$106,$E$68:$E$106,$C$5,$C$68:$C$106,"&gt;="&amp;B240,$C$68:$C$106,"&lt;"&amp;EDATE(B240,1))</f>
        <v>-0</v>
      </c>
      <c r="G240" s="33" t="n">
        <f aca="false">SUMIFS(Journal!$K$5:$K$1004,Journal!$C$5:$C$1004,$C$5,Journal!$A$5:$A$1004,"&gt;="&amp;B240,Journal!$A$5:$A$1004,"&lt;"&amp;MIN(EDATE(B240,1),$C$6+1))</f>
        <v>-1443.37</v>
      </c>
      <c r="H240" s="33" t="n">
        <f aca="false">IF(B240&lt;=$C$6,0,($C$12-$C$13/12)*(1+$C$14)^(YEAR(B240)-YEAR($C$6)))</f>
        <v>0</v>
      </c>
      <c r="I240" s="33" t="n">
        <f aca="false">SUM(D240:H240)</f>
        <v>-2284.69</v>
      </c>
      <c r="J240" s="33" t="n">
        <f aca="false">IF(C240&lt;=$C$22,I240,0)</f>
        <v>-2284.69</v>
      </c>
      <c r="K240" s="33" t="n">
        <f aca="false">IF(C240&lt;=$D$22,I240,0)</f>
        <v>-2284.69</v>
      </c>
      <c r="L240" s="33" t="n">
        <f aca="false">IF(C240&lt;=$E$22,I240,0)</f>
        <v>-2284.69</v>
      </c>
    </row>
    <row r="241" customFormat="false" ht="15" hidden="false" customHeight="true" outlineLevel="0" collapsed="false">
      <c r="B241" s="65" t="n">
        <f aca="false">EDATE(B240,1)</f>
        <v>46327</v>
      </c>
      <c r="C241" s="64" t="n">
        <f aca="false">B241+14</f>
        <v>46341</v>
      </c>
      <c r="D241" s="33" t="n">
        <f aca="false">IF(OR($C$9="",B241&gt;=$C$9),0,$C$10*(1+$C$11)^IF(B241&lt;$C$7,0,DATEDIF($C$7,B241,"y"))*MAX(0,MIN(EDATE(B241,1),$C$9)-MAX(B241,$C$7))/(EDATE(B241,1)-B241))</f>
        <v>0</v>
      </c>
      <c r="E241" s="33" t="n">
        <f aca="false">-SUMIFS(Échéancier!$I$5:$I$300,Échéancier!$J$5:$J$300,$C$5,Échéancier!$C$5:$C$300,"&gt;="&amp;B241,Échéancier!$C$5:$C$300,"&lt;"&amp;EDATE(B241,1))</f>
        <v>-841.33</v>
      </c>
      <c r="F241" s="33" t="n">
        <f aca="false">-SUMIFS($D$68:$D$106,$E$68:$E$106,$C$5,$C$68:$C$106,"&gt;="&amp;B241,$C$68:$C$106,"&lt;"&amp;EDATE(B241,1))</f>
        <v>-0</v>
      </c>
      <c r="G241" s="33" t="n">
        <f aca="false">SUMIFS(Journal!$K$5:$K$1004,Journal!$C$5:$C$1004,$C$5,Journal!$A$5:$A$1004,"&gt;="&amp;B241,Journal!$A$5:$A$1004,"&lt;"&amp;MIN(EDATE(B241,1),$C$6+1))</f>
        <v>0</v>
      </c>
      <c r="H241" s="33" t="n">
        <f aca="false">IF(B241&lt;=$C$6,0,($C$12-$C$13/12)*(1+$C$14)^(YEAR(B241)-YEAR($C$6)))</f>
        <v>590.06</v>
      </c>
      <c r="I241" s="33" t="n">
        <f aca="false">SUM(D241:H241)</f>
        <v>-251.27</v>
      </c>
      <c r="J241" s="33" t="n">
        <f aca="false">IF(C241&lt;=$C$22,I241,0)</f>
        <v>-251.27</v>
      </c>
      <c r="K241" s="33" t="n">
        <f aca="false">IF(C241&lt;=$D$22,I241,0)</f>
        <v>-251.27</v>
      </c>
      <c r="L241" s="33" t="n">
        <f aca="false">IF(C241&lt;=$E$22,I241,0)</f>
        <v>-251.27</v>
      </c>
    </row>
    <row r="242" customFormat="false" ht="15" hidden="false" customHeight="true" outlineLevel="0" collapsed="false">
      <c r="B242" s="65" t="n">
        <f aca="false">EDATE(B241,1)</f>
        <v>46357</v>
      </c>
      <c r="C242" s="64" t="n">
        <f aca="false">B242+14</f>
        <v>46371</v>
      </c>
      <c r="D242" s="33" t="n">
        <f aca="false">IF(OR($C$9="",B242&gt;=$C$9),0,$C$10*(1+$C$11)^IF(B242&lt;$C$7,0,DATEDIF($C$7,B242,"y"))*MAX(0,MIN(EDATE(B242,1),$C$9)-MAX(B242,$C$7))/(EDATE(B242,1)-B242))</f>
        <v>0</v>
      </c>
      <c r="E242" s="33" t="n">
        <f aca="false">-SUMIFS(Échéancier!$I$5:$I$300,Échéancier!$J$5:$J$300,$C$5,Échéancier!$C$5:$C$300,"&gt;="&amp;B242,Échéancier!$C$5:$C$300,"&lt;"&amp;EDATE(B242,1))</f>
        <v>-841.32</v>
      </c>
      <c r="F242" s="33" t="n">
        <f aca="false">-SUMIFS($D$68:$D$106,$E$68:$E$106,$C$5,$C$68:$C$106,"&gt;="&amp;B242,$C$68:$C$106,"&lt;"&amp;EDATE(B242,1))</f>
        <v>-0</v>
      </c>
      <c r="G242" s="33" t="n">
        <f aca="false">SUMIFS(Journal!$K$5:$K$1004,Journal!$C$5:$C$1004,$C$5,Journal!$A$5:$A$1004,"&gt;="&amp;B242,Journal!$A$5:$A$1004,"&lt;"&amp;MIN(EDATE(B242,1),$C$6+1))</f>
        <v>0</v>
      </c>
      <c r="H242" s="33" t="n">
        <f aca="false">IF(B242&lt;=$C$6,0,($C$12-$C$13/12)*(1+$C$14)^(YEAR(B242)-YEAR($C$6)))</f>
        <v>590.06</v>
      </c>
      <c r="I242" s="33" t="n">
        <f aca="false">SUM(D242:H242)</f>
        <v>-251.26</v>
      </c>
      <c r="J242" s="33" t="n">
        <f aca="false">IF(C242&lt;=$C$22,I242,0)</f>
        <v>-251.26</v>
      </c>
      <c r="K242" s="33" t="n">
        <f aca="false">IF(C242&lt;=$D$22,I242,0)</f>
        <v>-251.26</v>
      </c>
      <c r="L242" s="33" t="n">
        <f aca="false">IF(C242&lt;=$E$22,I242,0)</f>
        <v>-251.26</v>
      </c>
    </row>
    <row r="243" customFormat="false" ht="15" hidden="false" customHeight="true" outlineLevel="0" collapsed="false">
      <c r="B243" s="65" t="n">
        <f aca="false">EDATE(B242,1)</f>
        <v>46388</v>
      </c>
      <c r="C243" s="64" t="n">
        <f aca="false">B243+14</f>
        <v>46402</v>
      </c>
      <c r="D243" s="33" t="n">
        <f aca="false">IF(OR($C$9="",B243&gt;=$C$9),0,$C$10*(1+$C$11)^IF(B243&lt;$C$7,0,DATEDIF($C$7,B243,"y"))*MAX(0,MIN(EDATE(B243,1),$C$9)-MAX(B243,$C$7))/(EDATE(B243,1)-B243))</f>
        <v>0</v>
      </c>
      <c r="E243" s="33" t="n">
        <f aca="false">-SUMIFS(Échéancier!$I$5:$I$300,Échéancier!$J$5:$J$300,$C$5,Échéancier!$C$5:$C$300,"&gt;="&amp;B243,Échéancier!$C$5:$C$300,"&lt;"&amp;EDATE(B243,1))</f>
        <v>-841.33</v>
      </c>
      <c r="F243" s="33" t="n">
        <f aca="false">-SUMIFS($D$68:$D$106,$E$68:$E$106,$C$5,$C$68:$C$106,"&gt;="&amp;B243,$C$68:$C$106,"&lt;"&amp;EDATE(B243,1))</f>
        <v>-0</v>
      </c>
      <c r="G243" s="33" t="n">
        <f aca="false">SUMIFS(Journal!$K$5:$K$1004,Journal!$C$5:$C$1004,$C$5,Journal!$A$5:$A$1004,"&gt;="&amp;B243,Journal!$A$5:$A$1004,"&lt;"&amp;MIN(EDATE(B243,1),$C$6+1))</f>
        <v>0</v>
      </c>
      <c r="H243" s="33" t="n">
        <f aca="false">IF(B243&lt;=$C$6,0,($C$12-$C$13/12)*(1+$C$14)^(YEAR(B243)-YEAR($C$6)))</f>
        <v>598.9109</v>
      </c>
      <c r="I243" s="33" t="n">
        <f aca="false">SUM(D243:H243)</f>
        <v>-242.4191</v>
      </c>
      <c r="J243" s="33" t="n">
        <f aca="false">IF(C243&lt;=$C$22,I243,0)</f>
        <v>-242.4191</v>
      </c>
      <c r="K243" s="33" t="n">
        <f aca="false">IF(C243&lt;=$D$22,I243,0)</f>
        <v>-242.4191</v>
      </c>
      <c r="L243" s="33" t="n">
        <f aca="false">IF(C243&lt;=$E$22,I243,0)</f>
        <v>-242.4191</v>
      </c>
    </row>
    <row r="244" customFormat="false" ht="15" hidden="false" customHeight="true" outlineLevel="0" collapsed="false">
      <c r="B244" s="65" t="n">
        <f aca="false">EDATE(B243,1)</f>
        <v>46419</v>
      </c>
      <c r="C244" s="64" t="n">
        <f aca="false">B244+14</f>
        <v>46433</v>
      </c>
      <c r="D244" s="33" t="n">
        <f aca="false">IF(OR($C$9="",B244&gt;=$C$9),0,$C$10*(1+$C$11)^IF(B244&lt;$C$7,0,DATEDIF($C$7,B244,"y"))*MAX(0,MIN(EDATE(B244,1),$C$9)-MAX(B244,$C$7))/(EDATE(B244,1)-B244))</f>
        <v>0</v>
      </c>
      <c r="E244" s="33" t="n">
        <f aca="false">-SUMIFS(Échéancier!$I$5:$I$300,Échéancier!$J$5:$J$300,$C$5,Échéancier!$C$5:$C$300,"&gt;="&amp;B244,Échéancier!$C$5:$C$300,"&lt;"&amp;EDATE(B244,1))</f>
        <v>-841.32</v>
      </c>
      <c r="F244" s="33" t="n">
        <f aca="false">-SUMIFS($D$68:$D$106,$E$68:$E$106,$C$5,$C$68:$C$106,"&gt;="&amp;B244,$C$68:$C$106,"&lt;"&amp;EDATE(B244,1))</f>
        <v>-0</v>
      </c>
      <c r="G244" s="33" t="n">
        <f aca="false">SUMIFS(Journal!$K$5:$K$1004,Journal!$C$5:$C$1004,$C$5,Journal!$A$5:$A$1004,"&gt;="&amp;B244,Journal!$A$5:$A$1004,"&lt;"&amp;MIN(EDATE(B244,1),$C$6+1))</f>
        <v>0</v>
      </c>
      <c r="H244" s="33" t="n">
        <f aca="false">IF(B244&lt;=$C$6,0,($C$12-$C$13/12)*(1+$C$14)^(YEAR(B244)-YEAR($C$6)))</f>
        <v>598.9109</v>
      </c>
      <c r="I244" s="33" t="n">
        <f aca="false">SUM(D244:H244)</f>
        <v>-242.4091</v>
      </c>
      <c r="J244" s="33" t="n">
        <f aca="false">IF(C244&lt;=$C$22,I244,0)</f>
        <v>-242.4091</v>
      </c>
      <c r="K244" s="33" t="n">
        <f aca="false">IF(C244&lt;=$D$22,I244,0)</f>
        <v>-242.4091</v>
      </c>
      <c r="L244" s="33" t="n">
        <f aca="false">IF(C244&lt;=$E$22,I244,0)</f>
        <v>-242.4091</v>
      </c>
    </row>
    <row r="245" customFormat="false" ht="15" hidden="false" customHeight="true" outlineLevel="0" collapsed="false">
      <c r="B245" s="65" t="n">
        <f aca="false">EDATE(B244,1)</f>
        <v>46447</v>
      </c>
      <c r="C245" s="64" t="n">
        <f aca="false">B245+14</f>
        <v>46461</v>
      </c>
      <c r="D245" s="33" t="n">
        <f aca="false">IF(OR($C$9="",B245&gt;=$C$9),0,$C$10*(1+$C$11)^IF(B245&lt;$C$7,0,DATEDIF($C$7,B245,"y"))*MAX(0,MIN(EDATE(B245,1),$C$9)-MAX(B245,$C$7))/(EDATE(B245,1)-B245))</f>
        <v>0</v>
      </c>
      <c r="E245" s="33" t="n">
        <f aca="false">-SUMIFS(Échéancier!$I$5:$I$300,Échéancier!$J$5:$J$300,$C$5,Échéancier!$C$5:$C$300,"&gt;="&amp;B245,Échéancier!$C$5:$C$300,"&lt;"&amp;EDATE(B245,1))</f>
        <v>-841.33</v>
      </c>
      <c r="F245" s="33" t="n">
        <f aca="false">-SUMIFS($D$68:$D$106,$E$68:$E$106,$C$5,$C$68:$C$106,"&gt;="&amp;B245,$C$68:$C$106,"&lt;"&amp;EDATE(B245,1))</f>
        <v>-0</v>
      </c>
      <c r="G245" s="33" t="n">
        <f aca="false">SUMIFS(Journal!$K$5:$K$1004,Journal!$C$5:$C$1004,$C$5,Journal!$A$5:$A$1004,"&gt;="&amp;B245,Journal!$A$5:$A$1004,"&lt;"&amp;MIN(EDATE(B245,1),$C$6+1))</f>
        <v>0</v>
      </c>
      <c r="H245" s="33" t="n">
        <f aca="false">IF(B245&lt;=$C$6,0,($C$12-$C$13/12)*(1+$C$14)^(YEAR(B245)-YEAR($C$6)))</f>
        <v>598.9109</v>
      </c>
      <c r="I245" s="33" t="n">
        <f aca="false">SUM(D245:H245)</f>
        <v>-242.4191</v>
      </c>
      <c r="J245" s="33" t="n">
        <f aca="false">IF(C245&lt;=$C$22,I245,0)</f>
        <v>-242.4191</v>
      </c>
      <c r="K245" s="33" t="n">
        <f aca="false">IF(C245&lt;=$D$22,I245,0)</f>
        <v>-242.4191</v>
      </c>
      <c r="L245" s="33" t="n">
        <f aca="false">IF(C245&lt;=$E$22,I245,0)</f>
        <v>-242.4191</v>
      </c>
    </row>
    <row r="246" customFormat="false" ht="15" hidden="false" customHeight="true" outlineLevel="0" collapsed="false">
      <c r="B246" s="65" t="n">
        <f aca="false">EDATE(B245,1)</f>
        <v>46478</v>
      </c>
      <c r="C246" s="64" t="n">
        <f aca="false">B246+14</f>
        <v>46492</v>
      </c>
      <c r="D246" s="33" t="n">
        <f aca="false">IF(OR($C$9="",B246&gt;=$C$9),0,$C$10*(1+$C$11)^IF(B246&lt;$C$7,0,DATEDIF($C$7,B246,"y"))*MAX(0,MIN(EDATE(B246,1),$C$9)-MAX(B246,$C$7))/(EDATE(B246,1)-B246))</f>
        <v>0</v>
      </c>
      <c r="E246" s="33" t="n">
        <f aca="false">-SUMIFS(Échéancier!$I$5:$I$300,Échéancier!$J$5:$J$300,$C$5,Échéancier!$C$5:$C$300,"&gt;="&amp;B246,Échéancier!$C$5:$C$300,"&lt;"&amp;EDATE(B246,1))</f>
        <v>-841.33</v>
      </c>
      <c r="F246" s="33" t="n">
        <f aca="false">-SUMIFS($D$68:$D$106,$E$68:$E$106,$C$5,$C$68:$C$106,"&gt;="&amp;B246,$C$68:$C$106,"&lt;"&amp;EDATE(B246,1))</f>
        <v>-0</v>
      </c>
      <c r="G246" s="33" t="n">
        <f aca="false">SUMIFS(Journal!$K$5:$K$1004,Journal!$C$5:$C$1004,$C$5,Journal!$A$5:$A$1004,"&gt;="&amp;B246,Journal!$A$5:$A$1004,"&lt;"&amp;MIN(EDATE(B246,1),$C$6+1))</f>
        <v>0</v>
      </c>
      <c r="H246" s="33" t="n">
        <f aca="false">IF(B246&lt;=$C$6,0,($C$12-$C$13/12)*(1+$C$14)^(YEAR(B246)-YEAR($C$6)))</f>
        <v>598.9109</v>
      </c>
      <c r="I246" s="33" t="n">
        <f aca="false">SUM(D246:H246)</f>
        <v>-242.4191</v>
      </c>
      <c r="J246" s="33" t="n">
        <f aca="false">IF(C246&lt;=$C$22,I246,0)</f>
        <v>-242.4191</v>
      </c>
      <c r="K246" s="33" t="n">
        <f aca="false">IF(C246&lt;=$D$22,I246,0)</f>
        <v>-242.4191</v>
      </c>
      <c r="L246" s="33" t="n">
        <f aca="false">IF(C246&lt;=$E$22,I246,0)</f>
        <v>-242.4191</v>
      </c>
    </row>
    <row r="247" customFormat="false" ht="15" hidden="false" customHeight="true" outlineLevel="0" collapsed="false">
      <c r="B247" s="65" t="n">
        <f aca="false">EDATE(B246,1)</f>
        <v>46508</v>
      </c>
      <c r="C247" s="64" t="n">
        <f aca="false">B247+14</f>
        <v>46522</v>
      </c>
      <c r="D247" s="33" t="n">
        <f aca="false">IF(OR($C$9="",B247&gt;=$C$9),0,$C$10*(1+$C$11)^IF(B247&lt;$C$7,0,DATEDIF($C$7,B247,"y"))*MAX(0,MIN(EDATE(B247,1),$C$9)-MAX(B247,$C$7))/(EDATE(B247,1)-B247))</f>
        <v>0</v>
      </c>
      <c r="E247" s="33" t="n">
        <f aca="false">-SUMIFS(Échéancier!$I$5:$I$300,Échéancier!$J$5:$J$300,$C$5,Échéancier!$C$5:$C$300,"&gt;="&amp;B247,Échéancier!$C$5:$C$300,"&lt;"&amp;EDATE(B247,1))</f>
        <v>-841.32</v>
      </c>
      <c r="F247" s="33" t="n">
        <f aca="false">-SUMIFS($D$68:$D$106,$E$68:$E$106,$C$5,$C$68:$C$106,"&gt;="&amp;B247,$C$68:$C$106,"&lt;"&amp;EDATE(B247,1))</f>
        <v>-0</v>
      </c>
      <c r="G247" s="33" t="n">
        <f aca="false">SUMIFS(Journal!$K$5:$K$1004,Journal!$C$5:$C$1004,$C$5,Journal!$A$5:$A$1004,"&gt;="&amp;B247,Journal!$A$5:$A$1004,"&lt;"&amp;MIN(EDATE(B247,1),$C$6+1))</f>
        <v>0</v>
      </c>
      <c r="H247" s="33" t="n">
        <f aca="false">IF(B247&lt;=$C$6,0,($C$12-$C$13/12)*(1+$C$14)^(YEAR(B247)-YEAR($C$6)))</f>
        <v>598.9109</v>
      </c>
      <c r="I247" s="33" t="n">
        <f aca="false">SUM(D247:H247)</f>
        <v>-242.4091</v>
      </c>
      <c r="J247" s="33" t="n">
        <f aca="false">IF(C247&lt;=$C$22,I247,0)</f>
        <v>-242.4091</v>
      </c>
      <c r="K247" s="33" t="n">
        <f aca="false">IF(C247&lt;=$D$22,I247,0)</f>
        <v>-242.4091</v>
      </c>
      <c r="L247" s="33" t="n">
        <f aca="false">IF(C247&lt;=$E$22,I247,0)</f>
        <v>-242.4091</v>
      </c>
    </row>
    <row r="248" customFormat="false" ht="15" hidden="false" customHeight="true" outlineLevel="0" collapsed="false">
      <c r="B248" s="65" t="n">
        <f aca="false">EDATE(B247,1)</f>
        <v>46539</v>
      </c>
      <c r="C248" s="64" t="n">
        <f aca="false">B248+14</f>
        <v>46553</v>
      </c>
      <c r="D248" s="33" t="n">
        <f aca="false">IF(OR($C$9="",B248&gt;=$C$9),0,$C$10*(1+$C$11)^IF(B248&lt;$C$7,0,DATEDIF($C$7,B248,"y"))*MAX(0,MIN(EDATE(B248,1),$C$9)-MAX(B248,$C$7))/(EDATE(B248,1)-B248))</f>
        <v>0</v>
      </c>
      <c r="E248" s="33" t="n">
        <f aca="false">-SUMIFS(Échéancier!$I$5:$I$300,Échéancier!$J$5:$J$300,$C$5,Échéancier!$C$5:$C$300,"&gt;="&amp;B248,Échéancier!$C$5:$C$300,"&lt;"&amp;EDATE(B248,1))</f>
        <v>-841.33</v>
      </c>
      <c r="F248" s="33" t="n">
        <f aca="false">-SUMIFS($D$68:$D$106,$E$68:$E$106,$C$5,$C$68:$C$106,"&gt;="&amp;B248,$C$68:$C$106,"&lt;"&amp;EDATE(B248,1))</f>
        <v>-0</v>
      </c>
      <c r="G248" s="33" t="n">
        <f aca="false">SUMIFS(Journal!$K$5:$K$1004,Journal!$C$5:$C$1004,$C$5,Journal!$A$5:$A$1004,"&gt;="&amp;B248,Journal!$A$5:$A$1004,"&lt;"&amp;MIN(EDATE(B248,1),$C$6+1))</f>
        <v>0</v>
      </c>
      <c r="H248" s="33" t="n">
        <f aca="false">IF(B248&lt;=$C$6,0,($C$12-$C$13/12)*(1+$C$14)^(YEAR(B248)-YEAR($C$6)))</f>
        <v>598.9109</v>
      </c>
      <c r="I248" s="33" t="n">
        <f aca="false">SUM(D248:H248)</f>
        <v>-242.4191</v>
      </c>
      <c r="J248" s="33" t="n">
        <f aca="false">IF(C248&lt;=$C$22,I248,0)</f>
        <v>-242.4191</v>
      </c>
      <c r="K248" s="33" t="n">
        <f aca="false">IF(C248&lt;=$D$22,I248,0)</f>
        <v>-242.4191</v>
      </c>
      <c r="L248" s="33" t="n">
        <f aca="false">IF(C248&lt;=$E$22,I248,0)</f>
        <v>-242.4191</v>
      </c>
    </row>
    <row r="249" customFormat="false" ht="15" hidden="false" customHeight="true" outlineLevel="0" collapsed="false">
      <c r="B249" s="65" t="n">
        <f aca="false">EDATE(B248,1)</f>
        <v>46569</v>
      </c>
      <c r="C249" s="64" t="n">
        <f aca="false">B249+14</f>
        <v>46583</v>
      </c>
      <c r="D249" s="33" t="n">
        <f aca="false">IF(OR($C$9="",B249&gt;=$C$9),0,$C$10*(1+$C$11)^IF(B249&lt;$C$7,0,DATEDIF($C$7,B249,"y"))*MAX(0,MIN(EDATE(B249,1),$C$9)-MAX(B249,$C$7))/(EDATE(B249,1)-B249))</f>
        <v>0</v>
      </c>
      <c r="E249" s="33" t="n">
        <f aca="false">-SUMIFS(Échéancier!$I$5:$I$300,Échéancier!$J$5:$J$300,$C$5,Échéancier!$C$5:$C$300,"&gt;="&amp;B249,Échéancier!$C$5:$C$300,"&lt;"&amp;EDATE(B249,1))</f>
        <v>-841.32</v>
      </c>
      <c r="F249" s="33" t="n">
        <f aca="false">-SUMIFS($D$68:$D$106,$E$68:$E$106,$C$5,$C$68:$C$106,"&gt;="&amp;B249,$C$68:$C$106,"&lt;"&amp;EDATE(B249,1))</f>
        <v>-0</v>
      </c>
      <c r="G249" s="33" t="n">
        <f aca="false">SUMIFS(Journal!$K$5:$K$1004,Journal!$C$5:$C$1004,$C$5,Journal!$A$5:$A$1004,"&gt;="&amp;B249,Journal!$A$5:$A$1004,"&lt;"&amp;MIN(EDATE(B249,1),$C$6+1))</f>
        <v>0</v>
      </c>
      <c r="H249" s="33" t="n">
        <f aca="false">IF(B249&lt;=$C$6,0,($C$12-$C$13/12)*(1+$C$14)^(YEAR(B249)-YEAR($C$6)))</f>
        <v>598.9109</v>
      </c>
      <c r="I249" s="33" t="n">
        <f aca="false">SUM(D249:H249)</f>
        <v>-242.4091</v>
      </c>
      <c r="J249" s="33" t="n">
        <f aca="false">IF(C249&lt;=$C$22,I249,0)</f>
        <v>0</v>
      </c>
      <c r="K249" s="33" t="n">
        <f aca="false">IF(C249&lt;=$D$22,I249,0)</f>
        <v>-242.4091</v>
      </c>
      <c r="L249" s="33" t="n">
        <f aca="false">IF(C249&lt;=$E$22,I249,0)</f>
        <v>-242.4091</v>
      </c>
    </row>
    <row r="250" customFormat="false" ht="15" hidden="false" customHeight="true" outlineLevel="0" collapsed="false">
      <c r="B250" s="65" t="n">
        <f aca="false">EDATE(B249,1)</f>
        <v>46600</v>
      </c>
      <c r="C250" s="64" t="n">
        <f aca="false">B250+14</f>
        <v>46614</v>
      </c>
      <c r="D250" s="33" t="n">
        <f aca="false">IF(OR($C$9="",B250&gt;=$C$9),0,$C$10*(1+$C$11)^IF(B250&lt;$C$7,0,DATEDIF($C$7,B250,"y"))*MAX(0,MIN(EDATE(B250,1),$C$9)-MAX(B250,$C$7))/(EDATE(B250,1)-B250))</f>
        <v>0</v>
      </c>
      <c r="E250" s="33" t="n">
        <f aca="false">-SUMIFS(Échéancier!$I$5:$I$300,Échéancier!$J$5:$J$300,$C$5,Échéancier!$C$5:$C$300,"&gt;="&amp;B250,Échéancier!$C$5:$C$300,"&lt;"&amp;EDATE(B250,1))</f>
        <v>-841.33</v>
      </c>
      <c r="F250" s="33" t="n">
        <f aca="false">-SUMIFS($D$68:$D$106,$E$68:$E$106,$C$5,$C$68:$C$106,"&gt;="&amp;B250,$C$68:$C$106,"&lt;"&amp;EDATE(B250,1))</f>
        <v>-0</v>
      </c>
      <c r="G250" s="33" t="n">
        <f aca="false">SUMIFS(Journal!$K$5:$K$1004,Journal!$C$5:$C$1004,$C$5,Journal!$A$5:$A$1004,"&gt;="&amp;B250,Journal!$A$5:$A$1004,"&lt;"&amp;MIN(EDATE(B250,1),$C$6+1))</f>
        <v>0</v>
      </c>
      <c r="H250" s="33" t="n">
        <f aca="false">IF(B250&lt;=$C$6,0,($C$12-$C$13/12)*(1+$C$14)^(YEAR(B250)-YEAR($C$6)))</f>
        <v>598.9109</v>
      </c>
      <c r="I250" s="33" t="n">
        <f aca="false">SUM(D250:H250)</f>
        <v>-242.4191</v>
      </c>
      <c r="J250" s="33" t="n">
        <f aca="false">IF(C250&lt;=$C$22,I250,0)</f>
        <v>0</v>
      </c>
      <c r="K250" s="33" t="n">
        <f aca="false">IF(C250&lt;=$D$22,I250,0)</f>
        <v>-242.4191</v>
      </c>
      <c r="L250" s="33" t="n">
        <f aca="false">IF(C250&lt;=$E$22,I250,0)</f>
        <v>-242.4191</v>
      </c>
    </row>
    <row r="251" customFormat="false" ht="15" hidden="false" customHeight="true" outlineLevel="0" collapsed="false">
      <c r="B251" s="65" t="n">
        <f aca="false">EDATE(B250,1)</f>
        <v>46631</v>
      </c>
      <c r="C251" s="64" t="n">
        <f aca="false">B251+14</f>
        <v>46645</v>
      </c>
      <c r="D251" s="33" t="n">
        <f aca="false">IF(OR($C$9="",B251&gt;=$C$9),0,$C$10*(1+$C$11)^IF(B251&lt;$C$7,0,DATEDIF($C$7,B251,"y"))*MAX(0,MIN(EDATE(B251,1),$C$9)-MAX(B251,$C$7))/(EDATE(B251,1)-B251))</f>
        <v>0</v>
      </c>
      <c r="E251" s="33" t="n">
        <f aca="false">-SUMIFS(Échéancier!$I$5:$I$300,Échéancier!$J$5:$J$300,$C$5,Échéancier!$C$5:$C$300,"&gt;="&amp;B251,Échéancier!$C$5:$C$300,"&lt;"&amp;EDATE(B251,1))</f>
        <v>-841.33</v>
      </c>
      <c r="F251" s="33" t="n">
        <f aca="false">-SUMIFS($D$68:$D$106,$E$68:$E$106,$C$5,$C$68:$C$106,"&gt;="&amp;B251,$C$68:$C$106,"&lt;"&amp;EDATE(B251,1))</f>
        <v>-0</v>
      </c>
      <c r="G251" s="33" t="n">
        <f aca="false">SUMIFS(Journal!$K$5:$K$1004,Journal!$C$5:$C$1004,$C$5,Journal!$A$5:$A$1004,"&gt;="&amp;B251,Journal!$A$5:$A$1004,"&lt;"&amp;MIN(EDATE(B251,1),$C$6+1))</f>
        <v>0</v>
      </c>
      <c r="H251" s="33" t="n">
        <f aca="false">IF(B251&lt;=$C$6,0,($C$12-$C$13/12)*(1+$C$14)^(YEAR(B251)-YEAR($C$6)))</f>
        <v>598.9109</v>
      </c>
      <c r="I251" s="33" t="n">
        <f aca="false">SUM(D251:H251)</f>
        <v>-242.4191</v>
      </c>
      <c r="J251" s="33" t="n">
        <f aca="false">IF(C251&lt;=$C$22,I251,0)</f>
        <v>0</v>
      </c>
      <c r="K251" s="33" t="n">
        <f aca="false">IF(C251&lt;=$D$22,I251,0)</f>
        <v>-242.4191</v>
      </c>
      <c r="L251" s="33" t="n">
        <f aca="false">IF(C251&lt;=$E$22,I251,0)</f>
        <v>-242.4191</v>
      </c>
    </row>
    <row r="252" customFormat="false" ht="15" hidden="false" customHeight="true" outlineLevel="0" collapsed="false">
      <c r="B252" s="65" t="n">
        <f aca="false">EDATE(B251,1)</f>
        <v>46661</v>
      </c>
      <c r="C252" s="64" t="n">
        <f aca="false">B252+14</f>
        <v>46675</v>
      </c>
      <c r="D252" s="33" t="n">
        <f aca="false">IF(OR($C$9="",B252&gt;=$C$9),0,$C$10*(1+$C$11)^IF(B252&lt;$C$7,0,DATEDIF($C$7,B252,"y"))*MAX(0,MIN(EDATE(B252,1),$C$9)-MAX(B252,$C$7))/(EDATE(B252,1)-B252))</f>
        <v>0</v>
      </c>
      <c r="E252" s="33" t="n">
        <f aca="false">-SUMIFS(Échéancier!$I$5:$I$300,Échéancier!$J$5:$J$300,$C$5,Échéancier!$C$5:$C$300,"&gt;="&amp;B252,Échéancier!$C$5:$C$300,"&lt;"&amp;EDATE(B252,1))</f>
        <v>-841.32</v>
      </c>
      <c r="F252" s="33" t="n">
        <f aca="false">-SUMIFS($D$68:$D$106,$E$68:$E$106,$C$5,$C$68:$C$106,"&gt;="&amp;B252,$C$68:$C$106,"&lt;"&amp;EDATE(B252,1))</f>
        <v>-0</v>
      </c>
      <c r="G252" s="33" t="n">
        <f aca="false">SUMIFS(Journal!$K$5:$K$1004,Journal!$C$5:$C$1004,$C$5,Journal!$A$5:$A$1004,"&gt;="&amp;B252,Journal!$A$5:$A$1004,"&lt;"&amp;MIN(EDATE(B252,1),$C$6+1))</f>
        <v>0</v>
      </c>
      <c r="H252" s="33" t="n">
        <f aca="false">IF(B252&lt;=$C$6,0,($C$12-$C$13/12)*(1+$C$14)^(YEAR(B252)-YEAR($C$6)))</f>
        <v>598.9109</v>
      </c>
      <c r="I252" s="33" t="n">
        <f aca="false">SUM(D252:H252)</f>
        <v>-242.4091</v>
      </c>
      <c r="J252" s="33" t="n">
        <f aca="false">IF(C252&lt;=$C$22,I252,0)</f>
        <v>0</v>
      </c>
      <c r="K252" s="33" t="n">
        <f aca="false">IF(C252&lt;=$D$22,I252,0)</f>
        <v>-242.4091</v>
      </c>
      <c r="L252" s="33" t="n">
        <f aca="false">IF(C252&lt;=$E$22,I252,0)</f>
        <v>-242.4091</v>
      </c>
    </row>
    <row r="253" customFormat="false" ht="15" hidden="false" customHeight="true" outlineLevel="0" collapsed="false">
      <c r="B253" s="65" t="n">
        <f aca="false">EDATE(B252,1)</f>
        <v>46692</v>
      </c>
      <c r="C253" s="64" t="n">
        <f aca="false">B253+14</f>
        <v>46706</v>
      </c>
      <c r="D253" s="33" t="n">
        <f aca="false">IF(OR($C$9="",B253&gt;=$C$9),0,$C$10*(1+$C$11)^IF(B253&lt;$C$7,0,DATEDIF($C$7,B253,"y"))*MAX(0,MIN(EDATE(B253,1),$C$9)-MAX(B253,$C$7))/(EDATE(B253,1)-B253))</f>
        <v>0</v>
      </c>
      <c r="E253" s="33" t="n">
        <f aca="false">-SUMIFS(Échéancier!$I$5:$I$300,Échéancier!$J$5:$J$300,$C$5,Échéancier!$C$5:$C$300,"&gt;="&amp;B253,Échéancier!$C$5:$C$300,"&lt;"&amp;EDATE(B253,1))</f>
        <v>-841.33</v>
      </c>
      <c r="F253" s="33" t="n">
        <f aca="false">-SUMIFS($D$68:$D$106,$E$68:$E$106,$C$5,$C$68:$C$106,"&gt;="&amp;B253,$C$68:$C$106,"&lt;"&amp;EDATE(B253,1))</f>
        <v>-0</v>
      </c>
      <c r="G253" s="33" t="n">
        <f aca="false">SUMIFS(Journal!$K$5:$K$1004,Journal!$C$5:$C$1004,$C$5,Journal!$A$5:$A$1004,"&gt;="&amp;B253,Journal!$A$5:$A$1004,"&lt;"&amp;MIN(EDATE(B253,1),$C$6+1))</f>
        <v>0</v>
      </c>
      <c r="H253" s="33" t="n">
        <f aca="false">IF(B253&lt;=$C$6,0,($C$12-$C$13/12)*(1+$C$14)^(YEAR(B253)-YEAR($C$6)))</f>
        <v>598.9109</v>
      </c>
      <c r="I253" s="33" t="n">
        <f aca="false">SUM(D253:H253)</f>
        <v>-242.4191</v>
      </c>
      <c r="J253" s="33" t="n">
        <f aca="false">IF(C253&lt;=$C$22,I253,0)</f>
        <v>0</v>
      </c>
      <c r="K253" s="33" t="n">
        <f aca="false">IF(C253&lt;=$D$22,I253,0)</f>
        <v>-242.4191</v>
      </c>
      <c r="L253" s="33" t="n">
        <f aca="false">IF(C253&lt;=$E$22,I253,0)</f>
        <v>-242.4191</v>
      </c>
    </row>
    <row r="254" customFormat="false" ht="15" hidden="false" customHeight="true" outlineLevel="0" collapsed="false">
      <c r="B254" s="65" t="n">
        <f aca="false">EDATE(B253,1)</f>
        <v>46722</v>
      </c>
      <c r="C254" s="64" t="n">
        <f aca="false">B254+14</f>
        <v>46736</v>
      </c>
      <c r="D254" s="33" t="n">
        <f aca="false">IF(OR($C$9="",B254&gt;=$C$9),0,$C$10*(1+$C$11)^IF(B254&lt;$C$7,0,DATEDIF($C$7,B254,"y"))*MAX(0,MIN(EDATE(B254,1),$C$9)-MAX(B254,$C$7))/(EDATE(B254,1)-B254))</f>
        <v>0</v>
      </c>
      <c r="E254" s="33" t="n">
        <f aca="false">-SUMIFS(Échéancier!$I$5:$I$300,Échéancier!$J$5:$J$300,$C$5,Échéancier!$C$5:$C$300,"&gt;="&amp;B254,Échéancier!$C$5:$C$300,"&lt;"&amp;EDATE(B254,1))</f>
        <v>-841.32</v>
      </c>
      <c r="F254" s="33" t="n">
        <f aca="false">-SUMIFS($D$68:$D$106,$E$68:$E$106,$C$5,$C$68:$C$106,"&gt;="&amp;B254,$C$68:$C$106,"&lt;"&amp;EDATE(B254,1))</f>
        <v>-0</v>
      </c>
      <c r="G254" s="33" t="n">
        <f aca="false">SUMIFS(Journal!$K$5:$K$1004,Journal!$C$5:$C$1004,$C$5,Journal!$A$5:$A$1004,"&gt;="&amp;B254,Journal!$A$5:$A$1004,"&lt;"&amp;MIN(EDATE(B254,1),$C$6+1))</f>
        <v>0</v>
      </c>
      <c r="H254" s="33" t="n">
        <f aca="false">IF(B254&lt;=$C$6,0,($C$12-$C$13/12)*(1+$C$14)^(YEAR(B254)-YEAR($C$6)))</f>
        <v>598.9109</v>
      </c>
      <c r="I254" s="33" t="n">
        <f aca="false">SUM(D254:H254)</f>
        <v>-242.4091</v>
      </c>
      <c r="J254" s="33" t="n">
        <f aca="false">IF(C254&lt;=$C$22,I254,0)</f>
        <v>0</v>
      </c>
      <c r="K254" s="33" t="n">
        <f aca="false">IF(C254&lt;=$D$22,I254,0)</f>
        <v>-242.4091</v>
      </c>
      <c r="L254" s="33" t="n">
        <f aca="false">IF(C254&lt;=$E$22,I254,0)</f>
        <v>-242.4091</v>
      </c>
    </row>
    <row r="255" customFormat="false" ht="15" hidden="false" customHeight="true" outlineLevel="0" collapsed="false">
      <c r="B255" s="65" t="n">
        <f aca="false">EDATE(B254,1)</f>
        <v>46753</v>
      </c>
      <c r="C255" s="64" t="n">
        <f aca="false">B255+14</f>
        <v>46767</v>
      </c>
      <c r="D255" s="33" t="n">
        <f aca="false">IF(OR($C$9="",B255&gt;=$C$9),0,$C$10*(1+$C$11)^IF(B255&lt;$C$7,0,DATEDIF($C$7,B255,"y"))*MAX(0,MIN(EDATE(B255,1),$C$9)-MAX(B255,$C$7))/(EDATE(B255,1)-B255))</f>
        <v>0</v>
      </c>
      <c r="E255" s="33" t="n">
        <f aca="false">-SUMIFS(Échéancier!$I$5:$I$300,Échéancier!$J$5:$J$300,$C$5,Échéancier!$C$5:$C$300,"&gt;="&amp;B255,Échéancier!$C$5:$C$300,"&lt;"&amp;EDATE(B255,1))</f>
        <v>-841.32</v>
      </c>
      <c r="F255" s="33" t="n">
        <f aca="false">-SUMIFS($D$68:$D$106,$E$68:$E$106,$C$5,$C$68:$C$106,"&gt;="&amp;B255,$C$68:$C$106,"&lt;"&amp;EDATE(B255,1))</f>
        <v>-0</v>
      </c>
      <c r="G255" s="33" t="n">
        <f aca="false">SUMIFS(Journal!$K$5:$K$1004,Journal!$C$5:$C$1004,$C$5,Journal!$A$5:$A$1004,"&gt;="&amp;B255,Journal!$A$5:$A$1004,"&lt;"&amp;MIN(EDATE(B255,1),$C$6+1))</f>
        <v>0</v>
      </c>
      <c r="H255" s="33" t="n">
        <f aca="false">IF(B255&lt;=$C$6,0,($C$12-$C$13/12)*(1+$C$14)^(YEAR(B255)-YEAR($C$6)))</f>
        <v>607.8945635</v>
      </c>
      <c r="I255" s="33" t="n">
        <f aca="false">SUM(D255:H255)</f>
        <v>-233.4254365</v>
      </c>
      <c r="J255" s="33" t="n">
        <f aca="false">IF(C255&lt;=$C$22,I255,0)</f>
        <v>0</v>
      </c>
      <c r="K255" s="33" t="n">
        <f aca="false">IF(C255&lt;=$D$22,I255,0)</f>
        <v>-233.4254365</v>
      </c>
      <c r="L255" s="33" t="n">
        <f aca="false">IF(C255&lt;=$E$22,I255,0)</f>
        <v>-233.4254365</v>
      </c>
    </row>
    <row r="256" customFormat="false" ht="15" hidden="false" customHeight="true" outlineLevel="0" collapsed="false">
      <c r="B256" s="65" t="n">
        <f aca="false">EDATE(B255,1)</f>
        <v>46784</v>
      </c>
      <c r="C256" s="64" t="n">
        <f aca="false">B256+14</f>
        <v>46798</v>
      </c>
      <c r="D256" s="33" t="n">
        <f aca="false">IF(OR($C$9="",B256&gt;=$C$9),0,$C$10*(1+$C$11)^IF(B256&lt;$C$7,0,DATEDIF($C$7,B256,"y"))*MAX(0,MIN(EDATE(B256,1),$C$9)-MAX(B256,$C$7))/(EDATE(B256,1)-B256))</f>
        <v>0</v>
      </c>
      <c r="E256" s="33" t="n">
        <f aca="false">-SUMIFS(Échéancier!$I$5:$I$300,Échéancier!$J$5:$J$300,$C$5,Échéancier!$C$5:$C$300,"&gt;="&amp;B256,Échéancier!$C$5:$C$300,"&lt;"&amp;EDATE(B256,1))</f>
        <v>-841.33</v>
      </c>
      <c r="F256" s="33" t="n">
        <f aca="false">-SUMIFS($D$68:$D$106,$E$68:$E$106,$C$5,$C$68:$C$106,"&gt;="&amp;B256,$C$68:$C$106,"&lt;"&amp;EDATE(B256,1))</f>
        <v>-0</v>
      </c>
      <c r="G256" s="33" t="n">
        <f aca="false">SUMIFS(Journal!$K$5:$K$1004,Journal!$C$5:$C$1004,$C$5,Journal!$A$5:$A$1004,"&gt;="&amp;B256,Journal!$A$5:$A$1004,"&lt;"&amp;MIN(EDATE(B256,1),$C$6+1))</f>
        <v>0</v>
      </c>
      <c r="H256" s="33" t="n">
        <f aca="false">IF(B256&lt;=$C$6,0,($C$12-$C$13/12)*(1+$C$14)^(YEAR(B256)-YEAR($C$6)))</f>
        <v>607.8945635</v>
      </c>
      <c r="I256" s="33" t="n">
        <f aca="false">SUM(D256:H256)</f>
        <v>-233.4354365</v>
      </c>
      <c r="J256" s="33" t="n">
        <f aca="false">IF(C256&lt;=$C$22,I256,0)</f>
        <v>0</v>
      </c>
      <c r="K256" s="33" t="n">
        <f aca="false">IF(C256&lt;=$D$22,I256,0)</f>
        <v>-233.4354365</v>
      </c>
      <c r="L256" s="33" t="n">
        <f aca="false">IF(C256&lt;=$E$22,I256,0)</f>
        <v>-233.4354365</v>
      </c>
    </row>
    <row r="257" customFormat="false" ht="15" hidden="false" customHeight="true" outlineLevel="0" collapsed="false">
      <c r="B257" s="65" t="n">
        <f aca="false">EDATE(B256,1)</f>
        <v>46813</v>
      </c>
      <c r="C257" s="64" t="n">
        <f aca="false">B257+14</f>
        <v>46827</v>
      </c>
      <c r="D257" s="33" t="n">
        <f aca="false">IF(OR($C$9="",B257&gt;=$C$9),0,$C$10*(1+$C$11)^IF(B257&lt;$C$7,0,DATEDIF($C$7,B257,"y"))*MAX(0,MIN(EDATE(B257,1),$C$9)-MAX(B257,$C$7))/(EDATE(B257,1)-B257))</f>
        <v>0</v>
      </c>
      <c r="E257" s="33" t="n">
        <f aca="false">-SUMIFS(Échéancier!$I$5:$I$300,Échéancier!$J$5:$J$300,$C$5,Échéancier!$C$5:$C$300,"&gt;="&amp;B257,Échéancier!$C$5:$C$300,"&lt;"&amp;EDATE(B257,1))</f>
        <v>-841.32</v>
      </c>
      <c r="F257" s="33" t="n">
        <f aca="false">-SUMIFS($D$68:$D$106,$E$68:$E$106,$C$5,$C$68:$C$106,"&gt;="&amp;B257,$C$68:$C$106,"&lt;"&amp;EDATE(B257,1))</f>
        <v>-0</v>
      </c>
      <c r="G257" s="33" t="n">
        <f aca="false">SUMIFS(Journal!$K$5:$K$1004,Journal!$C$5:$C$1004,$C$5,Journal!$A$5:$A$1004,"&gt;="&amp;B257,Journal!$A$5:$A$1004,"&lt;"&amp;MIN(EDATE(B257,1),$C$6+1))</f>
        <v>0</v>
      </c>
      <c r="H257" s="33" t="n">
        <f aca="false">IF(B257&lt;=$C$6,0,($C$12-$C$13/12)*(1+$C$14)^(YEAR(B257)-YEAR($C$6)))</f>
        <v>607.8945635</v>
      </c>
      <c r="I257" s="33" t="n">
        <f aca="false">SUM(D257:H257)</f>
        <v>-233.4254365</v>
      </c>
      <c r="J257" s="33" t="n">
        <f aca="false">IF(C257&lt;=$C$22,I257,0)</f>
        <v>0</v>
      </c>
      <c r="K257" s="33" t="n">
        <f aca="false">IF(C257&lt;=$D$22,I257,0)</f>
        <v>-233.4254365</v>
      </c>
      <c r="L257" s="33" t="n">
        <f aca="false">IF(C257&lt;=$E$22,I257,0)</f>
        <v>-233.4254365</v>
      </c>
    </row>
    <row r="258" customFormat="false" ht="15" hidden="false" customHeight="true" outlineLevel="0" collapsed="false">
      <c r="B258" s="65" t="n">
        <f aca="false">EDATE(B257,1)</f>
        <v>46844</v>
      </c>
      <c r="C258" s="64" t="n">
        <f aca="false">B258+14</f>
        <v>46858</v>
      </c>
      <c r="D258" s="33" t="n">
        <f aca="false">IF(OR($C$9="",B258&gt;=$C$9),0,$C$10*(1+$C$11)^IF(B258&lt;$C$7,0,DATEDIF($C$7,B258,"y"))*MAX(0,MIN(EDATE(B258,1),$C$9)-MAX(B258,$C$7))/(EDATE(B258,1)-B258))</f>
        <v>0</v>
      </c>
      <c r="E258" s="33" t="n">
        <f aca="false">-SUMIFS(Échéancier!$I$5:$I$300,Échéancier!$J$5:$J$300,$C$5,Échéancier!$C$5:$C$300,"&gt;="&amp;B258,Échéancier!$C$5:$C$300,"&lt;"&amp;EDATE(B258,1))</f>
        <v>-841.32</v>
      </c>
      <c r="F258" s="33" t="n">
        <f aca="false">-SUMIFS($D$68:$D$106,$E$68:$E$106,$C$5,$C$68:$C$106,"&gt;="&amp;B258,$C$68:$C$106,"&lt;"&amp;EDATE(B258,1))</f>
        <v>-0</v>
      </c>
      <c r="G258" s="33" t="n">
        <f aca="false">SUMIFS(Journal!$K$5:$K$1004,Journal!$C$5:$C$1004,$C$5,Journal!$A$5:$A$1004,"&gt;="&amp;B258,Journal!$A$5:$A$1004,"&lt;"&amp;MIN(EDATE(B258,1),$C$6+1))</f>
        <v>0</v>
      </c>
      <c r="H258" s="33" t="n">
        <f aca="false">IF(B258&lt;=$C$6,0,($C$12-$C$13/12)*(1+$C$14)^(YEAR(B258)-YEAR($C$6)))</f>
        <v>607.8945635</v>
      </c>
      <c r="I258" s="33" t="n">
        <f aca="false">SUM(D258:H258)</f>
        <v>-233.4254365</v>
      </c>
      <c r="J258" s="33" t="n">
        <f aca="false">IF(C258&lt;=$C$22,I258,0)</f>
        <v>0</v>
      </c>
      <c r="K258" s="33" t="n">
        <f aca="false">IF(C258&lt;=$D$22,I258,0)</f>
        <v>-233.4254365</v>
      </c>
      <c r="L258" s="33" t="n">
        <f aca="false">IF(C258&lt;=$E$22,I258,0)</f>
        <v>-233.4254365</v>
      </c>
    </row>
    <row r="259" customFormat="false" ht="15" hidden="false" customHeight="true" outlineLevel="0" collapsed="false">
      <c r="B259" s="65" t="n">
        <f aca="false">EDATE(B258,1)</f>
        <v>46874</v>
      </c>
      <c r="C259" s="64" t="n">
        <f aca="false">B259+14</f>
        <v>46888</v>
      </c>
      <c r="D259" s="33" t="n">
        <f aca="false">IF(OR($C$9="",B259&gt;=$C$9),0,$C$10*(1+$C$11)^IF(B259&lt;$C$7,0,DATEDIF($C$7,B259,"y"))*MAX(0,MIN(EDATE(B259,1),$C$9)-MAX(B259,$C$7))/(EDATE(B259,1)-B259))</f>
        <v>0</v>
      </c>
      <c r="E259" s="33" t="n">
        <f aca="false">-SUMIFS(Échéancier!$I$5:$I$300,Échéancier!$J$5:$J$300,$C$5,Échéancier!$C$5:$C$300,"&gt;="&amp;B259,Échéancier!$C$5:$C$300,"&lt;"&amp;EDATE(B259,1))</f>
        <v>-841.33</v>
      </c>
      <c r="F259" s="33" t="n">
        <f aca="false">-SUMIFS($D$68:$D$106,$E$68:$E$106,$C$5,$C$68:$C$106,"&gt;="&amp;B259,$C$68:$C$106,"&lt;"&amp;EDATE(B259,1))</f>
        <v>-0</v>
      </c>
      <c r="G259" s="33" t="n">
        <f aca="false">SUMIFS(Journal!$K$5:$K$1004,Journal!$C$5:$C$1004,$C$5,Journal!$A$5:$A$1004,"&gt;="&amp;B259,Journal!$A$5:$A$1004,"&lt;"&amp;MIN(EDATE(B259,1),$C$6+1))</f>
        <v>0</v>
      </c>
      <c r="H259" s="33" t="n">
        <f aca="false">IF(B259&lt;=$C$6,0,($C$12-$C$13/12)*(1+$C$14)^(YEAR(B259)-YEAR($C$6)))</f>
        <v>607.8945635</v>
      </c>
      <c r="I259" s="33" t="n">
        <f aca="false">SUM(D259:H259)</f>
        <v>-233.4354365</v>
      </c>
      <c r="J259" s="33" t="n">
        <f aca="false">IF(C259&lt;=$C$22,I259,0)</f>
        <v>0</v>
      </c>
      <c r="K259" s="33" t="n">
        <f aca="false">IF(C259&lt;=$D$22,I259,0)</f>
        <v>-233.4354365</v>
      </c>
      <c r="L259" s="33" t="n">
        <f aca="false">IF(C259&lt;=$E$22,I259,0)</f>
        <v>-233.4354365</v>
      </c>
    </row>
    <row r="260" customFormat="false" ht="15" hidden="false" customHeight="true" outlineLevel="0" collapsed="false">
      <c r="B260" s="65" t="n">
        <f aca="false">EDATE(B259,1)</f>
        <v>46905</v>
      </c>
      <c r="C260" s="64" t="n">
        <f aca="false">B260+14</f>
        <v>46919</v>
      </c>
      <c r="D260" s="33" t="n">
        <f aca="false">IF(OR($C$9="",B260&gt;=$C$9),0,$C$10*(1+$C$11)^IF(B260&lt;$C$7,0,DATEDIF($C$7,B260,"y"))*MAX(0,MIN(EDATE(B260,1),$C$9)-MAX(B260,$C$7))/(EDATE(B260,1)-B260))</f>
        <v>0</v>
      </c>
      <c r="E260" s="33" t="n">
        <f aca="false">-SUMIFS(Échéancier!$I$5:$I$300,Échéancier!$J$5:$J$300,$C$5,Échéancier!$C$5:$C$300,"&gt;="&amp;B260,Échéancier!$C$5:$C$300,"&lt;"&amp;EDATE(B260,1))</f>
        <v>-841.33</v>
      </c>
      <c r="F260" s="33" t="n">
        <f aca="false">-SUMIFS($D$68:$D$106,$E$68:$E$106,$C$5,$C$68:$C$106,"&gt;="&amp;B260,$C$68:$C$106,"&lt;"&amp;EDATE(B260,1))</f>
        <v>-0</v>
      </c>
      <c r="G260" s="33" t="n">
        <f aca="false">SUMIFS(Journal!$K$5:$K$1004,Journal!$C$5:$C$1004,$C$5,Journal!$A$5:$A$1004,"&gt;="&amp;B260,Journal!$A$5:$A$1004,"&lt;"&amp;MIN(EDATE(B260,1),$C$6+1))</f>
        <v>0</v>
      </c>
      <c r="H260" s="33" t="n">
        <f aca="false">IF(B260&lt;=$C$6,0,($C$12-$C$13/12)*(1+$C$14)^(YEAR(B260)-YEAR($C$6)))</f>
        <v>607.8945635</v>
      </c>
      <c r="I260" s="33" t="n">
        <f aca="false">SUM(D260:H260)</f>
        <v>-233.4354365</v>
      </c>
      <c r="J260" s="33" t="n">
        <f aca="false">IF(C260&lt;=$C$22,I260,0)</f>
        <v>0</v>
      </c>
      <c r="K260" s="33" t="n">
        <f aca="false">IF(C260&lt;=$D$22,I260,0)</f>
        <v>-233.4354365</v>
      </c>
      <c r="L260" s="33" t="n">
        <f aca="false">IF(C260&lt;=$E$22,I260,0)</f>
        <v>-233.4354365</v>
      </c>
    </row>
    <row r="261" customFormat="false" ht="15" hidden="false" customHeight="true" outlineLevel="0" collapsed="false">
      <c r="B261" s="65" t="n">
        <f aca="false">EDATE(B260,1)</f>
        <v>46935</v>
      </c>
      <c r="C261" s="64" t="n">
        <f aca="false">B261+14</f>
        <v>46949</v>
      </c>
      <c r="D261" s="33" t="n">
        <f aca="false">IF(OR($C$9="",B261&gt;=$C$9),0,$C$10*(1+$C$11)^IF(B261&lt;$C$7,0,DATEDIF($C$7,B261,"y"))*MAX(0,MIN(EDATE(B261,1),$C$9)-MAX(B261,$C$7))/(EDATE(B261,1)-B261))</f>
        <v>0</v>
      </c>
      <c r="E261" s="33" t="n">
        <f aca="false">-SUMIFS(Échéancier!$I$5:$I$300,Échéancier!$J$5:$J$300,$C$5,Échéancier!$C$5:$C$300,"&gt;="&amp;B261,Échéancier!$C$5:$C$300,"&lt;"&amp;EDATE(B261,1))</f>
        <v>-841.32</v>
      </c>
      <c r="F261" s="33" t="n">
        <f aca="false">-SUMIFS($D$68:$D$106,$E$68:$E$106,$C$5,$C$68:$C$106,"&gt;="&amp;B261,$C$68:$C$106,"&lt;"&amp;EDATE(B261,1))</f>
        <v>-0</v>
      </c>
      <c r="G261" s="33" t="n">
        <f aca="false">SUMIFS(Journal!$K$5:$K$1004,Journal!$C$5:$C$1004,$C$5,Journal!$A$5:$A$1004,"&gt;="&amp;B261,Journal!$A$5:$A$1004,"&lt;"&amp;MIN(EDATE(B261,1),$C$6+1))</f>
        <v>0</v>
      </c>
      <c r="H261" s="33" t="n">
        <f aca="false">IF(B261&lt;=$C$6,0,($C$12-$C$13/12)*(1+$C$14)^(YEAR(B261)-YEAR($C$6)))</f>
        <v>607.8945635</v>
      </c>
      <c r="I261" s="33" t="n">
        <f aca="false">SUM(D261:H261)</f>
        <v>-233.4254365</v>
      </c>
      <c r="J261" s="33" t="n">
        <f aca="false">IF(C261&lt;=$C$22,I261,0)</f>
        <v>0</v>
      </c>
      <c r="K261" s="33" t="n">
        <f aca="false">IF(C261&lt;=$D$22,I261,0)</f>
        <v>0</v>
      </c>
      <c r="L261" s="33" t="n">
        <f aca="false">IF(C261&lt;=$E$22,I261,0)</f>
        <v>-233.4254365</v>
      </c>
    </row>
    <row r="262" customFormat="false" ht="15" hidden="false" customHeight="true" outlineLevel="0" collapsed="false">
      <c r="B262" s="65" t="n">
        <f aca="false">EDATE(B261,1)</f>
        <v>46966</v>
      </c>
      <c r="C262" s="64" t="n">
        <f aca="false">B262+14</f>
        <v>46980</v>
      </c>
      <c r="D262" s="33" t="n">
        <f aca="false">IF(OR($C$9="",B262&gt;=$C$9),0,$C$10*(1+$C$11)^IF(B262&lt;$C$7,0,DATEDIF($C$7,B262,"y"))*MAX(0,MIN(EDATE(B262,1),$C$9)-MAX(B262,$C$7))/(EDATE(B262,1)-B262))</f>
        <v>0</v>
      </c>
      <c r="E262" s="33" t="n">
        <f aca="false">-SUMIFS(Échéancier!$I$5:$I$300,Échéancier!$J$5:$J$300,$C$5,Échéancier!$C$5:$C$300,"&gt;="&amp;B262,Échéancier!$C$5:$C$300,"&lt;"&amp;EDATE(B262,1))</f>
        <v>-841.33</v>
      </c>
      <c r="F262" s="33" t="n">
        <f aca="false">-SUMIFS($D$68:$D$106,$E$68:$E$106,$C$5,$C$68:$C$106,"&gt;="&amp;B262,$C$68:$C$106,"&lt;"&amp;EDATE(B262,1))</f>
        <v>-0</v>
      </c>
      <c r="G262" s="33" t="n">
        <f aca="false">SUMIFS(Journal!$K$5:$K$1004,Journal!$C$5:$C$1004,$C$5,Journal!$A$5:$A$1004,"&gt;="&amp;B262,Journal!$A$5:$A$1004,"&lt;"&amp;MIN(EDATE(B262,1),$C$6+1))</f>
        <v>0</v>
      </c>
      <c r="H262" s="33" t="n">
        <f aca="false">IF(B262&lt;=$C$6,0,($C$12-$C$13/12)*(1+$C$14)^(YEAR(B262)-YEAR($C$6)))</f>
        <v>607.8945635</v>
      </c>
      <c r="I262" s="33" t="n">
        <f aca="false">SUM(D262:H262)</f>
        <v>-233.4354365</v>
      </c>
      <c r="J262" s="33" t="n">
        <f aca="false">IF(C262&lt;=$C$22,I262,0)</f>
        <v>0</v>
      </c>
      <c r="K262" s="33" t="n">
        <f aca="false">IF(C262&lt;=$D$22,I262,0)</f>
        <v>0</v>
      </c>
      <c r="L262" s="33" t="n">
        <f aca="false">IF(C262&lt;=$E$22,I262,0)</f>
        <v>-233.4354365</v>
      </c>
    </row>
    <row r="263" customFormat="false" ht="15" hidden="false" customHeight="true" outlineLevel="0" collapsed="false">
      <c r="B263" s="65" t="n">
        <f aca="false">EDATE(B262,1)</f>
        <v>46997</v>
      </c>
      <c r="C263" s="64" t="n">
        <f aca="false">B263+14</f>
        <v>47011</v>
      </c>
      <c r="D263" s="33" t="n">
        <f aca="false">IF(OR($C$9="",B263&gt;=$C$9),0,$C$10*(1+$C$11)^IF(B263&lt;$C$7,0,DATEDIF($C$7,B263,"y"))*MAX(0,MIN(EDATE(B263,1),$C$9)-MAX(B263,$C$7))/(EDATE(B263,1)-B263))</f>
        <v>0</v>
      </c>
      <c r="E263" s="33" t="n">
        <f aca="false">-SUMIFS(Échéancier!$I$5:$I$300,Échéancier!$J$5:$J$300,$C$5,Échéancier!$C$5:$C$300,"&gt;="&amp;B263,Échéancier!$C$5:$C$300,"&lt;"&amp;EDATE(B263,1))</f>
        <v>-841.33</v>
      </c>
      <c r="F263" s="33" t="n">
        <f aca="false">-SUMIFS($D$68:$D$106,$E$68:$E$106,$C$5,$C$68:$C$106,"&gt;="&amp;B263,$C$68:$C$106,"&lt;"&amp;EDATE(B263,1))</f>
        <v>-0</v>
      </c>
      <c r="G263" s="33" t="n">
        <f aca="false">SUMIFS(Journal!$K$5:$K$1004,Journal!$C$5:$C$1004,$C$5,Journal!$A$5:$A$1004,"&gt;="&amp;B263,Journal!$A$5:$A$1004,"&lt;"&amp;MIN(EDATE(B263,1),$C$6+1))</f>
        <v>0</v>
      </c>
      <c r="H263" s="33" t="n">
        <f aca="false">IF(B263&lt;=$C$6,0,($C$12-$C$13/12)*(1+$C$14)^(YEAR(B263)-YEAR($C$6)))</f>
        <v>607.8945635</v>
      </c>
      <c r="I263" s="33" t="n">
        <f aca="false">SUM(D263:H263)</f>
        <v>-233.4354365</v>
      </c>
      <c r="J263" s="33" t="n">
        <f aca="false">IF(C263&lt;=$C$22,I263,0)</f>
        <v>0</v>
      </c>
      <c r="K263" s="33" t="n">
        <f aca="false">IF(C263&lt;=$D$22,I263,0)</f>
        <v>0</v>
      </c>
      <c r="L263" s="33" t="n">
        <f aca="false">IF(C263&lt;=$E$22,I263,0)</f>
        <v>-233.4354365</v>
      </c>
    </row>
    <row r="264" customFormat="false" ht="15" hidden="false" customHeight="true" outlineLevel="0" collapsed="false">
      <c r="B264" s="65" t="n">
        <f aca="false">EDATE(B263,1)</f>
        <v>47027</v>
      </c>
      <c r="C264" s="64" t="n">
        <f aca="false">B264+14</f>
        <v>47041</v>
      </c>
      <c r="D264" s="33" t="n">
        <f aca="false">IF(OR($C$9="",B264&gt;=$C$9),0,$C$10*(1+$C$11)^IF(B264&lt;$C$7,0,DATEDIF($C$7,B264,"y"))*MAX(0,MIN(EDATE(B264,1),$C$9)-MAX(B264,$C$7))/(EDATE(B264,1)-B264))</f>
        <v>0</v>
      </c>
      <c r="E264" s="33" t="n">
        <f aca="false">-SUMIFS(Échéancier!$I$5:$I$300,Échéancier!$J$5:$J$300,$C$5,Échéancier!$C$5:$C$300,"&gt;="&amp;B264,Échéancier!$C$5:$C$300,"&lt;"&amp;EDATE(B264,1))</f>
        <v>-841.32</v>
      </c>
      <c r="F264" s="33" t="n">
        <f aca="false">-SUMIFS($D$68:$D$106,$E$68:$E$106,$C$5,$C$68:$C$106,"&gt;="&amp;B264,$C$68:$C$106,"&lt;"&amp;EDATE(B264,1))</f>
        <v>-0</v>
      </c>
      <c r="G264" s="33" t="n">
        <f aca="false">SUMIFS(Journal!$K$5:$K$1004,Journal!$C$5:$C$1004,$C$5,Journal!$A$5:$A$1004,"&gt;="&amp;B264,Journal!$A$5:$A$1004,"&lt;"&amp;MIN(EDATE(B264,1),$C$6+1))</f>
        <v>0</v>
      </c>
      <c r="H264" s="33" t="n">
        <f aca="false">IF(B264&lt;=$C$6,0,($C$12-$C$13/12)*(1+$C$14)^(YEAR(B264)-YEAR($C$6)))</f>
        <v>607.8945635</v>
      </c>
      <c r="I264" s="33" t="n">
        <f aca="false">SUM(D264:H264)</f>
        <v>-233.4254365</v>
      </c>
      <c r="J264" s="33" t="n">
        <f aca="false">IF(C264&lt;=$C$22,I264,0)</f>
        <v>0</v>
      </c>
      <c r="K264" s="33" t="n">
        <f aca="false">IF(C264&lt;=$D$22,I264,0)</f>
        <v>0</v>
      </c>
      <c r="L264" s="33" t="n">
        <f aca="false">IF(C264&lt;=$E$22,I264,0)</f>
        <v>-233.4254365</v>
      </c>
    </row>
    <row r="265" customFormat="false" ht="15" hidden="false" customHeight="true" outlineLevel="0" collapsed="false">
      <c r="B265" s="65" t="n">
        <f aca="false">EDATE(B264,1)</f>
        <v>47058</v>
      </c>
      <c r="C265" s="64" t="n">
        <f aca="false">B265+14</f>
        <v>47072</v>
      </c>
      <c r="D265" s="33" t="n">
        <f aca="false">IF(OR($C$9="",B265&gt;=$C$9),0,$C$10*(1+$C$11)^IF(B265&lt;$C$7,0,DATEDIF($C$7,B265,"y"))*MAX(0,MIN(EDATE(B265,1),$C$9)-MAX(B265,$C$7))/(EDATE(B265,1)-B265))</f>
        <v>0</v>
      </c>
      <c r="E265" s="33" t="n">
        <f aca="false">-SUMIFS(Échéancier!$I$5:$I$300,Échéancier!$J$5:$J$300,$C$5,Échéancier!$C$5:$C$300,"&gt;="&amp;B265,Échéancier!$C$5:$C$300,"&lt;"&amp;EDATE(B265,1))</f>
        <v>-841.32</v>
      </c>
      <c r="F265" s="33" t="n">
        <f aca="false">-SUMIFS($D$68:$D$106,$E$68:$E$106,$C$5,$C$68:$C$106,"&gt;="&amp;B265,$C$68:$C$106,"&lt;"&amp;EDATE(B265,1))</f>
        <v>-0</v>
      </c>
      <c r="G265" s="33" t="n">
        <f aca="false">SUMIFS(Journal!$K$5:$K$1004,Journal!$C$5:$C$1004,$C$5,Journal!$A$5:$A$1004,"&gt;="&amp;B265,Journal!$A$5:$A$1004,"&lt;"&amp;MIN(EDATE(B265,1),$C$6+1))</f>
        <v>0</v>
      </c>
      <c r="H265" s="33" t="n">
        <f aca="false">IF(B265&lt;=$C$6,0,($C$12-$C$13/12)*(1+$C$14)^(YEAR(B265)-YEAR($C$6)))</f>
        <v>607.8945635</v>
      </c>
      <c r="I265" s="33" t="n">
        <f aca="false">SUM(D265:H265)</f>
        <v>-233.4254365</v>
      </c>
      <c r="J265" s="33" t="n">
        <f aca="false">IF(C265&lt;=$C$22,I265,0)</f>
        <v>0</v>
      </c>
      <c r="K265" s="33" t="n">
        <f aca="false">IF(C265&lt;=$D$22,I265,0)</f>
        <v>0</v>
      </c>
      <c r="L265" s="33" t="n">
        <f aca="false">IF(C265&lt;=$E$22,I265,0)</f>
        <v>-233.4254365</v>
      </c>
    </row>
    <row r="266" customFormat="false" ht="15" hidden="false" customHeight="true" outlineLevel="0" collapsed="false">
      <c r="B266" s="65" t="n">
        <f aca="false">EDATE(B265,1)</f>
        <v>47088</v>
      </c>
      <c r="C266" s="64" t="n">
        <f aca="false">B266+14</f>
        <v>47102</v>
      </c>
      <c r="D266" s="33" t="n">
        <f aca="false">IF(OR($C$9="",B266&gt;=$C$9),0,$C$10*(1+$C$11)^IF(B266&lt;$C$7,0,DATEDIF($C$7,B266,"y"))*MAX(0,MIN(EDATE(B266,1),$C$9)-MAX(B266,$C$7))/(EDATE(B266,1)-B266))</f>
        <v>0</v>
      </c>
      <c r="E266" s="33" t="n">
        <f aca="false">-SUMIFS(Échéancier!$I$5:$I$300,Échéancier!$J$5:$J$300,$C$5,Échéancier!$C$5:$C$300,"&gt;="&amp;B266,Échéancier!$C$5:$C$300,"&lt;"&amp;EDATE(B266,1))</f>
        <v>-841.33</v>
      </c>
      <c r="F266" s="33" t="n">
        <f aca="false">-SUMIFS($D$68:$D$106,$E$68:$E$106,$C$5,$C$68:$C$106,"&gt;="&amp;B266,$C$68:$C$106,"&lt;"&amp;EDATE(B266,1))</f>
        <v>-0</v>
      </c>
      <c r="G266" s="33" t="n">
        <f aca="false">SUMIFS(Journal!$K$5:$K$1004,Journal!$C$5:$C$1004,$C$5,Journal!$A$5:$A$1004,"&gt;="&amp;B266,Journal!$A$5:$A$1004,"&lt;"&amp;MIN(EDATE(B266,1),$C$6+1))</f>
        <v>0</v>
      </c>
      <c r="H266" s="33" t="n">
        <f aca="false">IF(B266&lt;=$C$6,0,($C$12-$C$13/12)*(1+$C$14)^(YEAR(B266)-YEAR($C$6)))</f>
        <v>607.8945635</v>
      </c>
      <c r="I266" s="33" t="n">
        <f aca="false">SUM(D266:H266)</f>
        <v>-233.4354365</v>
      </c>
      <c r="J266" s="33" t="n">
        <f aca="false">IF(C266&lt;=$C$22,I266,0)</f>
        <v>0</v>
      </c>
      <c r="K266" s="33" t="n">
        <f aca="false">IF(C266&lt;=$D$22,I266,0)</f>
        <v>0</v>
      </c>
      <c r="L266" s="33" t="n">
        <f aca="false">IF(C266&lt;=$E$22,I266,0)</f>
        <v>-233.4354365</v>
      </c>
    </row>
    <row r="267" customFormat="false" ht="15" hidden="false" customHeight="true" outlineLevel="0" collapsed="false">
      <c r="B267" s="65" t="n">
        <f aca="false">EDATE(B266,1)</f>
        <v>47119</v>
      </c>
      <c r="C267" s="64" t="n">
        <f aca="false">B267+14</f>
        <v>47133</v>
      </c>
      <c r="D267" s="33" t="n">
        <f aca="false">IF(OR($C$9="",B267&gt;=$C$9),0,$C$10*(1+$C$11)^IF(B267&lt;$C$7,0,DATEDIF($C$7,B267,"y"))*MAX(0,MIN(EDATE(B267,1),$C$9)-MAX(B267,$C$7))/(EDATE(B267,1)-B267))</f>
        <v>0</v>
      </c>
      <c r="E267" s="33" t="n">
        <f aca="false">-SUMIFS(Échéancier!$I$5:$I$300,Échéancier!$J$5:$J$300,$C$5,Échéancier!$C$5:$C$300,"&gt;="&amp;B267,Échéancier!$C$5:$C$300,"&lt;"&amp;EDATE(B267,1))</f>
        <v>-841.33</v>
      </c>
      <c r="F267" s="33" t="n">
        <f aca="false">-SUMIFS($D$68:$D$106,$E$68:$E$106,$C$5,$C$68:$C$106,"&gt;="&amp;B267,$C$68:$C$106,"&lt;"&amp;EDATE(B267,1))</f>
        <v>-0</v>
      </c>
      <c r="G267" s="33" t="n">
        <f aca="false">SUMIFS(Journal!$K$5:$K$1004,Journal!$C$5:$C$1004,$C$5,Journal!$A$5:$A$1004,"&gt;="&amp;B267,Journal!$A$5:$A$1004,"&lt;"&amp;MIN(EDATE(B267,1),$C$6+1))</f>
        <v>0</v>
      </c>
      <c r="H267" s="33" t="n">
        <f aca="false">IF(B267&lt;=$C$6,0,($C$12-$C$13/12)*(1+$C$14)^(YEAR(B267)-YEAR($C$6)))</f>
        <v>617.0129819525</v>
      </c>
      <c r="I267" s="33" t="n">
        <f aca="false">SUM(D267:H267)</f>
        <v>-224.3170180475</v>
      </c>
      <c r="J267" s="33" t="n">
        <f aca="false">IF(C267&lt;=$C$22,I267,0)</f>
        <v>0</v>
      </c>
      <c r="K267" s="33" t="n">
        <f aca="false">IF(C267&lt;=$D$22,I267,0)</f>
        <v>0</v>
      </c>
      <c r="L267" s="33" t="n">
        <f aca="false">IF(C267&lt;=$E$22,I267,0)</f>
        <v>-224.3170180475</v>
      </c>
    </row>
    <row r="268" customFormat="false" ht="15" hidden="false" customHeight="true" outlineLevel="0" collapsed="false">
      <c r="B268" s="65" t="n">
        <f aca="false">EDATE(B267,1)</f>
        <v>47150</v>
      </c>
      <c r="C268" s="64" t="n">
        <f aca="false">B268+14</f>
        <v>47164</v>
      </c>
      <c r="D268" s="33" t="n">
        <f aca="false">IF(OR($C$9="",B268&gt;=$C$9),0,$C$10*(1+$C$11)^IF(B268&lt;$C$7,0,DATEDIF($C$7,B268,"y"))*MAX(0,MIN(EDATE(B268,1),$C$9)-MAX(B268,$C$7))/(EDATE(B268,1)-B268))</f>
        <v>0</v>
      </c>
      <c r="E268" s="33" t="n">
        <f aca="false">-SUMIFS(Échéancier!$I$5:$I$300,Échéancier!$J$5:$J$300,$C$5,Échéancier!$C$5:$C$300,"&gt;="&amp;B268,Échéancier!$C$5:$C$300,"&lt;"&amp;EDATE(B268,1))</f>
        <v>-841.32</v>
      </c>
      <c r="F268" s="33" t="n">
        <f aca="false">-SUMIFS($D$68:$D$106,$E$68:$E$106,$C$5,$C$68:$C$106,"&gt;="&amp;B268,$C$68:$C$106,"&lt;"&amp;EDATE(B268,1))</f>
        <v>-0</v>
      </c>
      <c r="G268" s="33" t="n">
        <f aca="false">SUMIFS(Journal!$K$5:$K$1004,Journal!$C$5:$C$1004,$C$5,Journal!$A$5:$A$1004,"&gt;="&amp;B268,Journal!$A$5:$A$1004,"&lt;"&amp;MIN(EDATE(B268,1),$C$6+1))</f>
        <v>0</v>
      </c>
      <c r="H268" s="33" t="n">
        <f aca="false">IF(B268&lt;=$C$6,0,($C$12-$C$13/12)*(1+$C$14)^(YEAR(B268)-YEAR($C$6)))</f>
        <v>617.0129819525</v>
      </c>
      <c r="I268" s="33" t="n">
        <f aca="false">SUM(D268:H268)</f>
        <v>-224.3070180475</v>
      </c>
      <c r="J268" s="33" t="n">
        <f aca="false">IF(C268&lt;=$C$22,I268,0)</f>
        <v>0</v>
      </c>
      <c r="K268" s="33" t="n">
        <f aca="false">IF(C268&lt;=$D$22,I268,0)</f>
        <v>0</v>
      </c>
      <c r="L268" s="33" t="n">
        <f aca="false">IF(C268&lt;=$E$22,I268,0)</f>
        <v>-224.3070180475</v>
      </c>
    </row>
    <row r="269" customFormat="false" ht="15" hidden="false" customHeight="true" outlineLevel="0" collapsed="false">
      <c r="B269" s="65" t="n">
        <f aca="false">EDATE(B268,1)</f>
        <v>47178</v>
      </c>
      <c r="C269" s="64" t="n">
        <f aca="false">B269+14</f>
        <v>47192</v>
      </c>
      <c r="D269" s="33" t="n">
        <f aca="false">IF(OR($C$9="",B269&gt;=$C$9),0,$C$10*(1+$C$11)^IF(B269&lt;$C$7,0,DATEDIF($C$7,B269,"y"))*MAX(0,MIN(EDATE(B269,1),$C$9)-MAX(B269,$C$7))/(EDATE(B269,1)-B269))</f>
        <v>0</v>
      </c>
      <c r="E269" s="33" t="n">
        <f aca="false">-SUMIFS(Échéancier!$I$5:$I$300,Échéancier!$J$5:$J$300,$C$5,Échéancier!$C$5:$C$300,"&gt;="&amp;B269,Échéancier!$C$5:$C$300,"&lt;"&amp;EDATE(B269,1))</f>
        <v>-841.32</v>
      </c>
      <c r="F269" s="33" t="n">
        <f aca="false">-SUMIFS($D$68:$D$106,$E$68:$E$106,$C$5,$C$68:$C$106,"&gt;="&amp;B269,$C$68:$C$106,"&lt;"&amp;EDATE(B269,1))</f>
        <v>-0</v>
      </c>
      <c r="G269" s="33" t="n">
        <f aca="false">SUMIFS(Journal!$K$5:$K$1004,Journal!$C$5:$C$1004,$C$5,Journal!$A$5:$A$1004,"&gt;="&amp;B269,Journal!$A$5:$A$1004,"&lt;"&amp;MIN(EDATE(B269,1),$C$6+1))</f>
        <v>0</v>
      </c>
      <c r="H269" s="33" t="n">
        <f aca="false">IF(B269&lt;=$C$6,0,($C$12-$C$13/12)*(1+$C$14)^(YEAR(B269)-YEAR($C$6)))</f>
        <v>617.0129819525</v>
      </c>
      <c r="I269" s="33" t="n">
        <f aca="false">SUM(D269:H269)</f>
        <v>-224.3070180475</v>
      </c>
      <c r="J269" s="33" t="n">
        <f aca="false">IF(C269&lt;=$C$22,I269,0)</f>
        <v>0</v>
      </c>
      <c r="K269" s="33" t="n">
        <f aca="false">IF(C269&lt;=$D$22,I269,0)</f>
        <v>0</v>
      </c>
      <c r="L269" s="33" t="n">
        <f aca="false">IF(C269&lt;=$E$22,I269,0)</f>
        <v>-224.3070180475</v>
      </c>
    </row>
    <row r="270" customFormat="false" ht="15" hidden="false" customHeight="true" outlineLevel="0" collapsed="false">
      <c r="B270" s="65" t="n">
        <f aca="false">EDATE(B269,1)</f>
        <v>47209</v>
      </c>
      <c r="C270" s="64" t="n">
        <f aca="false">B270+14</f>
        <v>47223</v>
      </c>
      <c r="D270" s="33" t="n">
        <f aca="false">IF(OR($C$9="",B270&gt;=$C$9),0,$C$10*(1+$C$11)^IF(B270&lt;$C$7,0,DATEDIF($C$7,B270,"y"))*MAX(0,MIN(EDATE(B270,1),$C$9)-MAX(B270,$C$7))/(EDATE(B270,1)-B270))</f>
        <v>0</v>
      </c>
      <c r="E270" s="33" t="n">
        <f aca="false">-SUMIFS(Échéancier!$I$5:$I$300,Échéancier!$J$5:$J$300,$C$5,Échéancier!$C$5:$C$300,"&gt;="&amp;B270,Échéancier!$C$5:$C$300,"&lt;"&amp;EDATE(B270,1))</f>
        <v>-841.33</v>
      </c>
      <c r="F270" s="33" t="n">
        <f aca="false">-SUMIFS($D$68:$D$106,$E$68:$E$106,$C$5,$C$68:$C$106,"&gt;="&amp;B270,$C$68:$C$106,"&lt;"&amp;EDATE(B270,1))</f>
        <v>-0</v>
      </c>
      <c r="G270" s="33" t="n">
        <f aca="false">SUMIFS(Journal!$K$5:$K$1004,Journal!$C$5:$C$1004,$C$5,Journal!$A$5:$A$1004,"&gt;="&amp;B270,Journal!$A$5:$A$1004,"&lt;"&amp;MIN(EDATE(B270,1),$C$6+1))</f>
        <v>0</v>
      </c>
      <c r="H270" s="33" t="n">
        <f aca="false">IF(B270&lt;=$C$6,0,($C$12-$C$13/12)*(1+$C$14)^(YEAR(B270)-YEAR($C$6)))</f>
        <v>617.0129819525</v>
      </c>
      <c r="I270" s="33" t="n">
        <f aca="false">SUM(D270:H270)</f>
        <v>-224.3170180475</v>
      </c>
      <c r="J270" s="33" t="n">
        <f aca="false">IF(C270&lt;=$C$22,I270,0)</f>
        <v>0</v>
      </c>
      <c r="K270" s="33" t="n">
        <f aca="false">IF(C270&lt;=$D$22,I270,0)</f>
        <v>0</v>
      </c>
      <c r="L270" s="33" t="n">
        <f aca="false">IF(C270&lt;=$E$22,I270,0)</f>
        <v>-224.3170180475</v>
      </c>
    </row>
    <row r="271" customFormat="false" ht="15" hidden="false" customHeight="true" outlineLevel="0" collapsed="false">
      <c r="B271" s="65" t="n">
        <f aca="false">EDATE(B270,1)</f>
        <v>47239</v>
      </c>
      <c r="C271" s="64" t="n">
        <f aca="false">B271+14</f>
        <v>47253</v>
      </c>
      <c r="D271" s="33" t="n">
        <f aca="false">IF(OR($C$9="",B271&gt;=$C$9),0,$C$10*(1+$C$11)^IF(B271&lt;$C$7,0,DATEDIF($C$7,B271,"y"))*MAX(0,MIN(EDATE(B271,1),$C$9)-MAX(B271,$C$7))/(EDATE(B271,1)-B271))</f>
        <v>0</v>
      </c>
      <c r="E271" s="33" t="n">
        <f aca="false">-SUMIFS(Échéancier!$I$5:$I$300,Échéancier!$J$5:$J$300,$C$5,Échéancier!$C$5:$C$300,"&gt;="&amp;B271,Échéancier!$C$5:$C$300,"&lt;"&amp;EDATE(B271,1))</f>
        <v>-841.33</v>
      </c>
      <c r="F271" s="33" t="n">
        <f aca="false">-SUMIFS($D$68:$D$106,$E$68:$E$106,$C$5,$C$68:$C$106,"&gt;="&amp;B271,$C$68:$C$106,"&lt;"&amp;EDATE(B271,1))</f>
        <v>-0</v>
      </c>
      <c r="G271" s="33" t="n">
        <f aca="false">SUMIFS(Journal!$K$5:$K$1004,Journal!$C$5:$C$1004,$C$5,Journal!$A$5:$A$1004,"&gt;="&amp;B271,Journal!$A$5:$A$1004,"&lt;"&amp;MIN(EDATE(B271,1),$C$6+1))</f>
        <v>0</v>
      </c>
      <c r="H271" s="33" t="n">
        <f aca="false">IF(B271&lt;=$C$6,0,($C$12-$C$13/12)*(1+$C$14)^(YEAR(B271)-YEAR($C$6)))</f>
        <v>617.0129819525</v>
      </c>
      <c r="I271" s="33" t="n">
        <f aca="false">SUM(D271:H271)</f>
        <v>-224.3170180475</v>
      </c>
      <c r="J271" s="33" t="n">
        <f aca="false">IF(C271&lt;=$C$22,I271,0)</f>
        <v>0</v>
      </c>
      <c r="K271" s="33" t="n">
        <f aca="false">IF(C271&lt;=$D$22,I271,0)</f>
        <v>0</v>
      </c>
      <c r="L271" s="33" t="n">
        <f aca="false">IF(C271&lt;=$E$22,I271,0)</f>
        <v>-224.3170180475</v>
      </c>
    </row>
    <row r="272" customFormat="false" ht="15" hidden="false" customHeight="true" outlineLevel="0" collapsed="false">
      <c r="B272" s="65" t="n">
        <f aca="false">EDATE(B271,1)</f>
        <v>47270</v>
      </c>
      <c r="C272" s="64" t="n">
        <f aca="false">B272+14</f>
        <v>47284</v>
      </c>
      <c r="D272" s="33" t="n">
        <f aca="false">IF(OR($C$9="",B272&gt;=$C$9),0,$C$10*(1+$C$11)^IF(B272&lt;$C$7,0,DATEDIF($C$7,B272,"y"))*MAX(0,MIN(EDATE(B272,1),$C$9)-MAX(B272,$C$7))/(EDATE(B272,1)-B272))</f>
        <v>0</v>
      </c>
      <c r="E272" s="33" t="n">
        <f aca="false">-SUMIFS(Échéancier!$I$5:$I$300,Échéancier!$J$5:$J$300,$C$5,Échéancier!$C$5:$C$300,"&gt;="&amp;B272,Échéancier!$C$5:$C$300,"&lt;"&amp;EDATE(B272,1))</f>
        <v>-841.32</v>
      </c>
      <c r="F272" s="33" t="n">
        <f aca="false">-SUMIFS($D$68:$D$106,$E$68:$E$106,$C$5,$C$68:$C$106,"&gt;="&amp;B272,$C$68:$C$106,"&lt;"&amp;EDATE(B272,1))</f>
        <v>-0</v>
      </c>
      <c r="G272" s="33" t="n">
        <f aca="false">SUMIFS(Journal!$K$5:$K$1004,Journal!$C$5:$C$1004,$C$5,Journal!$A$5:$A$1004,"&gt;="&amp;B272,Journal!$A$5:$A$1004,"&lt;"&amp;MIN(EDATE(B272,1),$C$6+1))</f>
        <v>0</v>
      </c>
      <c r="H272" s="33" t="n">
        <f aca="false">IF(B272&lt;=$C$6,0,($C$12-$C$13/12)*(1+$C$14)^(YEAR(B272)-YEAR($C$6)))</f>
        <v>617.0129819525</v>
      </c>
      <c r="I272" s="33" t="n">
        <f aca="false">SUM(D272:H272)</f>
        <v>-224.3070180475</v>
      </c>
      <c r="J272" s="33" t="n">
        <f aca="false">IF(C272&lt;=$C$22,I272,0)</f>
        <v>0</v>
      </c>
      <c r="K272" s="33" t="n">
        <f aca="false">IF(C272&lt;=$D$22,I272,0)</f>
        <v>0</v>
      </c>
      <c r="L272" s="33" t="n">
        <f aca="false">IF(C272&lt;=$E$22,I272,0)</f>
        <v>-224.3070180475</v>
      </c>
    </row>
    <row r="273" customFormat="false" ht="15" hidden="false" customHeight="true" outlineLevel="0" collapsed="false">
      <c r="B273" s="65" t="n">
        <f aca="false">EDATE(B272,1)</f>
        <v>47300</v>
      </c>
      <c r="C273" s="64" t="n">
        <f aca="false">B273+14</f>
        <v>47314</v>
      </c>
      <c r="D273" s="33" t="n">
        <f aca="false">IF(OR($C$9="",B273&gt;=$C$9),0,$C$10*(1+$C$11)^IF(B273&lt;$C$7,0,DATEDIF($C$7,B273,"y"))*MAX(0,MIN(EDATE(B273,1),$C$9)-MAX(B273,$C$7))/(EDATE(B273,1)-B273))</f>
        <v>0</v>
      </c>
      <c r="E273" s="33" t="n">
        <f aca="false">-SUMIFS(Échéancier!$I$5:$I$300,Échéancier!$J$5:$J$300,$C$5,Échéancier!$C$5:$C$300,"&gt;="&amp;B273,Échéancier!$C$5:$C$300,"&lt;"&amp;EDATE(B273,1))</f>
        <v>-841.32</v>
      </c>
      <c r="F273" s="33" t="n">
        <f aca="false">-SUMIFS($D$68:$D$106,$E$68:$E$106,$C$5,$C$68:$C$106,"&gt;="&amp;B273,$C$68:$C$106,"&lt;"&amp;EDATE(B273,1))</f>
        <v>-0</v>
      </c>
      <c r="G273" s="33" t="n">
        <f aca="false">SUMIFS(Journal!$K$5:$K$1004,Journal!$C$5:$C$1004,$C$5,Journal!$A$5:$A$1004,"&gt;="&amp;B273,Journal!$A$5:$A$1004,"&lt;"&amp;MIN(EDATE(B273,1),$C$6+1))</f>
        <v>0</v>
      </c>
      <c r="H273" s="33" t="n">
        <f aca="false">IF(B273&lt;=$C$6,0,($C$12-$C$13/12)*(1+$C$14)^(YEAR(B273)-YEAR($C$6)))</f>
        <v>617.0129819525</v>
      </c>
      <c r="I273" s="33" t="n">
        <f aca="false">SUM(D273:H273)</f>
        <v>-224.3070180475</v>
      </c>
      <c r="J273" s="33" t="n">
        <f aca="false">IF(C273&lt;=$C$22,I273,0)</f>
        <v>0</v>
      </c>
      <c r="K273" s="33" t="n">
        <f aca="false">IF(C273&lt;=$D$22,I273,0)</f>
        <v>0</v>
      </c>
      <c r="L273" s="33" t="n">
        <f aca="false">IF(C273&lt;=$E$22,I273,0)</f>
        <v>0</v>
      </c>
    </row>
    <row r="274" customFormat="false" ht="15" hidden="false" customHeight="true" outlineLevel="0" collapsed="false">
      <c r="B274" s="65" t="n">
        <f aca="false">EDATE(B273,1)</f>
        <v>47331</v>
      </c>
      <c r="C274" s="64" t="n">
        <f aca="false">B274+14</f>
        <v>47345</v>
      </c>
      <c r="D274" s="33" t="n">
        <f aca="false">IF(OR($C$9="",B274&gt;=$C$9),0,$C$10*(1+$C$11)^IF(B274&lt;$C$7,0,DATEDIF($C$7,B274,"y"))*MAX(0,MIN(EDATE(B274,1),$C$9)-MAX(B274,$C$7))/(EDATE(B274,1)-B274))</f>
        <v>0</v>
      </c>
      <c r="E274" s="33" t="n">
        <f aca="false">-SUMIFS(Échéancier!$I$5:$I$300,Échéancier!$J$5:$J$300,$C$5,Échéancier!$C$5:$C$300,"&gt;="&amp;B274,Échéancier!$C$5:$C$300,"&lt;"&amp;EDATE(B274,1))</f>
        <v>-841.32</v>
      </c>
      <c r="F274" s="33" t="n">
        <f aca="false">-SUMIFS($D$68:$D$106,$E$68:$E$106,$C$5,$C$68:$C$106,"&gt;="&amp;B274,$C$68:$C$106,"&lt;"&amp;EDATE(B274,1))</f>
        <v>-0</v>
      </c>
      <c r="G274" s="33" t="n">
        <f aca="false">SUMIFS(Journal!$K$5:$K$1004,Journal!$C$5:$C$1004,$C$5,Journal!$A$5:$A$1004,"&gt;="&amp;B274,Journal!$A$5:$A$1004,"&lt;"&amp;MIN(EDATE(B274,1),$C$6+1))</f>
        <v>0</v>
      </c>
      <c r="H274" s="33" t="n">
        <f aca="false">IF(B274&lt;=$C$6,0,($C$12-$C$13/12)*(1+$C$14)^(YEAR(B274)-YEAR($C$6)))</f>
        <v>617.0129819525</v>
      </c>
      <c r="I274" s="33" t="n">
        <f aca="false">SUM(D274:H274)</f>
        <v>-224.3070180475</v>
      </c>
      <c r="J274" s="33" t="n">
        <f aca="false">IF(C274&lt;=$C$22,I274,0)</f>
        <v>0</v>
      </c>
      <c r="K274" s="33" t="n">
        <f aca="false">IF(C274&lt;=$D$22,I274,0)</f>
        <v>0</v>
      </c>
      <c r="L274" s="33" t="n">
        <f aca="false">IF(C274&lt;=$E$22,I274,0)</f>
        <v>0</v>
      </c>
    </row>
    <row r="275" customFormat="false" ht="15" hidden="false" customHeight="true" outlineLevel="0" collapsed="false">
      <c r="B275" s="65" t="n">
        <f aca="false">EDATE(B274,1)</f>
        <v>47362</v>
      </c>
      <c r="C275" s="64" t="n">
        <f aca="false">B275+14</f>
        <v>47376</v>
      </c>
      <c r="D275" s="33" t="n">
        <f aca="false">IF(OR($C$9="",B275&gt;=$C$9),0,$C$10*(1+$C$11)^IF(B275&lt;$C$7,0,DATEDIF($C$7,B275,"y"))*MAX(0,MIN(EDATE(B275,1),$C$9)-MAX(B275,$C$7))/(EDATE(B275,1)-B275))</f>
        <v>0</v>
      </c>
      <c r="E275" s="33" t="n">
        <f aca="false">-SUMIFS(Échéancier!$I$5:$I$300,Échéancier!$J$5:$J$300,$C$5,Échéancier!$C$5:$C$300,"&gt;="&amp;B275,Échéancier!$C$5:$C$300,"&lt;"&amp;EDATE(B275,1))</f>
        <v>-841.33</v>
      </c>
      <c r="F275" s="33" t="n">
        <f aca="false">-SUMIFS($D$68:$D$106,$E$68:$E$106,$C$5,$C$68:$C$106,"&gt;="&amp;B275,$C$68:$C$106,"&lt;"&amp;EDATE(B275,1))</f>
        <v>-0</v>
      </c>
      <c r="G275" s="33" t="n">
        <f aca="false">SUMIFS(Journal!$K$5:$K$1004,Journal!$C$5:$C$1004,$C$5,Journal!$A$5:$A$1004,"&gt;="&amp;B275,Journal!$A$5:$A$1004,"&lt;"&amp;MIN(EDATE(B275,1),$C$6+1))</f>
        <v>0</v>
      </c>
      <c r="H275" s="33" t="n">
        <f aca="false">IF(B275&lt;=$C$6,0,($C$12-$C$13/12)*(1+$C$14)^(YEAR(B275)-YEAR($C$6)))</f>
        <v>617.0129819525</v>
      </c>
      <c r="I275" s="33" t="n">
        <f aca="false">SUM(D275:H275)</f>
        <v>-224.3170180475</v>
      </c>
      <c r="J275" s="33" t="n">
        <f aca="false">IF(C275&lt;=$C$22,I275,0)</f>
        <v>0</v>
      </c>
      <c r="K275" s="33" t="n">
        <f aca="false">IF(C275&lt;=$D$22,I275,0)</f>
        <v>0</v>
      </c>
      <c r="L275" s="33" t="n">
        <f aca="false">IF(C275&lt;=$E$22,I275,0)</f>
        <v>0</v>
      </c>
    </row>
    <row r="276" customFormat="false" ht="15" hidden="false" customHeight="true" outlineLevel="0" collapsed="false">
      <c r="B276" s="65" t="n">
        <f aca="false">EDATE(B275,1)</f>
        <v>47392</v>
      </c>
      <c r="C276" s="64" t="n">
        <f aca="false">B276+14</f>
        <v>47406</v>
      </c>
      <c r="D276" s="33" t="n">
        <f aca="false">IF(OR($C$9="",B276&gt;=$C$9),0,$C$10*(1+$C$11)^IF(B276&lt;$C$7,0,DATEDIF($C$7,B276,"y"))*MAX(0,MIN(EDATE(B276,1),$C$9)-MAX(B276,$C$7))/(EDATE(B276,1)-B276))</f>
        <v>0</v>
      </c>
      <c r="E276" s="33" t="n">
        <f aca="false">-SUMIFS(Échéancier!$I$5:$I$300,Échéancier!$J$5:$J$300,$C$5,Échéancier!$C$5:$C$300,"&gt;="&amp;B276,Échéancier!$C$5:$C$300,"&lt;"&amp;EDATE(B276,1))</f>
        <v>-841.33</v>
      </c>
      <c r="F276" s="33" t="n">
        <f aca="false">-SUMIFS($D$68:$D$106,$E$68:$E$106,$C$5,$C$68:$C$106,"&gt;="&amp;B276,$C$68:$C$106,"&lt;"&amp;EDATE(B276,1))</f>
        <v>-0</v>
      </c>
      <c r="G276" s="33" t="n">
        <f aca="false">SUMIFS(Journal!$K$5:$K$1004,Journal!$C$5:$C$1004,$C$5,Journal!$A$5:$A$1004,"&gt;="&amp;B276,Journal!$A$5:$A$1004,"&lt;"&amp;MIN(EDATE(B276,1),$C$6+1))</f>
        <v>0</v>
      </c>
      <c r="H276" s="33" t="n">
        <f aca="false">IF(B276&lt;=$C$6,0,($C$12-$C$13/12)*(1+$C$14)^(YEAR(B276)-YEAR($C$6)))</f>
        <v>617.0129819525</v>
      </c>
      <c r="I276" s="33" t="n">
        <f aca="false">SUM(D276:H276)</f>
        <v>-224.3170180475</v>
      </c>
      <c r="J276" s="33" t="n">
        <f aca="false">IF(C276&lt;=$C$22,I276,0)</f>
        <v>0</v>
      </c>
      <c r="K276" s="33" t="n">
        <f aca="false">IF(C276&lt;=$D$22,I276,0)</f>
        <v>0</v>
      </c>
      <c r="L276" s="33" t="n">
        <f aca="false">IF(C276&lt;=$E$22,I276,0)</f>
        <v>0</v>
      </c>
    </row>
    <row r="277" customFormat="false" ht="15" hidden="false" customHeight="true" outlineLevel="0" collapsed="false">
      <c r="B277" s="65" t="n">
        <f aca="false">EDATE(B276,1)</f>
        <v>47423</v>
      </c>
      <c r="C277" s="64" t="n">
        <f aca="false">B277+14</f>
        <v>47437</v>
      </c>
      <c r="D277" s="33" t="n">
        <f aca="false">IF(OR($C$9="",B277&gt;=$C$9),0,$C$10*(1+$C$11)^IF(B277&lt;$C$7,0,DATEDIF($C$7,B277,"y"))*MAX(0,MIN(EDATE(B277,1),$C$9)-MAX(B277,$C$7))/(EDATE(B277,1)-B277))</f>
        <v>0</v>
      </c>
      <c r="E277" s="33" t="n">
        <f aca="false">-SUMIFS(Échéancier!$I$5:$I$300,Échéancier!$J$5:$J$300,$C$5,Échéancier!$C$5:$C$300,"&gt;="&amp;B277,Échéancier!$C$5:$C$300,"&lt;"&amp;EDATE(B277,1))</f>
        <v>-841.33</v>
      </c>
      <c r="F277" s="33" t="n">
        <f aca="false">-SUMIFS($D$68:$D$106,$E$68:$E$106,$C$5,$C$68:$C$106,"&gt;="&amp;B277,$C$68:$C$106,"&lt;"&amp;EDATE(B277,1))</f>
        <v>-0</v>
      </c>
      <c r="G277" s="33" t="n">
        <f aca="false">SUMIFS(Journal!$K$5:$K$1004,Journal!$C$5:$C$1004,$C$5,Journal!$A$5:$A$1004,"&gt;="&amp;B277,Journal!$A$5:$A$1004,"&lt;"&amp;MIN(EDATE(B277,1),$C$6+1))</f>
        <v>0</v>
      </c>
      <c r="H277" s="33" t="n">
        <f aca="false">IF(B277&lt;=$C$6,0,($C$12-$C$13/12)*(1+$C$14)^(YEAR(B277)-YEAR($C$6)))</f>
        <v>617.0129819525</v>
      </c>
      <c r="I277" s="33" t="n">
        <f aca="false">SUM(D277:H277)</f>
        <v>-224.3170180475</v>
      </c>
      <c r="J277" s="33" t="n">
        <f aca="false">IF(C277&lt;=$C$22,I277,0)</f>
        <v>0</v>
      </c>
      <c r="K277" s="33" t="n">
        <f aca="false">IF(C277&lt;=$D$22,I277,0)</f>
        <v>0</v>
      </c>
      <c r="L277" s="33" t="n">
        <f aca="false">IF(C277&lt;=$E$22,I277,0)</f>
        <v>0</v>
      </c>
    </row>
    <row r="278" customFormat="false" ht="15" hidden="false" customHeight="true" outlineLevel="0" collapsed="false">
      <c r="B278" s="65" t="n">
        <f aca="false">EDATE(B277,1)</f>
        <v>47453</v>
      </c>
      <c r="C278" s="64" t="n">
        <f aca="false">B278+14</f>
        <v>47467</v>
      </c>
      <c r="D278" s="33" t="n">
        <f aca="false">IF(OR($C$9="",B278&gt;=$C$9),0,$C$10*(1+$C$11)^IF(B278&lt;$C$7,0,DATEDIF($C$7,B278,"y"))*MAX(0,MIN(EDATE(B278,1),$C$9)-MAX(B278,$C$7))/(EDATE(B278,1)-B278))</f>
        <v>0</v>
      </c>
      <c r="E278" s="33" t="n">
        <f aca="false">-SUMIFS(Échéancier!$I$5:$I$300,Échéancier!$J$5:$J$300,$C$5,Échéancier!$C$5:$C$300,"&gt;="&amp;B278,Échéancier!$C$5:$C$300,"&lt;"&amp;EDATE(B278,1))</f>
        <v>-841.32</v>
      </c>
      <c r="F278" s="33" t="n">
        <f aca="false">-SUMIFS($D$68:$D$106,$E$68:$E$106,$C$5,$C$68:$C$106,"&gt;="&amp;B278,$C$68:$C$106,"&lt;"&amp;EDATE(B278,1))</f>
        <v>-0</v>
      </c>
      <c r="G278" s="33" t="n">
        <f aca="false">SUMIFS(Journal!$K$5:$K$1004,Journal!$C$5:$C$1004,$C$5,Journal!$A$5:$A$1004,"&gt;="&amp;B278,Journal!$A$5:$A$1004,"&lt;"&amp;MIN(EDATE(B278,1),$C$6+1))</f>
        <v>0</v>
      </c>
      <c r="H278" s="33" t="n">
        <f aca="false">IF(B278&lt;=$C$6,0,($C$12-$C$13/12)*(1+$C$14)^(YEAR(B278)-YEAR($C$6)))</f>
        <v>617.0129819525</v>
      </c>
      <c r="I278" s="33" t="n">
        <f aca="false">SUM(D278:H278)</f>
        <v>-224.3070180475</v>
      </c>
      <c r="J278" s="33" t="n">
        <f aca="false">IF(C278&lt;=$C$22,I278,0)</f>
        <v>0</v>
      </c>
      <c r="K278" s="33" t="n">
        <f aca="false">IF(C278&lt;=$D$22,I278,0)</f>
        <v>0</v>
      </c>
      <c r="L278" s="33" t="n">
        <f aca="false">IF(C278&lt;=$E$22,I278,0)</f>
        <v>0</v>
      </c>
    </row>
    <row r="279" customFormat="false" ht="15" hidden="false" customHeight="true" outlineLevel="0" collapsed="false">
      <c r="B279" s="65" t="n">
        <f aca="false">EDATE(B278,1)</f>
        <v>47484</v>
      </c>
      <c r="C279" s="64" t="n">
        <f aca="false">B279+14</f>
        <v>47498</v>
      </c>
      <c r="D279" s="33" t="n">
        <f aca="false">IF(OR($C$9="",B279&gt;=$C$9),0,$C$10*(1+$C$11)^IF(B279&lt;$C$7,0,DATEDIF($C$7,B279,"y"))*MAX(0,MIN(EDATE(B279,1),$C$9)-MAX(B279,$C$7))/(EDATE(B279,1)-B279))</f>
        <v>0</v>
      </c>
      <c r="E279" s="33" t="n">
        <f aca="false">-SUMIFS(Échéancier!$I$5:$I$300,Échéancier!$J$5:$J$300,$C$5,Échéancier!$C$5:$C$300,"&gt;="&amp;B279,Échéancier!$C$5:$C$300,"&lt;"&amp;EDATE(B279,1))</f>
        <v>-841.32</v>
      </c>
      <c r="F279" s="33" t="n">
        <f aca="false">-SUMIFS($D$68:$D$106,$E$68:$E$106,$C$5,$C$68:$C$106,"&gt;="&amp;B279,$C$68:$C$106,"&lt;"&amp;EDATE(B279,1))</f>
        <v>-0</v>
      </c>
      <c r="G279" s="33" t="n">
        <f aca="false">SUMIFS(Journal!$K$5:$K$1004,Journal!$C$5:$C$1004,$C$5,Journal!$A$5:$A$1004,"&gt;="&amp;B279,Journal!$A$5:$A$1004,"&lt;"&amp;MIN(EDATE(B279,1),$C$6+1))</f>
        <v>0</v>
      </c>
      <c r="H279" s="33" t="n">
        <f aca="false">IF(B279&lt;=$C$6,0,($C$12-$C$13/12)*(1+$C$14)^(YEAR(B279)-YEAR($C$6)))</f>
        <v>626.268176681787</v>
      </c>
      <c r="I279" s="33" t="n">
        <f aca="false">SUM(D279:H279)</f>
        <v>-215.051823318213</v>
      </c>
      <c r="J279" s="33" t="n">
        <f aca="false">IF(C279&lt;=$C$22,I279,0)</f>
        <v>0</v>
      </c>
      <c r="K279" s="33" t="n">
        <f aca="false">IF(C279&lt;=$D$22,I279,0)</f>
        <v>0</v>
      </c>
      <c r="L279" s="33" t="n">
        <f aca="false">IF(C279&lt;=$E$22,I279,0)</f>
        <v>0</v>
      </c>
    </row>
    <row r="280" customFormat="false" ht="15" hidden="false" customHeight="true" outlineLevel="0" collapsed="false">
      <c r="B280" s="65" t="n">
        <f aca="false">EDATE(B279,1)</f>
        <v>47515</v>
      </c>
      <c r="C280" s="64" t="n">
        <f aca="false">B280+14</f>
        <v>47529</v>
      </c>
      <c r="D280" s="33" t="n">
        <f aca="false">IF(OR($C$9="",B280&gt;=$C$9),0,$C$10*(1+$C$11)^IF(B280&lt;$C$7,0,DATEDIF($C$7,B280,"y"))*MAX(0,MIN(EDATE(B280,1),$C$9)-MAX(B280,$C$7))/(EDATE(B280,1)-B280))</f>
        <v>0</v>
      </c>
      <c r="E280" s="33" t="n">
        <f aca="false">-SUMIFS(Échéancier!$I$5:$I$300,Échéancier!$J$5:$J$300,$C$5,Échéancier!$C$5:$C$300,"&gt;="&amp;B280,Échéancier!$C$5:$C$300,"&lt;"&amp;EDATE(B280,1))</f>
        <v>-841.32</v>
      </c>
      <c r="F280" s="33" t="n">
        <f aca="false">-SUMIFS($D$68:$D$106,$E$68:$E$106,$C$5,$C$68:$C$106,"&gt;="&amp;B280,$C$68:$C$106,"&lt;"&amp;EDATE(B280,1))</f>
        <v>-0</v>
      </c>
      <c r="G280" s="33" t="n">
        <f aca="false">SUMIFS(Journal!$K$5:$K$1004,Journal!$C$5:$C$1004,$C$5,Journal!$A$5:$A$1004,"&gt;="&amp;B280,Journal!$A$5:$A$1004,"&lt;"&amp;MIN(EDATE(B280,1),$C$6+1))</f>
        <v>0</v>
      </c>
      <c r="H280" s="33" t="n">
        <f aca="false">IF(B280&lt;=$C$6,0,($C$12-$C$13/12)*(1+$C$14)^(YEAR(B280)-YEAR($C$6)))</f>
        <v>626.268176681787</v>
      </c>
      <c r="I280" s="33" t="n">
        <f aca="false">SUM(D280:H280)</f>
        <v>-215.051823318213</v>
      </c>
      <c r="J280" s="33" t="n">
        <f aca="false">IF(C280&lt;=$C$22,I280,0)</f>
        <v>0</v>
      </c>
      <c r="K280" s="33" t="n">
        <f aca="false">IF(C280&lt;=$D$22,I280,0)</f>
        <v>0</v>
      </c>
      <c r="L280" s="33" t="n">
        <f aca="false">IF(C280&lt;=$E$22,I280,0)</f>
        <v>0</v>
      </c>
    </row>
    <row r="281" customFormat="false" ht="15" hidden="false" customHeight="true" outlineLevel="0" collapsed="false">
      <c r="B281" s="65" t="n">
        <f aca="false">EDATE(B280,1)</f>
        <v>47543</v>
      </c>
      <c r="C281" s="64" t="n">
        <f aca="false">B281+14</f>
        <v>47557</v>
      </c>
      <c r="D281" s="33" t="n">
        <f aca="false">IF(OR($C$9="",B281&gt;=$C$9),0,$C$10*(1+$C$11)^IF(B281&lt;$C$7,0,DATEDIF($C$7,B281,"y"))*MAX(0,MIN(EDATE(B281,1),$C$9)-MAX(B281,$C$7))/(EDATE(B281,1)-B281))</f>
        <v>0</v>
      </c>
      <c r="E281" s="33" t="n">
        <f aca="false">-SUMIFS(Échéancier!$I$5:$I$300,Échéancier!$J$5:$J$300,$C$5,Échéancier!$C$5:$C$300,"&gt;="&amp;B281,Échéancier!$C$5:$C$300,"&lt;"&amp;EDATE(B281,1))</f>
        <v>-841.33</v>
      </c>
      <c r="F281" s="33" t="n">
        <f aca="false">-SUMIFS($D$68:$D$106,$E$68:$E$106,$C$5,$C$68:$C$106,"&gt;="&amp;B281,$C$68:$C$106,"&lt;"&amp;EDATE(B281,1))</f>
        <v>-0</v>
      </c>
      <c r="G281" s="33" t="n">
        <f aca="false">SUMIFS(Journal!$K$5:$K$1004,Journal!$C$5:$C$1004,$C$5,Journal!$A$5:$A$1004,"&gt;="&amp;B281,Journal!$A$5:$A$1004,"&lt;"&amp;MIN(EDATE(B281,1),$C$6+1))</f>
        <v>0</v>
      </c>
      <c r="H281" s="33" t="n">
        <f aca="false">IF(B281&lt;=$C$6,0,($C$12-$C$13/12)*(1+$C$14)^(YEAR(B281)-YEAR($C$6)))</f>
        <v>626.268176681787</v>
      </c>
      <c r="I281" s="33" t="n">
        <f aca="false">SUM(D281:H281)</f>
        <v>-215.061823318213</v>
      </c>
      <c r="J281" s="33" t="n">
        <f aca="false">IF(C281&lt;=$C$22,I281,0)</f>
        <v>0</v>
      </c>
      <c r="K281" s="33" t="n">
        <f aca="false">IF(C281&lt;=$D$22,I281,0)</f>
        <v>0</v>
      </c>
      <c r="L281" s="33" t="n">
        <f aca="false">IF(C281&lt;=$E$22,I281,0)</f>
        <v>0</v>
      </c>
    </row>
    <row r="282" customFormat="false" ht="15" hidden="false" customHeight="true" outlineLevel="0" collapsed="false">
      <c r="B282" s="65" t="n">
        <f aca="false">EDATE(B281,1)</f>
        <v>47574</v>
      </c>
      <c r="C282" s="64" t="n">
        <f aca="false">B282+14</f>
        <v>47588</v>
      </c>
      <c r="D282" s="33" t="n">
        <f aca="false">IF(OR($C$9="",B282&gt;=$C$9),0,$C$10*(1+$C$11)^IF(B282&lt;$C$7,0,DATEDIF($C$7,B282,"y"))*MAX(0,MIN(EDATE(B282,1),$C$9)-MAX(B282,$C$7))/(EDATE(B282,1)-B282))</f>
        <v>0</v>
      </c>
      <c r="E282" s="33" t="n">
        <f aca="false">-SUMIFS(Échéancier!$I$5:$I$300,Échéancier!$J$5:$J$300,$C$5,Échéancier!$C$5:$C$300,"&gt;="&amp;B282,Échéancier!$C$5:$C$300,"&lt;"&amp;EDATE(B282,1))</f>
        <v>-841.33</v>
      </c>
      <c r="F282" s="33" t="n">
        <f aca="false">-SUMIFS($D$68:$D$106,$E$68:$E$106,$C$5,$C$68:$C$106,"&gt;="&amp;B282,$C$68:$C$106,"&lt;"&amp;EDATE(B282,1))</f>
        <v>-0</v>
      </c>
      <c r="G282" s="33" t="n">
        <f aca="false">SUMIFS(Journal!$K$5:$K$1004,Journal!$C$5:$C$1004,$C$5,Journal!$A$5:$A$1004,"&gt;="&amp;B282,Journal!$A$5:$A$1004,"&lt;"&amp;MIN(EDATE(B282,1),$C$6+1))</f>
        <v>0</v>
      </c>
      <c r="H282" s="33" t="n">
        <f aca="false">IF(B282&lt;=$C$6,0,($C$12-$C$13/12)*(1+$C$14)^(YEAR(B282)-YEAR($C$6)))</f>
        <v>626.268176681787</v>
      </c>
      <c r="I282" s="33" t="n">
        <f aca="false">SUM(D282:H282)</f>
        <v>-215.061823318213</v>
      </c>
      <c r="J282" s="33" t="n">
        <f aca="false">IF(C282&lt;=$C$22,I282,0)</f>
        <v>0</v>
      </c>
      <c r="K282" s="33" t="n">
        <f aca="false">IF(C282&lt;=$D$22,I282,0)</f>
        <v>0</v>
      </c>
      <c r="L282" s="33" t="n">
        <f aca="false">IF(C282&lt;=$E$22,I282,0)</f>
        <v>0</v>
      </c>
    </row>
    <row r="283" customFormat="false" ht="15" hidden="false" customHeight="true" outlineLevel="0" collapsed="false">
      <c r="B283" s="65" t="n">
        <f aca="false">EDATE(B282,1)</f>
        <v>47604</v>
      </c>
      <c r="C283" s="64" t="n">
        <f aca="false">B283+14</f>
        <v>47618</v>
      </c>
      <c r="D283" s="33" t="n">
        <f aca="false">IF(OR($C$9="",B283&gt;=$C$9),0,$C$10*(1+$C$11)^IF(B283&lt;$C$7,0,DATEDIF($C$7,B283,"y"))*MAX(0,MIN(EDATE(B283,1),$C$9)-MAX(B283,$C$7))/(EDATE(B283,1)-B283))</f>
        <v>0</v>
      </c>
      <c r="E283" s="33" t="n">
        <f aca="false">-SUMIFS(Échéancier!$I$5:$I$300,Échéancier!$J$5:$J$300,$C$5,Échéancier!$C$5:$C$300,"&gt;="&amp;B283,Échéancier!$C$5:$C$300,"&lt;"&amp;EDATE(B283,1))</f>
        <v>-841.33</v>
      </c>
      <c r="F283" s="33" t="n">
        <f aca="false">-SUMIFS($D$68:$D$106,$E$68:$E$106,$C$5,$C$68:$C$106,"&gt;="&amp;B283,$C$68:$C$106,"&lt;"&amp;EDATE(B283,1))</f>
        <v>-0</v>
      </c>
      <c r="G283" s="33" t="n">
        <f aca="false">SUMIFS(Journal!$K$5:$K$1004,Journal!$C$5:$C$1004,$C$5,Journal!$A$5:$A$1004,"&gt;="&amp;B283,Journal!$A$5:$A$1004,"&lt;"&amp;MIN(EDATE(B283,1),$C$6+1))</f>
        <v>0</v>
      </c>
      <c r="H283" s="33" t="n">
        <f aca="false">IF(B283&lt;=$C$6,0,($C$12-$C$13/12)*(1+$C$14)^(YEAR(B283)-YEAR($C$6)))</f>
        <v>626.268176681787</v>
      </c>
      <c r="I283" s="33" t="n">
        <f aca="false">SUM(D283:H283)</f>
        <v>-215.061823318213</v>
      </c>
      <c r="J283" s="33" t="n">
        <f aca="false">IF(C283&lt;=$C$22,I283,0)</f>
        <v>0</v>
      </c>
      <c r="K283" s="33" t="n">
        <f aca="false">IF(C283&lt;=$D$22,I283,0)</f>
        <v>0</v>
      </c>
      <c r="L283" s="33" t="n">
        <f aca="false">IF(C283&lt;=$E$22,I283,0)</f>
        <v>0</v>
      </c>
    </row>
    <row r="284" customFormat="false" ht="15" hidden="false" customHeight="true" outlineLevel="0" collapsed="false">
      <c r="B284" s="65" t="n">
        <f aca="false">EDATE(B283,1)</f>
        <v>47635</v>
      </c>
      <c r="C284" s="64" t="n">
        <f aca="false">B284+14</f>
        <v>47649</v>
      </c>
      <c r="D284" s="33" t="n">
        <f aca="false">IF(OR($C$9="",B284&gt;=$C$9),0,$C$10*(1+$C$11)^IF(B284&lt;$C$7,0,DATEDIF($C$7,B284,"y"))*MAX(0,MIN(EDATE(B284,1),$C$9)-MAX(B284,$C$7))/(EDATE(B284,1)-B284))</f>
        <v>0</v>
      </c>
      <c r="E284" s="33" t="n">
        <f aca="false">-SUMIFS(Échéancier!$I$5:$I$300,Échéancier!$J$5:$J$300,$C$5,Échéancier!$C$5:$C$300,"&gt;="&amp;B284,Échéancier!$C$5:$C$300,"&lt;"&amp;EDATE(B284,1))</f>
        <v>-841.33</v>
      </c>
      <c r="F284" s="33" t="n">
        <f aca="false">-SUMIFS($D$68:$D$106,$E$68:$E$106,$C$5,$C$68:$C$106,"&gt;="&amp;B284,$C$68:$C$106,"&lt;"&amp;EDATE(B284,1))</f>
        <v>-0</v>
      </c>
      <c r="G284" s="33" t="n">
        <f aca="false">SUMIFS(Journal!$K$5:$K$1004,Journal!$C$5:$C$1004,$C$5,Journal!$A$5:$A$1004,"&gt;="&amp;B284,Journal!$A$5:$A$1004,"&lt;"&amp;MIN(EDATE(B284,1),$C$6+1))</f>
        <v>0</v>
      </c>
      <c r="H284" s="33" t="n">
        <f aca="false">IF(B284&lt;=$C$6,0,($C$12-$C$13/12)*(1+$C$14)^(YEAR(B284)-YEAR($C$6)))</f>
        <v>626.268176681787</v>
      </c>
      <c r="I284" s="33" t="n">
        <f aca="false">SUM(D284:H284)</f>
        <v>-215.061823318213</v>
      </c>
      <c r="J284" s="33" t="n">
        <f aca="false">IF(C284&lt;=$C$22,I284,0)</f>
        <v>0</v>
      </c>
      <c r="K284" s="33" t="n">
        <f aca="false">IF(C284&lt;=$D$22,I284,0)</f>
        <v>0</v>
      </c>
      <c r="L284" s="33" t="n">
        <f aca="false">IF(C284&lt;=$E$22,I284,0)</f>
        <v>0</v>
      </c>
    </row>
    <row r="285" customFormat="false" ht="15" hidden="false" customHeight="true" outlineLevel="0" collapsed="false">
      <c r="B285" s="65" t="n">
        <f aca="false">EDATE(B284,1)</f>
        <v>47665</v>
      </c>
      <c r="C285" s="64" t="n">
        <f aca="false">B285+14</f>
        <v>47679</v>
      </c>
      <c r="D285" s="33" t="n">
        <f aca="false">IF(OR($C$9="",B285&gt;=$C$9),0,$C$10*(1+$C$11)^IF(B285&lt;$C$7,0,DATEDIF($C$7,B285,"y"))*MAX(0,MIN(EDATE(B285,1),$C$9)-MAX(B285,$C$7))/(EDATE(B285,1)-B285))</f>
        <v>0</v>
      </c>
      <c r="E285" s="33" t="n">
        <f aca="false">-SUMIFS(Échéancier!$I$5:$I$300,Échéancier!$J$5:$J$300,$C$5,Échéancier!$C$5:$C$300,"&gt;="&amp;B285,Échéancier!$C$5:$C$300,"&lt;"&amp;EDATE(B285,1))</f>
        <v>-841.33</v>
      </c>
      <c r="F285" s="33" t="n">
        <f aca="false">-SUMIFS($D$68:$D$106,$E$68:$E$106,$C$5,$C$68:$C$106,"&gt;="&amp;B285,$C$68:$C$106,"&lt;"&amp;EDATE(B285,1))</f>
        <v>-0</v>
      </c>
      <c r="G285" s="33" t="n">
        <f aca="false">SUMIFS(Journal!$K$5:$K$1004,Journal!$C$5:$C$1004,$C$5,Journal!$A$5:$A$1004,"&gt;="&amp;B285,Journal!$A$5:$A$1004,"&lt;"&amp;MIN(EDATE(B285,1),$C$6+1))</f>
        <v>0</v>
      </c>
      <c r="H285" s="33" t="n">
        <f aca="false">IF(B285&lt;=$C$6,0,($C$12-$C$13/12)*(1+$C$14)^(YEAR(B285)-YEAR($C$6)))</f>
        <v>626.268176681787</v>
      </c>
      <c r="I285" s="33" t="n">
        <f aca="false">SUM(D285:H285)</f>
        <v>-215.061823318213</v>
      </c>
      <c r="J285" s="33" t="n">
        <f aca="false">IF(C285&lt;=$C$22,I285,0)</f>
        <v>0</v>
      </c>
      <c r="K285" s="33" t="n">
        <f aca="false">IF(C285&lt;=$D$22,I285,0)</f>
        <v>0</v>
      </c>
      <c r="L285" s="33" t="n">
        <f aca="false">IF(C285&lt;=$E$22,I285,0)</f>
        <v>0</v>
      </c>
    </row>
    <row r="286" customFormat="false" ht="15" hidden="false" customHeight="true" outlineLevel="0" collapsed="false">
      <c r="B286" s="65" t="n">
        <f aca="false">EDATE(B285,1)</f>
        <v>47696</v>
      </c>
      <c r="C286" s="64" t="n">
        <f aca="false">B286+14</f>
        <v>47710</v>
      </c>
      <c r="D286" s="33" t="n">
        <f aca="false">IF(OR($C$9="",B286&gt;=$C$9),0,$C$10*(1+$C$11)^IF(B286&lt;$C$7,0,DATEDIF($C$7,B286,"y"))*MAX(0,MIN(EDATE(B286,1),$C$9)-MAX(B286,$C$7))/(EDATE(B286,1)-B286))</f>
        <v>0</v>
      </c>
      <c r="E286" s="33" t="n">
        <f aca="false">-SUMIFS(Échéancier!$I$5:$I$300,Échéancier!$J$5:$J$300,$C$5,Échéancier!$C$5:$C$300,"&gt;="&amp;B286,Échéancier!$C$5:$C$300,"&lt;"&amp;EDATE(B286,1))</f>
        <v>-841.32</v>
      </c>
      <c r="F286" s="33" t="n">
        <f aca="false">-SUMIFS($D$68:$D$106,$E$68:$E$106,$C$5,$C$68:$C$106,"&gt;="&amp;B286,$C$68:$C$106,"&lt;"&amp;EDATE(B286,1))</f>
        <v>-0</v>
      </c>
      <c r="G286" s="33" t="n">
        <f aca="false">SUMIFS(Journal!$K$5:$K$1004,Journal!$C$5:$C$1004,$C$5,Journal!$A$5:$A$1004,"&gt;="&amp;B286,Journal!$A$5:$A$1004,"&lt;"&amp;MIN(EDATE(B286,1),$C$6+1))</f>
        <v>0</v>
      </c>
      <c r="H286" s="33" t="n">
        <f aca="false">IF(B286&lt;=$C$6,0,($C$12-$C$13/12)*(1+$C$14)^(YEAR(B286)-YEAR($C$6)))</f>
        <v>626.268176681787</v>
      </c>
      <c r="I286" s="33" t="n">
        <f aca="false">SUM(D286:H286)</f>
        <v>-215.051823318213</v>
      </c>
      <c r="J286" s="33" t="n">
        <f aca="false">IF(C286&lt;=$C$22,I286,0)</f>
        <v>0</v>
      </c>
      <c r="K286" s="33" t="n">
        <f aca="false">IF(C286&lt;=$D$22,I286,0)</f>
        <v>0</v>
      </c>
      <c r="L286" s="33" t="n">
        <f aca="false">IF(C286&lt;=$E$22,I286,0)</f>
        <v>0</v>
      </c>
    </row>
    <row r="287" customFormat="false" ht="15" hidden="false" customHeight="true" outlineLevel="0" collapsed="false">
      <c r="B287" s="65" t="n">
        <f aca="false">EDATE(B286,1)</f>
        <v>47727</v>
      </c>
      <c r="C287" s="64" t="n">
        <f aca="false">B287+14</f>
        <v>47741</v>
      </c>
      <c r="D287" s="33" t="n">
        <f aca="false">IF(OR($C$9="",B287&gt;=$C$9),0,$C$10*(1+$C$11)^IF(B287&lt;$C$7,0,DATEDIF($C$7,B287,"y"))*MAX(0,MIN(EDATE(B287,1),$C$9)-MAX(B287,$C$7))/(EDATE(B287,1)-B287))</f>
        <v>0</v>
      </c>
      <c r="E287" s="33" t="n">
        <f aca="false">-SUMIFS(Échéancier!$I$5:$I$300,Échéancier!$J$5:$J$300,$C$5,Échéancier!$C$5:$C$300,"&gt;="&amp;B287,Échéancier!$C$5:$C$300,"&lt;"&amp;EDATE(B287,1))</f>
        <v>-841.32</v>
      </c>
      <c r="F287" s="33" t="n">
        <f aca="false">-SUMIFS($D$68:$D$106,$E$68:$E$106,$C$5,$C$68:$C$106,"&gt;="&amp;B287,$C$68:$C$106,"&lt;"&amp;EDATE(B287,1))</f>
        <v>-0</v>
      </c>
      <c r="G287" s="33" t="n">
        <f aca="false">SUMIFS(Journal!$K$5:$K$1004,Journal!$C$5:$C$1004,$C$5,Journal!$A$5:$A$1004,"&gt;="&amp;B287,Journal!$A$5:$A$1004,"&lt;"&amp;MIN(EDATE(B287,1),$C$6+1))</f>
        <v>0</v>
      </c>
      <c r="H287" s="33" t="n">
        <f aca="false">IF(B287&lt;=$C$6,0,($C$12-$C$13/12)*(1+$C$14)^(YEAR(B287)-YEAR($C$6)))</f>
        <v>626.268176681787</v>
      </c>
      <c r="I287" s="33" t="n">
        <f aca="false">SUM(D287:H287)</f>
        <v>-215.051823318213</v>
      </c>
      <c r="J287" s="33" t="n">
        <f aca="false">IF(C287&lt;=$C$22,I287,0)</f>
        <v>0</v>
      </c>
      <c r="K287" s="33" t="n">
        <f aca="false">IF(C287&lt;=$D$22,I287,0)</f>
        <v>0</v>
      </c>
      <c r="L287" s="33" t="n">
        <f aca="false">IF(C287&lt;=$E$22,I287,0)</f>
        <v>0</v>
      </c>
    </row>
    <row r="288" customFormat="false" ht="15" hidden="false" customHeight="true" outlineLevel="0" collapsed="false">
      <c r="B288" s="65" t="n">
        <f aca="false">EDATE(B287,1)</f>
        <v>47757</v>
      </c>
      <c r="C288" s="64" t="n">
        <f aca="false">B288+14</f>
        <v>47771</v>
      </c>
      <c r="D288" s="33" t="n">
        <f aca="false">IF(OR($C$9="",B288&gt;=$C$9),0,$C$10*(1+$C$11)^IF(B288&lt;$C$7,0,DATEDIF($C$7,B288,"y"))*MAX(0,MIN(EDATE(B288,1),$C$9)-MAX(B288,$C$7))/(EDATE(B288,1)-B288))</f>
        <v>0</v>
      </c>
      <c r="E288" s="33" t="n">
        <f aca="false">-SUMIFS(Échéancier!$I$5:$I$300,Échéancier!$J$5:$J$300,$C$5,Échéancier!$C$5:$C$300,"&gt;="&amp;B288,Échéancier!$C$5:$C$300,"&lt;"&amp;EDATE(B288,1))</f>
        <v>-841.32</v>
      </c>
      <c r="F288" s="33" t="n">
        <f aca="false">-SUMIFS($D$68:$D$106,$E$68:$E$106,$C$5,$C$68:$C$106,"&gt;="&amp;B288,$C$68:$C$106,"&lt;"&amp;EDATE(B288,1))</f>
        <v>-0</v>
      </c>
      <c r="G288" s="33" t="n">
        <f aca="false">SUMIFS(Journal!$K$5:$K$1004,Journal!$C$5:$C$1004,$C$5,Journal!$A$5:$A$1004,"&gt;="&amp;B288,Journal!$A$5:$A$1004,"&lt;"&amp;MIN(EDATE(B288,1),$C$6+1))</f>
        <v>0</v>
      </c>
      <c r="H288" s="33" t="n">
        <f aca="false">IF(B288&lt;=$C$6,0,($C$12-$C$13/12)*(1+$C$14)^(YEAR(B288)-YEAR($C$6)))</f>
        <v>626.268176681787</v>
      </c>
      <c r="I288" s="33" t="n">
        <f aca="false">SUM(D288:H288)</f>
        <v>-215.051823318213</v>
      </c>
      <c r="J288" s="33" t="n">
        <f aca="false">IF(C288&lt;=$C$22,I288,0)</f>
        <v>0</v>
      </c>
      <c r="K288" s="33" t="n">
        <f aca="false">IF(C288&lt;=$D$22,I288,0)</f>
        <v>0</v>
      </c>
      <c r="L288" s="33" t="n">
        <f aca="false">IF(C288&lt;=$E$22,I288,0)</f>
        <v>0</v>
      </c>
    </row>
    <row r="289" customFormat="false" ht="15" hidden="false" customHeight="true" outlineLevel="0" collapsed="false">
      <c r="B289" s="65" t="n">
        <f aca="false">EDATE(B288,1)</f>
        <v>47788</v>
      </c>
      <c r="C289" s="64" t="n">
        <f aca="false">B289+14</f>
        <v>47802</v>
      </c>
      <c r="D289" s="33" t="n">
        <f aca="false">IF(OR($C$9="",B289&gt;=$C$9),0,$C$10*(1+$C$11)^IF(B289&lt;$C$7,0,DATEDIF($C$7,B289,"y"))*MAX(0,MIN(EDATE(B289,1),$C$9)-MAX(B289,$C$7))/(EDATE(B289,1)-B289))</f>
        <v>0</v>
      </c>
      <c r="E289" s="33" t="n">
        <f aca="false">-SUMIFS(Échéancier!$I$5:$I$300,Échéancier!$J$5:$J$300,$C$5,Échéancier!$C$5:$C$300,"&gt;="&amp;B289,Échéancier!$C$5:$C$300,"&lt;"&amp;EDATE(B289,1))</f>
        <v>-841.32</v>
      </c>
      <c r="F289" s="33" t="n">
        <f aca="false">-SUMIFS($D$68:$D$106,$E$68:$E$106,$C$5,$C$68:$C$106,"&gt;="&amp;B289,$C$68:$C$106,"&lt;"&amp;EDATE(B289,1))</f>
        <v>-0</v>
      </c>
      <c r="G289" s="33" t="n">
        <f aca="false">SUMIFS(Journal!$K$5:$K$1004,Journal!$C$5:$C$1004,$C$5,Journal!$A$5:$A$1004,"&gt;="&amp;B289,Journal!$A$5:$A$1004,"&lt;"&amp;MIN(EDATE(B289,1),$C$6+1))</f>
        <v>0</v>
      </c>
      <c r="H289" s="33" t="n">
        <f aca="false">IF(B289&lt;=$C$6,0,($C$12-$C$13/12)*(1+$C$14)^(YEAR(B289)-YEAR($C$6)))</f>
        <v>626.268176681787</v>
      </c>
      <c r="I289" s="33" t="n">
        <f aca="false">SUM(D289:H289)</f>
        <v>-215.051823318213</v>
      </c>
      <c r="J289" s="33" t="n">
        <f aca="false">IF(C289&lt;=$C$22,I289,0)</f>
        <v>0</v>
      </c>
      <c r="K289" s="33" t="n">
        <f aca="false">IF(C289&lt;=$D$22,I289,0)</f>
        <v>0</v>
      </c>
      <c r="L289" s="33" t="n">
        <f aca="false">IF(C289&lt;=$E$22,I289,0)</f>
        <v>0</v>
      </c>
    </row>
    <row r="290" customFormat="false" ht="15" hidden="false" customHeight="true" outlineLevel="0" collapsed="false">
      <c r="B290" s="65" t="n">
        <f aca="false">EDATE(B289,1)</f>
        <v>47818</v>
      </c>
      <c r="C290" s="64" t="n">
        <f aca="false">B290+14</f>
        <v>47832</v>
      </c>
      <c r="D290" s="33" t="n">
        <f aca="false">IF(OR($C$9="",B290&gt;=$C$9),0,$C$10*(1+$C$11)^IF(B290&lt;$C$7,0,DATEDIF($C$7,B290,"y"))*MAX(0,MIN(EDATE(B290,1),$C$9)-MAX(B290,$C$7))/(EDATE(B290,1)-B290))</f>
        <v>0</v>
      </c>
      <c r="E290" s="33" t="n">
        <f aca="false">-SUMIFS(Échéancier!$I$5:$I$300,Échéancier!$J$5:$J$300,$C$5,Échéancier!$C$5:$C$300,"&gt;="&amp;B290,Échéancier!$C$5:$C$300,"&lt;"&amp;EDATE(B290,1))</f>
        <v>-841.32</v>
      </c>
      <c r="F290" s="33" t="n">
        <f aca="false">-SUMIFS($D$68:$D$106,$E$68:$E$106,$C$5,$C$68:$C$106,"&gt;="&amp;B290,$C$68:$C$106,"&lt;"&amp;EDATE(B290,1))</f>
        <v>-0</v>
      </c>
      <c r="G290" s="33" t="n">
        <f aca="false">SUMIFS(Journal!$K$5:$K$1004,Journal!$C$5:$C$1004,$C$5,Journal!$A$5:$A$1004,"&gt;="&amp;B290,Journal!$A$5:$A$1004,"&lt;"&amp;MIN(EDATE(B290,1),$C$6+1))</f>
        <v>0</v>
      </c>
      <c r="H290" s="33" t="n">
        <f aca="false">IF(B290&lt;=$C$6,0,($C$12-$C$13/12)*(1+$C$14)^(YEAR(B290)-YEAR($C$6)))</f>
        <v>626.268176681787</v>
      </c>
      <c r="I290" s="33" t="n">
        <f aca="false">SUM(D290:H290)</f>
        <v>-215.051823318213</v>
      </c>
      <c r="J290" s="33" t="n">
        <f aca="false">IF(C290&lt;=$C$22,I290,0)</f>
        <v>0</v>
      </c>
      <c r="K290" s="33" t="n">
        <f aca="false">IF(C290&lt;=$D$22,I290,0)</f>
        <v>0</v>
      </c>
      <c r="L290" s="33" t="n">
        <f aca="false">IF(C290&lt;=$E$22,I290,0)</f>
        <v>0</v>
      </c>
    </row>
    <row r="291" customFormat="false" ht="15" hidden="false" customHeight="true" outlineLevel="0" collapsed="false">
      <c r="B291" s="65" t="n">
        <f aca="false">EDATE(B290,1)</f>
        <v>47849</v>
      </c>
      <c r="C291" s="64" t="n">
        <f aca="false">B291+14</f>
        <v>47863</v>
      </c>
      <c r="D291" s="33" t="n">
        <f aca="false">IF(OR($C$9="",B291&gt;=$C$9),0,$C$10*(1+$C$11)^IF(B291&lt;$C$7,0,DATEDIF($C$7,B291,"y"))*MAX(0,MIN(EDATE(B291,1),$C$9)-MAX(B291,$C$7))/(EDATE(B291,1)-B291))</f>
        <v>0</v>
      </c>
      <c r="E291" s="33" t="n">
        <f aca="false">-SUMIFS(Échéancier!$I$5:$I$300,Échéancier!$J$5:$J$300,$C$5,Échéancier!$C$5:$C$300,"&gt;="&amp;B291,Échéancier!$C$5:$C$300,"&lt;"&amp;EDATE(B291,1))</f>
        <v>-841.32</v>
      </c>
      <c r="F291" s="33" t="n">
        <f aca="false">-SUMIFS($D$68:$D$106,$E$68:$E$106,$C$5,$C$68:$C$106,"&gt;="&amp;B291,$C$68:$C$106,"&lt;"&amp;EDATE(B291,1))</f>
        <v>-0</v>
      </c>
      <c r="G291" s="33" t="n">
        <f aca="false">SUMIFS(Journal!$K$5:$K$1004,Journal!$C$5:$C$1004,$C$5,Journal!$A$5:$A$1004,"&gt;="&amp;B291,Journal!$A$5:$A$1004,"&lt;"&amp;MIN(EDATE(B291,1),$C$6+1))</f>
        <v>0</v>
      </c>
      <c r="H291" s="33" t="n">
        <f aca="false">IF(B291&lt;=$C$6,0,($C$12-$C$13/12)*(1+$C$14)^(YEAR(B291)-YEAR($C$6)))</f>
        <v>635.662199332014</v>
      </c>
      <c r="I291" s="33" t="n">
        <f aca="false">SUM(D291:H291)</f>
        <v>-205.657800667986</v>
      </c>
      <c r="J291" s="33" t="n">
        <f aca="false">IF(C291&lt;=$C$22,I291,0)</f>
        <v>0</v>
      </c>
      <c r="K291" s="33" t="n">
        <f aca="false">IF(C291&lt;=$D$22,I291,0)</f>
        <v>0</v>
      </c>
      <c r="L291" s="33" t="n">
        <f aca="false">IF(C291&lt;=$E$22,I291,0)</f>
        <v>0</v>
      </c>
    </row>
    <row r="292" customFormat="false" ht="15" hidden="false" customHeight="true" outlineLevel="0" collapsed="false">
      <c r="B292" s="65" t="n">
        <f aca="false">EDATE(B291,1)</f>
        <v>47880</v>
      </c>
      <c r="C292" s="64" t="n">
        <f aca="false">B292+14</f>
        <v>47894</v>
      </c>
      <c r="D292" s="33" t="n">
        <f aca="false">IF(OR($C$9="",B292&gt;=$C$9),0,$C$10*(1+$C$11)^IF(B292&lt;$C$7,0,DATEDIF($C$7,B292,"y"))*MAX(0,MIN(EDATE(B292,1),$C$9)-MAX(B292,$C$7))/(EDATE(B292,1)-B292))</f>
        <v>0</v>
      </c>
      <c r="E292" s="33" t="n">
        <f aca="false">-SUMIFS(Échéancier!$I$5:$I$300,Échéancier!$J$5:$J$300,$C$5,Échéancier!$C$5:$C$300,"&gt;="&amp;B292,Échéancier!$C$5:$C$300,"&lt;"&amp;EDATE(B292,1))</f>
        <v>-841.32</v>
      </c>
      <c r="F292" s="33" t="n">
        <f aca="false">-SUMIFS($D$68:$D$106,$E$68:$E$106,$C$5,$C$68:$C$106,"&gt;="&amp;B292,$C$68:$C$106,"&lt;"&amp;EDATE(B292,1))</f>
        <v>-0</v>
      </c>
      <c r="G292" s="33" t="n">
        <f aca="false">SUMIFS(Journal!$K$5:$K$1004,Journal!$C$5:$C$1004,$C$5,Journal!$A$5:$A$1004,"&gt;="&amp;B292,Journal!$A$5:$A$1004,"&lt;"&amp;MIN(EDATE(B292,1),$C$6+1))</f>
        <v>0</v>
      </c>
      <c r="H292" s="33" t="n">
        <f aca="false">IF(B292&lt;=$C$6,0,($C$12-$C$13/12)*(1+$C$14)^(YEAR(B292)-YEAR($C$6)))</f>
        <v>635.662199332014</v>
      </c>
      <c r="I292" s="33" t="n">
        <f aca="false">SUM(D292:H292)</f>
        <v>-205.657800667986</v>
      </c>
      <c r="J292" s="33" t="n">
        <f aca="false">IF(C292&lt;=$C$22,I292,0)</f>
        <v>0</v>
      </c>
      <c r="K292" s="33" t="n">
        <f aca="false">IF(C292&lt;=$D$22,I292,0)</f>
        <v>0</v>
      </c>
      <c r="L292" s="33" t="n">
        <f aca="false">IF(C292&lt;=$E$22,I292,0)</f>
        <v>0</v>
      </c>
    </row>
    <row r="293" customFormat="false" ht="15" hidden="false" customHeight="true" outlineLevel="0" collapsed="false">
      <c r="B293" s="65" t="n">
        <f aca="false">EDATE(B292,1)</f>
        <v>47908</v>
      </c>
      <c r="C293" s="64" t="n">
        <f aca="false">B293+14</f>
        <v>47922</v>
      </c>
      <c r="D293" s="33" t="n">
        <f aca="false">IF(OR($C$9="",B293&gt;=$C$9),0,$C$10*(1+$C$11)^IF(B293&lt;$C$7,0,DATEDIF($C$7,B293,"y"))*MAX(0,MIN(EDATE(B293,1),$C$9)-MAX(B293,$C$7))/(EDATE(B293,1)-B293))</f>
        <v>0</v>
      </c>
      <c r="E293" s="33" t="n">
        <f aca="false">-SUMIFS(Échéancier!$I$5:$I$300,Échéancier!$J$5:$J$300,$C$5,Échéancier!$C$5:$C$300,"&gt;="&amp;B293,Échéancier!$C$5:$C$300,"&lt;"&amp;EDATE(B293,1))</f>
        <v>-841.32</v>
      </c>
      <c r="F293" s="33" t="n">
        <f aca="false">-SUMIFS($D$68:$D$106,$E$68:$E$106,$C$5,$C$68:$C$106,"&gt;="&amp;B293,$C$68:$C$106,"&lt;"&amp;EDATE(B293,1))</f>
        <v>-0</v>
      </c>
      <c r="G293" s="33" t="n">
        <f aca="false">SUMIFS(Journal!$K$5:$K$1004,Journal!$C$5:$C$1004,$C$5,Journal!$A$5:$A$1004,"&gt;="&amp;B293,Journal!$A$5:$A$1004,"&lt;"&amp;MIN(EDATE(B293,1),$C$6+1))</f>
        <v>0</v>
      </c>
      <c r="H293" s="33" t="n">
        <f aca="false">IF(B293&lt;=$C$6,0,($C$12-$C$13/12)*(1+$C$14)^(YEAR(B293)-YEAR($C$6)))</f>
        <v>635.662199332014</v>
      </c>
      <c r="I293" s="33" t="n">
        <f aca="false">SUM(D293:H293)</f>
        <v>-205.657800667986</v>
      </c>
      <c r="J293" s="33" t="n">
        <f aca="false">IF(C293&lt;=$C$22,I293,0)</f>
        <v>0</v>
      </c>
      <c r="K293" s="33" t="n">
        <f aca="false">IF(C293&lt;=$D$22,I293,0)</f>
        <v>0</v>
      </c>
      <c r="L293" s="33" t="n">
        <f aca="false">IF(C293&lt;=$E$22,I293,0)</f>
        <v>0</v>
      </c>
    </row>
    <row r="294" customFormat="false" ht="15" hidden="false" customHeight="true" outlineLevel="0" collapsed="false">
      <c r="B294" s="65" t="n">
        <f aca="false">EDATE(B293,1)</f>
        <v>47939</v>
      </c>
      <c r="C294" s="64" t="n">
        <f aca="false">B294+14</f>
        <v>47953</v>
      </c>
      <c r="D294" s="33" t="n">
        <f aca="false">IF(OR($C$9="",B294&gt;=$C$9),0,$C$10*(1+$C$11)^IF(B294&lt;$C$7,0,DATEDIF($C$7,B294,"y"))*MAX(0,MIN(EDATE(B294,1),$C$9)-MAX(B294,$C$7))/(EDATE(B294,1)-B294))</f>
        <v>0</v>
      </c>
      <c r="E294" s="33" t="n">
        <f aca="false">-SUMIFS(Échéancier!$I$5:$I$300,Échéancier!$J$5:$J$300,$C$5,Échéancier!$C$5:$C$300,"&gt;="&amp;B294,Échéancier!$C$5:$C$300,"&lt;"&amp;EDATE(B294,1))</f>
        <v>-841.32</v>
      </c>
      <c r="F294" s="33" t="n">
        <f aca="false">-SUMIFS($D$68:$D$106,$E$68:$E$106,$C$5,$C$68:$C$106,"&gt;="&amp;B294,$C$68:$C$106,"&lt;"&amp;EDATE(B294,1))</f>
        <v>-0</v>
      </c>
      <c r="G294" s="33" t="n">
        <f aca="false">SUMIFS(Journal!$K$5:$K$1004,Journal!$C$5:$C$1004,$C$5,Journal!$A$5:$A$1004,"&gt;="&amp;B294,Journal!$A$5:$A$1004,"&lt;"&amp;MIN(EDATE(B294,1),$C$6+1))</f>
        <v>0</v>
      </c>
      <c r="H294" s="33" t="n">
        <f aca="false">IF(B294&lt;=$C$6,0,($C$12-$C$13/12)*(1+$C$14)^(YEAR(B294)-YEAR($C$6)))</f>
        <v>635.662199332014</v>
      </c>
      <c r="I294" s="33" t="n">
        <f aca="false">SUM(D294:H294)</f>
        <v>-205.657800667986</v>
      </c>
      <c r="J294" s="33" t="n">
        <f aca="false">IF(C294&lt;=$C$22,I294,0)</f>
        <v>0</v>
      </c>
      <c r="K294" s="33" t="n">
        <f aca="false">IF(C294&lt;=$D$22,I294,0)</f>
        <v>0</v>
      </c>
      <c r="L294" s="33" t="n">
        <f aca="false">IF(C294&lt;=$E$22,I294,0)</f>
        <v>0</v>
      </c>
    </row>
    <row r="295" customFormat="false" ht="15" hidden="false" customHeight="true" outlineLevel="0" collapsed="false">
      <c r="B295" s="65" t="n">
        <f aca="false">EDATE(B294,1)</f>
        <v>47969</v>
      </c>
      <c r="C295" s="64" t="n">
        <f aca="false">B295+14</f>
        <v>47983</v>
      </c>
      <c r="D295" s="33" t="n">
        <f aca="false">IF(OR($C$9="",B295&gt;=$C$9),0,$C$10*(1+$C$11)^IF(B295&lt;$C$7,0,DATEDIF($C$7,B295,"y"))*MAX(0,MIN(EDATE(B295,1),$C$9)-MAX(B295,$C$7))/(EDATE(B295,1)-B295))</f>
        <v>0</v>
      </c>
      <c r="E295" s="33" t="n">
        <f aca="false">-SUMIFS(Échéancier!$I$5:$I$300,Échéancier!$J$5:$J$300,$C$5,Échéancier!$C$5:$C$300,"&gt;="&amp;B295,Échéancier!$C$5:$C$300,"&lt;"&amp;EDATE(B295,1))</f>
        <v>-841.32</v>
      </c>
      <c r="F295" s="33" t="n">
        <f aca="false">-SUMIFS($D$68:$D$106,$E$68:$E$106,$C$5,$C$68:$C$106,"&gt;="&amp;B295,$C$68:$C$106,"&lt;"&amp;EDATE(B295,1))</f>
        <v>-0</v>
      </c>
      <c r="G295" s="33" t="n">
        <f aca="false">SUMIFS(Journal!$K$5:$K$1004,Journal!$C$5:$C$1004,$C$5,Journal!$A$5:$A$1004,"&gt;="&amp;B295,Journal!$A$5:$A$1004,"&lt;"&amp;MIN(EDATE(B295,1),$C$6+1))</f>
        <v>0</v>
      </c>
      <c r="H295" s="33" t="n">
        <f aca="false">IF(B295&lt;=$C$6,0,($C$12-$C$13/12)*(1+$C$14)^(YEAR(B295)-YEAR($C$6)))</f>
        <v>635.662199332014</v>
      </c>
      <c r="I295" s="33" t="n">
        <f aca="false">SUM(D295:H295)</f>
        <v>-205.657800667986</v>
      </c>
      <c r="J295" s="33" t="n">
        <f aca="false">IF(C295&lt;=$C$22,I295,0)</f>
        <v>0</v>
      </c>
      <c r="K295" s="33" t="n">
        <f aca="false">IF(C295&lt;=$D$22,I295,0)</f>
        <v>0</v>
      </c>
      <c r="L295" s="33" t="n">
        <f aca="false">IF(C295&lt;=$E$22,I295,0)</f>
        <v>0</v>
      </c>
    </row>
    <row r="296" customFormat="false" ht="15" hidden="false" customHeight="true" outlineLevel="0" collapsed="false">
      <c r="B296" s="65" t="n">
        <f aca="false">EDATE(B295,1)</f>
        <v>48000</v>
      </c>
      <c r="C296" s="64" t="n">
        <f aca="false">B296+14</f>
        <v>48014</v>
      </c>
      <c r="D296" s="33" t="n">
        <f aca="false">IF(OR($C$9="",B296&gt;=$C$9),0,$C$10*(1+$C$11)^IF(B296&lt;$C$7,0,DATEDIF($C$7,B296,"y"))*MAX(0,MIN(EDATE(B296,1),$C$9)-MAX(B296,$C$7))/(EDATE(B296,1)-B296))</f>
        <v>0</v>
      </c>
      <c r="E296" s="33" t="n">
        <f aca="false">-SUMIFS(Échéancier!$I$5:$I$300,Échéancier!$J$5:$J$300,$C$5,Échéancier!$C$5:$C$300,"&gt;="&amp;B296,Échéancier!$C$5:$C$300,"&lt;"&amp;EDATE(B296,1))</f>
        <v>-841.32</v>
      </c>
      <c r="F296" s="33" t="n">
        <f aca="false">-SUMIFS($D$68:$D$106,$E$68:$E$106,$C$5,$C$68:$C$106,"&gt;="&amp;B296,$C$68:$C$106,"&lt;"&amp;EDATE(B296,1))</f>
        <v>-0</v>
      </c>
      <c r="G296" s="33" t="n">
        <f aca="false">SUMIFS(Journal!$K$5:$K$1004,Journal!$C$5:$C$1004,$C$5,Journal!$A$5:$A$1004,"&gt;="&amp;B296,Journal!$A$5:$A$1004,"&lt;"&amp;MIN(EDATE(B296,1),$C$6+1))</f>
        <v>0</v>
      </c>
      <c r="H296" s="33" t="n">
        <f aca="false">IF(B296&lt;=$C$6,0,($C$12-$C$13/12)*(1+$C$14)^(YEAR(B296)-YEAR($C$6)))</f>
        <v>635.662199332014</v>
      </c>
      <c r="I296" s="33" t="n">
        <f aca="false">SUM(D296:H296)</f>
        <v>-205.657800667986</v>
      </c>
      <c r="J296" s="33" t="n">
        <f aca="false">IF(C296&lt;=$C$22,I296,0)</f>
        <v>0</v>
      </c>
      <c r="K296" s="33" t="n">
        <f aca="false">IF(C296&lt;=$D$22,I296,0)</f>
        <v>0</v>
      </c>
      <c r="L296" s="33" t="n">
        <f aca="false">IF(C296&lt;=$E$22,I296,0)</f>
        <v>0</v>
      </c>
    </row>
    <row r="297" customFormat="false" ht="15" hidden="false" customHeight="true" outlineLevel="0" collapsed="false">
      <c r="B297" s="65" t="n">
        <f aca="false">EDATE(B296,1)</f>
        <v>48030</v>
      </c>
      <c r="C297" s="64" t="n">
        <f aca="false">B297+14</f>
        <v>48044</v>
      </c>
      <c r="D297" s="33" t="n">
        <f aca="false">IF(OR($C$9="",B297&gt;=$C$9),0,$C$10*(1+$C$11)^IF(B297&lt;$C$7,0,DATEDIF($C$7,B297,"y"))*MAX(0,MIN(EDATE(B297,1),$C$9)-MAX(B297,$C$7))/(EDATE(B297,1)-B297))</f>
        <v>0</v>
      </c>
      <c r="E297" s="33" t="n">
        <f aca="false">-SUMIFS(Échéancier!$I$5:$I$300,Échéancier!$J$5:$J$300,$C$5,Échéancier!$C$5:$C$300,"&gt;="&amp;B297,Échéancier!$C$5:$C$300,"&lt;"&amp;EDATE(B297,1))</f>
        <v>-841.32</v>
      </c>
      <c r="F297" s="33" t="n">
        <f aca="false">-SUMIFS($D$68:$D$106,$E$68:$E$106,$C$5,$C$68:$C$106,"&gt;="&amp;B297,$C$68:$C$106,"&lt;"&amp;EDATE(B297,1))</f>
        <v>-0</v>
      </c>
      <c r="G297" s="33" t="n">
        <f aca="false">SUMIFS(Journal!$K$5:$K$1004,Journal!$C$5:$C$1004,$C$5,Journal!$A$5:$A$1004,"&gt;="&amp;B297,Journal!$A$5:$A$1004,"&lt;"&amp;MIN(EDATE(B297,1),$C$6+1))</f>
        <v>0</v>
      </c>
      <c r="H297" s="33" t="n">
        <f aca="false">IF(B297&lt;=$C$6,0,($C$12-$C$13/12)*(1+$C$14)^(YEAR(B297)-YEAR($C$6)))</f>
        <v>635.662199332014</v>
      </c>
      <c r="I297" s="33" t="n">
        <f aca="false">SUM(D297:H297)</f>
        <v>-205.657800667986</v>
      </c>
      <c r="J297" s="33" t="n">
        <f aca="false">IF(C297&lt;=$C$22,I297,0)</f>
        <v>0</v>
      </c>
      <c r="K297" s="33" t="n">
        <f aca="false">IF(C297&lt;=$D$22,I297,0)</f>
        <v>0</v>
      </c>
      <c r="L297" s="33" t="n">
        <f aca="false">IF(C297&lt;=$E$22,I297,0)</f>
        <v>0</v>
      </c>
    </row>
    <row r="298" customFormat="false" ht="15" hidden="false" customHeight="true" outlineLevel="0" collapsed="false">
      <c r="B298" s="65" t="n">
        <f aca="false">EDATE(B297,1)</f>
        <v>48061</v>
      </c>
      <c r="C298" s="64" t="n">
        <f aca="false">B298+14</f>
        <v>48075</v>
      </c>
      <c r="D298" s="33" t="n">
        <f aca="false">IF(OR($C$9="",B298&gt;=$C$9),0,$C$10*(1+$C$11)^IF(B298&lt;$C$7,0,DATEDIF($C$7,B298,"y"))*MAX(0,MIN(EDATE(B298,1),$C$9)-MAX(B298,$C$7))/(EDATE(B298,1)-B298))</f>
        <v>0</v>
      </c>
      <c r="E298" s="33" t="n">
        <f aca="false">-SUMIFS(Échéancier!$I$5:$I$300,Échéancier!$J$5:$J$300,$C$5,Échéancier!$C$5:$C$300,"&gt;="&amp;B298,Échéancier!$C$5:$C$300,"&lt;"&amp;EDATE(B298,1))</f>
        <v>-841.32</v>
      </c>
      <c r="F298" s="33" t="n">
        <f aca="false">-SUMIFS($D$68:$D$106,$E$68:$E$106,$C$5,$C$68:$C$106,"&gt;="&amp;B298,$C$68:$C$106,"&lt;"&amp;EDATE(B298,1))</f>
        <v>-0</v>
      </c>
      <c r="G298" s="33" t="n">
        <f aca="false">SUMIFS(Journal!$K$5:$K$1004,Journal!$C$5:$C$1004,$C$5,Journal!$A$5:$A$1004,"&gt;="&amp;B298,Journal!$A$5:$A$1004,"&lt;"&amp;MIN(EDATE(B298,1),$C$6+1))</f>
        <v>0</v>
      </c>
      <c r="H298" s="33" t="n">
        <f aca="false">IF(B298&lt;=$C$6,0,($C$12-$C$13/12)*(1+$C$14)^(YEAR(B298)-YEAR($C$6)))</f>
        <v>635.662199332014</v>
      </c>
      <c r="I298" s="33" t="n">
        <f aca="false">SUM(D298:H298)</f>
        <v>-205.657800667986</v>
      </c>
      <c r="J298" s="33" t="n">
        <f aca="false">IF(C298&lt;=$C$22,I298,0)</f>
        <v>0</v>
      </c>
      <c r="K298" s="33" t="n">
        <f aca="false">IF(C298&lt;=$D$22,I298,0)</f>
        <v>0</v>
      </c>
      <c r="L298" s="33" t="n">
        <f aca="false">IF(C298&lt;=$E$22,I298,0)</f>
        <v>0</v>
      </c>
    </row>
    <row r="299" customFormat="false" ht="15" hidden="false" customHeight="true" outlineLevel="0" collapsed="false">
      <c r="B299" s="65" t="n">
        <f aca="false">EDATE(B298,1)</f>
        <v>48092</v>
      </c>
      <c r="C299" s="64" t="n">
        <f aca="false">B299+14</f>
        <v>48106</v>
      </c>
      <c r="D299" s="33" t="n">
        <f aca="false">IF(OR($C$9="",B299&gt;=$C$9),0,$C$10*(1+$C$11)^IF(B299&lt;$C$7,0,DATEDIF($C$7,B299,"y"))*MAX(0,MIN(EDATE(B299,1),$C$9)-MAX(B299,$C$7))/(EDATE(B299,1)-B299))</f>
        <v>0</v>
      </c>
      <c r="E299" s="33" t="n">
        <f aca="false">-SUMIFS(Échéancier!$I$5:$I$300,Échéancier!$J$5:$J$300,$C$5,Échéancier!$C$5:$C$300,"&gt;="&amp;B299,Échéancier!$C$5:$C$300,"&lt;"&amp;EDATE(B299,1))</f>
        <v>-841.32</v>
      </c>
      <c r="F299" s="33" t="n">
        <f aca="false">-SUMIFS($D$68:$D$106,$E$68:$E$106,$C$5,$C$68:$C$106,"&gt;="&amp;B299,$C$68:$C$106,"&lt;"&amp;EDATE(B299,1))</f>
        <v>-0</v>
      </c>
      <c r="G299" s="33" t="n">
        <f aca="false">SUMIFS(Journal!$K$5:$K$1004,Journal!$C$5:$C$1004,$C$5,Journal!$A$5:$A$1004,"&gt;="&amp;B299,Journal!$A$5:$A$1004,"&lt;"&amp;MIN(EDATE(B299,1),$C$6+1))</f>
        <v>0</v>
      </c>
      <c r="H299" s="33" t="n">
        <f aca="false">IF(B299&lt;=$C$6,0,($C$12-$C$13/12)*(1+$C$14)^(YEAR(B299)-YEAR($C$6)))</f>
        <v>635.662199332014</v>
      </c>
      <c r="I299" s="33" t="n">
        <f aca="false">SUM(D299:H299)</f>
        <v>-205.657800667986</v>
      </c>
      <c r="J299" s="33" t="n">
        <f aca="false">IF(C299&lt;=$C$22,I299,0)</f>
        <v>0</v>
      </c>
      <c r="K299" s="33" t="n">
        <f aca="false">IF(C299&lt;=$D$22,I299,0)</f>
        <v>0</v>
      </c>
      <c r="L299" s="33" t="n">
        <f aca="false">IF(C299&lt;=$E$22,I299,0)</f>
        <v>0</v>
      </c>
    </row>
    <row r="300" customFormat="false" ht="15" hidden="false" customHeight="true" outlineLevel="0" collapsed="false">
      <c r="B300" s="65" t="n">
        <f aca="false">EDATE(B299,1)</f>
        <v>48122</v>
      </c>
      <c r="C300" s="64" t="n">
        <f aca="false">B300+14</f>
        <v>48136</v>
      </c>
      <c r="D300" s="33" t="n">
        <f aca="false">IF(OR($C$9="",B300&gt;=$C$9),0,$C$10*(1+$C$11)^IF(B300&lt;$C$7,0,DATEDIF($C$7,B300,"y"))*MAX(0,MIN(EDATE(B300,1),$C$9)-MAX(B300,$C$7))/(EDATE(B300,1)-B300))</f>
        <v>0</v>
      </c>
      <c r="E300" s="33" t="n">
        <f aca="false">-SUMIFS(Échéancier!$I$5:$I$300,Échéancier!$J$5:$J$300,$C$5,Échéancier!$C$5:$C$300,"&gt;="&amp;B300,Échéancier!$C$5:$C$300,"&lt;"&amp;EDATE(B300,1))</f>
        <v>-841.32</v>
      </c>
      <c r="F300" s="33" t="n">
        <f aca="false">-SUMIFS($D$68:$D$106,$E$68:$E$106,$C$5,$C$68:$C$106,"&gt;="&amp;B300,$C$68:$C$106,"&lt;"&amp;EDATE(B300,1))</f>
        <v>-0</v>
      </c>
      <c r="G300" s="33" t="n">
        <f aca="false">SUMIFS(Journal!$K$5:$K$1004,Journal!$C$5:$C$1004,$C$5,Journal!$A$5:$A$1004,"&gt;="&amp;B300,Journal!$A$5:$A$1004,"&lt;"&amp;MIN(EDATE(B300,1),$C$6+1))</f>
        <v>0</v>
      </c>
      <c r="H300" s="33" t="n">
        <f aca="false">IF(B300&lt;=$C$6,0,($C$12-$C$13/12)*(1+$C$14)^(YEAR(B300)-YEAR($C$6)))</f>
        <v>635.662199332014</v>
      </c>
      <c r="I300" s="33" t="n">
        <f aca="false">SUM(D300:H300)</f>
        <v>-205.657800667986</v>
      </c>
      <c r="J300" s="33" t="n">
        <f aca="false">IF(C300&lt;=$C$22,I300,0)</f>
        <v>0</v>
      </c>
      <c r="K300" s="33" t="n">
        <f aca="false">IF(C300&lt;=$D$22,I300,0)</f>
        <v>0</v>
      </c>
      <c r="L300" s="33" t="n">
        <f aca="false">IF(C300&lt;=$E$22,I300,0)</f>
        <v>0</v>
      </c>
    </row>
    <row r="301" customFormat="false" ht="15" hidden="false" customHeight="true" outlineLevel="0" collapsed="false">
      <c r="B301" s="65" t="n">
        <f aca="false">EDATE(B300,1)</f>
        <v>48153</v>
      </c>
      <c r="C301" s="64" t="n">
        <f aca="false">B301+14</f>
        <v>48167</v>
      </c>
      <c r="D301" s="33" t="n">
        <f aca="false">IF(OR($C$9="",B301&gt;=$C$9),0,$C$10*(1+$C$11)^IF(B301&lt;$C$7,0,DATEDIF($C$7,B301,"y"))*MAX(0,MIN(EDATE(B301,1),$C$9)-MAX(B301,$C$7))/(EDATE(B301,1)-B301))</f>
        <v>0</v>
      </c>
      <c r="E301" s="33" t="n">
        <f aca="false">-SUMIFS(Échéancier!$I$5:$I$300,Échéancier!$J$5:$J$300,$C$5,Échéancier!$C$5:$C$300,"&gt;="&amp;B301,Échéancier!$C$5:$C$300,"&lt;"&amp;EDATE(B301,1))</f>
        <v>-841.32</v>
      </c>
      <c r="F301" s="33" t="n">
        <f aca="false">-SUMIFS($D$68:$D$106,$E$68:$E$106,$C$5,$C$68:$C$106,"&gt;="&amp;B301,$C$68:$C$106,"&lt;"&amp;EDATE(B301,1))</f>
        <v>-0</v>
      </c>
      <c r="G301" s="33" t="n">
        <f aca="false">SUMIFS(Journal!$K$5:$K$1004,Journal!$C$5:$C$1004,$C$5,Journal!$A$5:$A$1004,"&gt;="&amp;B301,Journal!$A$5:$A$1004,"&lt;"&amp;MIN(EDATE(B301,1),$C$6+1))</f>
        <v>0</v>
      </c>
      <c r="H301" s="33" t="n">
        <f aca="false">IF(B301&lt;=$C$6,0,($C$12-$C$13/12)*(1+$C$14)^(YEAR(B301)-YEAR($C$6)))</f>
        <v>635.662199332014</v>
      </c>
      <c r="I301" s="33" t="n">
        <f aca="false">SUM(D301:H301)</f>
        <v>-205.657800667986</v>
      </c>
      <c r="J301" s="33" t="n">
        <f aca="false">IF(C301&lt;=$C$22,I301,0)</f>
        <v>0</v>
      </c>
      <c r="K301" s="33" t="n">
        <f aca="false">IF(C301&lt;=$D$22,I301,0)</f>
        <v>0</v>
      </c>
      <c r="L301" s="33" t="n">
        <f aca="false">IF(C301&lt;=$E$22,I301,0)</f>
        <v>0</v>
      </c>
    </row>
    <row r="302" customFormat="false" ht="15" hidden="false" customHeight="true" outlineLevel="0" collapsed="false">
      <c r="B302" s="65" t="n">
        <f aca="false">EDATE(B301,1)</f>
        <v>48183</v>
      </c>
      <c r="C302" s="64" t="n">
        <f aca="false">B302+14</f>
        <v>48197</v>
      </c>
      <c r="D302" s="33" t="n">
        <f aca="false">IF(OR($C$9="",B302&gt;=$C$9),0,$C$10*(1+$C$11)^IF(B302&lt;$C$7,0,DATEDIF($C$7,B302,"y"))*MAX(0,MIN(EDATE(B302,1),$C$9)-MAX(B302,$C$7))/(EDATE(B302,1)-B302))</f>
        <v>0</v>
      </c>
      <c r="E302" s="33" t="n">
        <f aca="false">-SUMIFS(Échéancier!$I$5:$I$300,Échéancier!$J$5:$J$300,$C$5,Échéancier!$C$5:$C$300,"&gt;="&amp;B302,Échéancier!$C$5:$C$300,"&lt;"&amp;EDATE(B302,1))</f>
        <v>-841.32</v>
      </c>
      <c r="F302" s="33" t="n">
        <f aca="false">-SUMIFS($D$68:$D$106,$E$68:$E$106,$C$5,$C$68:$C$106,"&gt;="&amp;B302,$C$68:$C$106,"&lt;"&amp;EDATE(B302,1))</f>
        <v>-0</v>
      </c>
      <c r="G302" s="33" t="n">
        <f aca="false">SUMIFS(Journal!$K$5:$K$1004,Journal!$C$5:$C$1004,$C$5,Journal!$A$5:$A$1004,"&gt;="&amp;B302,Journal!$A$5:$A$1004,"&lt;"&amp;MIN(EDATE(B302,1),$C$6+1))</f>
        <v>0</v>
      </c>
      <c r="H302" s="33" t="n">
        <f aca="false">IF(B302&lt;=$C$6,0,($C$12-$C$13/12)*(1+$C$14)^(YEAR(B302)-YEAR($C$6)))</f>
        <v>635.662199332014</v>
      </c>
      <c r="I302" s="33" t="n">
        <f aca="false">SUM(D302:H302)</f>
        <v>-205.657800667986</v>
      </c>
      <c r="J302" s="33" t="n">
        <f aca="false">IF(C302&lt;=$C$22,I302,0)</f>
        <v>0</v>
      </c>
      <c r="K302" s="33" t="n">
        <f aca="false">IF(C302&lt;=$D$22,I302,0)</f>
        <v>0</v>
      </c>
      <c r="L302" s="33" t="n">
        <f aca="false">IF(C302&lt;=$E$22,I302,0)</f>
        <v>0</v>
      </c>
    </row>
    <row r="303" customFormat="false" ht="15" hidden="false" customHeight="true" outlineLevel="0" collapsed="false">
      <c r="B303" s="65" t="n">
        <f aca="false">EDATE(B302,1)</f>
        <v>48214</v>
      </c>
      <c r="C303" s="64" t="n">
        <f aca="false">B303+14</f>
        <v>48228</v>
      </c>
      <c r="D303" s="33" t="n">
        <f aca="false">IF(OR($C$9="",B303&gt;=$C$9),0,$C$10*(1+$C$11)^IF(B303&lt;$C$7,0,DATEDIF($C$7,B303,"y"))*MAX(0,MIN(EDATE(B303,1),$C$9)-MAX(B303,$C$7))/(EDATE(B303,1)-B303))</f>
        <v>0</v>
      </c>
      <c r="E303" s="33" t="n">
        <f aca="false">-SUMIFS(Échéancier!$I$5:$I$300,Échéancier!$J$5:$J$300,$C$5,Échéancier!$C$5:$C$300,"&gt;="&amp;B303,Échéancier!$C$5:$C$300,"&lt;"&amp;EDATE(B303,1))</f>
        <v>-841.32</v>
      </c>
      <c r="F303" s="33" t="n">
        <f aca="false">-SUMIFS($D$68:$D$106,$E$68:$E$106,$C$5,$C$68:$C$106,"&gt;="&amp;B303,$C$68:$C$106,"&lt;"&amp;EDATE(B303,1))</f>
        <v>-0</v>
      </c>
      <c r="G303" s="33" t="n">
        <f aca="false">SUMIFS(Journal!$K$5:$K$1004,Journal!$C$5:$C$1004,$C$5,Journal!$A$5:$A$1004,"&gt;="&amp;B303,Journal!$A$5:$A$1004,"&lt;"&amp;MIN(EDATE(B303,1),$C$6+1))</f>
        <v>0</v>
      </c>
      <c r="H303" s="33" t="n">
        <f aca="false">IF(B303&lt;=$C$6,0,($C$12-$C$13/12)*(1+$C$14)^(YEAR(B303)-YEAR($C$6)))</f>
        <v>645.197132321994</v>
      </c>
      <c r="I303" s="33" t="n">
        <f aca="false">SUM(D303:H303)</f>
        <v>-196.122867678006</v>
      </c>
      <c r="J303" s="33" t="n">
        <f aca="false">IF(C303&lt;=$C$22,I303,0)</f>
        <v>0</v>
      </c>
      <c r="K303" s="33" t="n">
        <f aca="false">IF(C303&lt;=$D$22,I303,0)</f>
        <v>0</v>
      </c>
      <c r="L303" s="33" t="n">
        <f aca="false">IF(C303&lt;=$E$22,I303,0)</f>
        <v>0</v>
      </c>
    </row>
    <row r="304" customFormat="false" ht="15" hidden="false" customHeight="true" outlineLevel="0" collapsed="false">
      <c r="B304" s="65" t="n">
        <f aca="false">EDATE(B303,1)</f>
        <v>48245</v>
      </c>
      <c r="C304" s="64" t="n">
        <f aca="false">B304+14</f>
        <v>48259</v>
      </c>
      <c r="D304" s="33" t="n">
        <f aca="false">IF(OR($C$9="",B304&gt;=$C$9),0,$C$10*(1+$C$11)^IF(B304&lt;$C$7,0,DATEDIF($C$7,B304,"y"))*MAX(0,MIN(EDATE(B304,1),$C$9)-MAX(B304,$C$7))/(EDATE(B304,1)-B304))</f>
        <v>0</v>
      </c>
      <c r="E304" s="33" t="n">
        <f aca="false">-SUMIFS(Échéancier!$I$5:$I$300,Échéancier!$J$5:$J$300,$C$5,Échéancier!$C$5:$C$300,"&gt;="&amp;B304,Échéancier!$C$5:$C$300,"&lt;"&amp;EDATE(B304,1))</f>
        <v>-841.32</v>
      </c>
      <c r="F304" s="33" t="n">
        <f aca="false">-SUMIFS($D$68:$D$106,$E$68:$E$106,$C$5,$C$68:$C$106,"&gt;="&amp;B304,$C$68:$C$106,"&lt;"&amp;EDATE(B304,1))</f>
        <v>-0</v>
      </c>
      <c r="G304" s="33" t="n">
        <f aca="false">SUMIFS(Journal!$K$5:$K$1004,Journal!$C$5:$C$1004,$C$5,Journal!$A$5:$A$1004,"&gt;="&amp;B304,Journal!$A$5:$A$1004,"&lt;"&amp;MIN(EDATE(B304,1),$C$6+1))</f>
        <v>0</v>
      </c>
      <c r="H304" s="33" t="n">
        <f aca="false">IF(B304&lt;=$C$6,0,($C$12-$C$13/12)*(1+$C$14)^(YEAR(B304)-YEAR($C$6)))</f>
        <v>645.197132321994</v>
      </c>
      <c r="I304" s="33" t="n">
        <f aca="false">SUM(D304:H304)</f>
        <v>-196.122867678006</v>
      </c>
      <c r="J304" s="33" t="n">
        <f aca="false">IF(C304&lt;=$C$22,I304,0)</f>
        <v>0</v>
      </c>
      <c r="K304" s="33" t="n">
        <f aca="false">IF(C304&lt;=$D$22,I304,0)</f>
        <v>0</v>
      </c>
      <c r="L304" s="33" t="n">
        <f aca="false">IF(C304&lt;=$E$22,I304,0)</f>
        <v>0</v>
      </c>
    </row>
    <row r="305" customFormat="false" ht="15" hidden="false" customHeight="true" outlineLevel="0" collapsed="false">
      <c r="B305" s="65" t="n">
        <f aca="false">EDATE(B304,1)</f>
        <v>48274</v>
      </c>
      <c r="C305" s="64" t="n">
        <f aca="false">B305+14</f>
        <v>48288</v>
      </c>
      <c r="D305" s="33" t="n">
        <f aca="false">IF(OR($C$9="",B305&gt;=$C$9),0,$C$10*(1+$C$11)^IF(B305&lt;$C$7,0,DATEDIF($C$7,B305,"y"))*MAX(0,MIN(EDATE(B305,1),$C$9)-MAX(B305,$C$7))/(EDATE(B305,1)-B305))</f>
        <v>0</v>
      </c>
      <c r="E305" s="33" t="n">
        <f aca="false">-SUMIFS(Échéancier!$I$5:$I$300,Échéancier!$J$5:$J$300,$C$5,Échéancier!$C$5:$C$300,"&gt;="&amp;B305,Échéancier!$C$5:$C$300,"&lt;"&amp;EDATE(B305,1))</f>
        <v>-841.32</v>
      </c>
      <c r="F305" s="33" t="n">
        <f aca="false">-SUMIFS($D$68:$D$106,$E$68:$E$106,$C$5,$C$68:$C$106,"&gt;="&amp;B305,$C$68:$C$106,"&lt;"&amp;EDATE(B305,1))</f>
        <v>-0</v>
      </c>
      <c r="G305" s="33" t="n">
        <f aca="false">SUMIFS(Journal!$K$5:$K$1004,Journal!$C$5:$C$1004,$C$5,Journal!$A$5:$A$1004,"&gt;="&amp;B305,Journal!$A$5:$A$1004,"&lt;"&amp;MIN(EDATE(B305,1),$C$6+1))</f>
        <v>0</v>
      </c>
      <c r="H305" s="33" t="n">
        <f aca="false">IF(B305&lt;=$C$6,0,($C$12-$C$13/12)*(1+$C$14)^(YEAR(B305)-YEAR($C$6)))</f>
        <v>645.197132321994</v>
      </c>
      <c r="I305" s="33" t="n">
        <f aca="false">SUM(D305:H305)</f>
        <v>-196.122867678006</v>
      </c>
      <c r="J305" s="33" t="n">
        <f aca="false">IF(C305&lt;=$C$22,I305,0)</f>
        <v>0</v>
      </c>
      <c r="K305" s="33" t="n">
        <f aca="false">IF(C305&lt;=$D$22,I305,0)</f>
        <v>0</v>
      </c>
      <c r="L305" s="33" t="n">
        <f aca="false">IF(C305&lt;=$E$22,I305,0)</f>
        <v>0</v>
      </c>
    </row>
    <row r="306" customFormat="false" ht="15" hidden="false" customHeight="true" outlineLevel="0" collapsed="false">
      <c r="B306" s="65" t="n">
        <f aca="false">EDATE(B305,1)</f>
        <v>48305</v>
      </c>
      <c r="C306" s="64" t="n">
        <f aca="false">B306+14</f>
        <v>48319</v>
      </c>
      <c r="D306" s="33" t="n">
        <f aca="false">IF(OR($C$9="",B306&gt;=$C$9),0,$C$10*(1+$C$11)^IF(B306&lt;$C$7,0,DATEDIF($C$7,B306,"y"))*MAX(0,MIN(EDATE(B306,1),$C$9)-MAX(B306,$C$7))/(EDATE(B306,1)-B306))</f>
        <v>0</v>
      </c>
      <c r="E306" s="33" t="n">
        <f aca="false">-SUMIFS(Échéancier!$I$5:$I$300,Échéancier!$J$5:$J$300,$C$5,Échéancier!$C$5:$C$300,"&gt;="&amp;B306,Échéancier!$C$5:$C$300,"&lt;"&amp;EDATE(B306,1))</f>
        <v>-841.33</v>
      </c>
      <c r="F306" s="33" t="n">
        <f aca="false">-SUMIFS($D$68:$D$106,$E$68:$E$106,$C$5,$C$68:$C$106,"&gt;="&amp;B306,$C$68:$C$106,"&lt;"&amp;EDATE(B306,1))</f>
        <v>-0</v>
      </c>
      <c r="G306" s="33" t="n">
        <f aca="false">SUMIFS(Journal!$K$5:$K$1004,Journal!$C$5:$C$1004,$C$5,Journal!$A$5:$A$1004,"&gt;="&amp;B306,Journal!$A$5:$A$1004,"&lt;"&amp;MIN(EDATE(B306,1),$C$6+1))</f>
        <v>0</v>
      </c>
      <c r="H306" s="33" t="n">
        <f aca="false">IF(B306&lt;=$C$6,0,($C$12-$C$13/12)*(1+$C$14)^(YEAR(B306)-YEAR($C$6)))</f>
        <v>645.197132321994</v>
      </c>
      <c r="I306" s="33" t="n">
        <f aca="false">SUM(D306:H306)</f>
        <v>-196.132867678006</v>
      </c>
      <c r="J306" s="33" t="n">
        <f aca="false">IF(C306&lt;=$C$22,I306,0)</f>
        <v>0</v>
      </c>
      <c r="K306" s="33" t="n">
        <f aca="false">IF(C306&lt;=$D$22,I306,0)</f>
        <v>0</v>
      </c>
      <c r="L306" s="33" t="n">
        <f aca="false">IF(C306&lt;=$E$22,I306,0)</f>
        <v>0</v>
      </c>
    </row>
    <row r="307" customFormat="false" ht="15" hidden="false" customHeight="true" outlineLevel="0" collapsed="false">
      <c r="B307" s="65" t="n">
        <f aca="false">EDATE(B306,1)</f>
        <v>48335</v>
      </c>
      <c r="C307" s="64" t="n">
        <f aca="false">B307+14</f>
        <v>48349</v>
      </c>
      <c r="D307" s="33" t="n">
        <f aca="false">IF(OR($C$9="",B307&gt;=$C$9),0,$C$10*(1+$C$11)^IF(B307&lt;$C$7,0,DATEDIF($C$7,B307,"y"))*MAX(0,MIN(EDATE(B307,1),$C$9)-MAX(B307,$C$7))/(EDATE(B307,1)-B307))</f>
        <v>0</v>
      </c>
      <c r="E307" s="33" t="n">
        <f aca="false">-SUMIFS(Échéancier!$I$5:$I$300,Échéancier!$J$5:$J$300,$C$5,Échéancier!$C$5:$C$300,"&gt;="&amp;B307,Échéancier!$C$5:$C$300,"&lt;"&amp;EDATE(B307,1))</f>
        <v>-841.33</v>
      </c>
      <c r="F307" s="33" t="n">
        <f aca="false">-SUMIFS($D$68:$D$106,$E$68:$E$106,$C$5,$C$68:$C$106,"&gt;="&amp;B307,$C$68:$C$106,"&lt;"&amp;EDATE(B307,1))</f>
        <v>-0</v>
      </c>
      <c r="G307" s="33" t="n">
        <f aca="false">SUMIFS(Journal!$K$5:$K$1004,Journal!$C$5:$C$1004,$C$5,Journal!$A$5:$A$1004,"&gt;="&amp;B307,Journal!$A$5:$A$1004,"&lt;"&amp;MIN(EDATE(B307,1),$C$6+1))</f>
        <v>0</v>
      </c>
      <c r="H307" s="33" t="n">
        <f aca="false">IF(B307&lt;=$C$6,0,($C$12-$C$13/12)*(1+$C$14)^(YEAR(B307)-YEAR($C$6)))</f>
        <v>645.197132321994</v>
      </c>
      <c r="I307" s="33" t="n">
        <f aca="false">SUM(D307:H307)</f>
        <v>-196.132867678006</v>
      </c>
      <c r="J307" s="33" t="n">
        <f aca="false">IF(C307&lt;=$C$22,I307,0)</f>
        <v>0</v>
      </c>
      <c r="K307" s="33" t="n">
        <f aca="false">IF(C307&lt;=$D$22,I307,0)</f>
        <v>0</v>
      </c>
      <c r="L307" s="33" t="n">
        <f aca="false">IF(C307&lt;=$E$22,I307,0)</f>
        <v>0</v>
      </c>
    </row>
    <row r="308" customFormat="false" ht="15" hidden="false" customHeight="true" outlineLevel="0" collapsed="false">
      <c r="B308" s="65" t="n">
        <f aca="false">EDATE(B307,1)</f>
        <v>48366</v>
      </c>
      <c r="C308" s="64" t="n">
        <f aca="false">B308+14</f>
        <v>48380</v>
      </c>
      <c r="D308" s="33" t="n">
        <f aca="false">IF(OR($C$9="",B308&gt;=$C$9),0,$C$10*(1+$C$11)^IF(B308&lt;$C$7,0,DATEDIF($C$7,B308,"y"))*MAX(0,MIN(EDATE(B308,1),$C$9)-MAX(B308,$C$7))/(EDATE(B308,1)-B308))</f>
        <v>0</v>
      </c>
      <c r="E308" s="33" t="n">
        <f aca="false">-SUMIFS(Échéancier!$I$5:$I$300,Échéancier!$J$5:$J$300,$C$5,Échéancier!$C$5:$C$300,"&gt;="&amp;B308,Échéancier!$C$5:$C$300,"&lt;"&amp;EDATE(B308,1))</f>
        <v>-841.33</v>
      </c>
      <c r="F308" s="33" t="n">
        <f aca="false">-SUMIFS($D$68:$D$106,$E$68:$E$106,$C$5,$C$68:$C$106,"&gt;="&amp;B308,$C$68:$C$106,"&lt;"&amp;EDATE(B308,1))</f>
        <v>-0</v>
      </c>
      <c r="G308" s="33" t="n">
        <f aca="false">SUMIFS(Journal!$K$5:$K$1004,Journal!$C$5:$C$1004,$C$5,Journal!$A$5:$A$1004,"&gt;="&amp;B308,Journal!$A$5:$A$1004,"&lt;"&amp;MIN(EDATE(B308,1),$C$6+1))</f>
        <v>0</v>
      </c>
      <c r="H308" s="33" t="n">
        <f aca="false">IF(B308&lt;=$C$6,0,($C$12-$C$13/12)*(1+$C$14)^(YEAR(B308)-YEAR($C$6)))</f>
        <v>645.197132321994</v>
      </c>
      <c r="I308" s="33" t="n">
        <f aca="false">SUM(D308:H308)</f>
        <v>-196.132867678006</v>
      </c>
      <c r="J308" s="33" t="n">
        <f aca="false">IF(C308&lt;=$C$22,I308,0)</f>
        <v>0</v>
      </c>
      <c r="K308" s="33" t="n">
        <f aca="false">IF(C308&lt;=$D$22,I308,0)</f>
        <v>0</v>
      </c>
      <c r="L308" s="33" t="n">
        <f aca="false">IF(C308&lt;=$E$22,I308,0)</f>
        <v>0</v>
      </c>
    </row>
    <row r="309" customFormat="false" ht="15" hidden="false" customHeight="true" outlineLevel="0" collapsed="false">
      <c r="B309" s="65" t="n">
        <f aca="false">EDATE(B308,1)</f>
        <v>48396</v>
      </c>
      <c r="C309" s="64" t="n">
        <f aca="false">B309+14</f>
        <v>48410</v>
      </c>
      <c r="D309" s="33" t="n">
        <f aca="false">IF(OR($C$9="",B309&gt;=$C$9),0,$C$10*(1+$C$11)^IF(B309&lt;$C$7,0,DATEDIF($C$7,B309,"y"))*MAX(0,MIN(EDATE(B309,1),$C$9)-MAX(B309,$C$7))/(EDATE(B309,1)-B309))</f>
        <v>0</v>
      </c>
      <c r="E309" s="33" t="n">
        <f aca="false">-SUMIFS(Échéancier!$I$5:$I$300,Échéancier!$J$5:$J$300,$C$5,Échéancier!$C$5:$C$300,"&gt;="&amp;B309,Échéancier!$C$5:$C$300,"&lt;"&amp;EDATE(B309,1))</f>
        <v>-841.33</v>
      </c>
      <c r="F309" s="33" t="n">
        <f aca="false">-SUMIFS($D$68:$D$106,$E$68:$E$106,$C$5,$C$68:$C$106,"&gt;="&amp;B309,$C$68:$C$106,"&lt;"&amp;EDATE(B309,1))</f>
        <v>-0</v>
      </c>
      <c r="G309" s="33" t="n">
        <f aca="false">SUMIFS(Journal!$K$5:$K$1004,Journal!$C$5:$C$1004,$C$5,Journal!$A$5:$A$1004,"&gt;="&amp;B309,Journal!$A$5:$A$1004,"&lt;"&amp;MIN(EDATE(B309,1),$C$6+1))</f>
        <v>0</v>
      </c>
      <c r="H309" s="33" t="n">
        <f aca="false">IF(B309&lt;=$C$6,0,($C$12-$C$13/12)*(1+$C$14)^(YEAR(B309)-YEAR($C$6)))</f>
        <v>645.197132321994</v>
      </c>
      <c r="I309" s="33" t="n">
        <f aca="false">SUM(D309:H309)</f>
        <v>-196.132867678006</v>
      </c>
      <c r="J309" s="33" t="n">
        <f aca="false">IF(C309&lt;=$C$22,I309,0)</f>
        <v>0</v>
      </c>
      <c r="K309" s="33" t="n">
        <f aca="false">IF(C309&lt;=$D$22,I309,0)</f>
        <v>0</v>
      </c>
      <c r="L309" s="33" t="n">
        <f aca="false">IF(C309&lt;=$E$22,I309,0)</f>
        <v>0</v>
      </c>
    </row>
    <row r="310" customFormat="false" ht="15" hidden="false" customHeight="true" outlineLevel="0" collapsed="false">
      <c r="B310" s="65" t="n">
        <f aca="false">EDATE(B309,1)</f>
        <v>48427</v>
      </c>
      <c r="C310" s="64" t="n">
        <f aca="false">B310+14</f>
        <v>48441</v>
      </c>
      <c r="D310" s="33" t="n">
        <f aca="false">IF(OR($C$9="",B310&gt;=$C$9),0,$C$10*(1+$C$11)^IF(B310&lt;$C$7,0,DATEDIF($C$7,B310,"y"))*MAX(0,MIN(EDATE(B310,1),$C$9)-MAX(B310,$C$7))/(EDATE(B310,1)-B310))</f>
        <v>0</v>
      </c>
      <c r="E310" s="33" t="n">
        <f aca="false">-SUMIFS(Échéancier!$I$5:$I$300,Échéancier!$J$5:$J$300,$C$5,Échéancier!$C$5:$C$300,"&gt;="&amp;B310,Échéancier!$C$5:$C$300,"&lt;"&amp;EDATE(B310,1))</f>
        <v>-841.33</v>
      </c>
      <c r="F310" s="33" t="n">
        <f aca="false">-SUMIFS($D$68:$D$106,$E$68:$E$106,$C$5,$C$68:$C$106,"&gt;="&amp;B310,$C$68:$C$106,"&lt;"&amp;EDATE(B310,1))</f>
        <v>-0</v>
      </c>
      <c r="G310" s="33" t="n">
        <f aca="false">SUMIFS(Journal!$K$5:$K$1004,Journal!$C$5:$C$1004,$C$5,Journal!$A$5:$A$1004,"&gt;="&amp;B310,Journal!$A$5:$A$1004,"&lt;"&amp;MIN(EDATE(B310,1),$C$6+1))</f>
        <v>0</v>
      </c>
      <c r="H310" s="33" t="n">
        <f aca="false">IF(B310&lt;=$C$6,0,($C$12-$C$13/12)*(1+$C$14)^(YEAR(B310)-YEAR($C$6)))</f>
        <v>645.197132321994</v>
      </c>
      <c r="I310" s="33" t="n">
        <f aca="false">SUM(D310:H310)</f>
        <v>-196.132867678006</v>
      </c>
      <c r="J310" s="33" t="n">
        <f aca="false">IF(C310&lt;=$C$22,I310,0)</f>
        <v>0</v>
      </c>
      <c r="K310" s="33" t="n">
        <f aca="false">IF(C310&lt;=$D$22,I310,0)</f>
        <v>0</v>
      </c>
      <c r="L310" s="33" t="n">
        <f aca="false">IF(C310&lt;=$E$22,I310,0)</f>
        <v>0</v>
      </c>
    </row>
    <row r="311" customFormat="false" ht="15" hidden="false" customHeight="true" outlineLevel="0" collapsed="false">
      <c r="B311" s="65" t="n">
        <f aca="false">EDATE(B310,1)</f>
        <v>48458</v>
      </c>
      <c r="C311" s="64" t="n">
        <f aca="false">B311+14</f>
        <v>48472</v>
      </c>
      <c r="D311" s="33" t="n">
        <f aca="false">IF(OR($C$9="",B311&gt;=$C$9),0,$C$10*(1+$C$11)^IF(B311&lt;$C$7,0,DATEDIF($C$7,B311,"y"))*MAX(0,MIN(EDATE(B311,1),$C$9)-MAX(B311,$C$7))/(EDATE(B311,1)-B311))</f>
        <v>0</v>
      </c>
      <c r="E311" s="33" t="n">
        <f aca="false">-SUMIFS(Échéancier!$I$5:$I$300,Échéancier!$J$5:$J$300,$C$5,Échéancier!$C$5:$C$300,"&gt;="&amp;B311,Échéancier!$C$5:$C$300,"&lt;"&amp;EDATE(B311,1))</f>
        <v>-841.32</v>
      </c>
      <c r="F311" s="33" t="n">
        <f aca="false">-SUMIFS($D$68:$D$106,$E$68:$E$106,$C$5,$C$68:$C$106,"&gt;="&amp;B311,$C$68:$C$106,"&lt;"&amp;EDATE(B311,1))</f>
        <v>-0</v>
      </c>
      <c r="G311" s="33" t="n">
        <f aca="false">SUMIFS(Journal!$K$5:$K$1004,Journal!$C$5:$C$1004,$C$5,Journal!$A$5:$A$1004,"&gt;="&amp;B311,Journal!$A$5:$A$1004,"&lt;"&amp;MIN(EDATE(B311,1),$C$6+1))</f>
        <v>0</v>
      </c>
      <c r="H311" s="33" t="n">
        <f aca="false">IF(B311&lt;=$C$6,0,($C$12-$C$13/12)*(1+$C$14)^(YEAR(B311)-YEAR($C$6)))</f>
        <v>645.197132321994</v>
      </c>
      <c r="I311" s="33" t="n">
        <f aca="false">SUM(D311:H311)</f>
        <v>-196.122867678006</v>
      </c>
      <c r="J311" s="33" t="n">
        <f aca="false">IF(C311&lt;=$C$22,I311,0)</f>
        <v>0</v>
      </c>
      <c r="K311" s="33" t="n">
        <f aca="false">IF(C311&lt;=$D$22,I311,0)</f>
        <v>0</v>
      </c>
      <c r="L311" s="33" t="n">
        <f aca="false">IF(C311&lt;=$E$22,I311,0)</f>
        <v>0</v>
      </c>
    </row>
    <row r="312" customFormat="false" ht="15" hidden="false" customHeight="true" outlineLevel="0" collapsed="false">
      <c r="B312" s="65" t="n">
        <f aca="false">EDATE(B311,1)</f>
        <v>48488</v>
      </c>
      <c r="C312" s="64" t="n">
        <f aca="false">B312+14</f>
        <v>48502</v>
      </c>
      <c r="D312" s="33" t="n">
        <f aca="false">IF(OR($C$9="",B312&gt;=$C$9),0,$C$10*(1+$C$11)^IF(B312&lt;$C$7,0,DATEDIF($C$7,B312,"y"))*MAX(0,MIN(EDATE(B312,1),$C$9)-MAX(B312,$C$7))/(EDATE(B312,1)-B312))</f>
        <v>0</v>
      </c>
      <c r="E312" s="33" t="n">
        <f aca="false">-SUMIFS(Échéancier!$I$5:$I$300,Échéancier!$J$5:$J$300,$C$5,Échéancier!$C$5:$C$300,"&gt;="&amp;B312,Échéancier!$C$5:$C$300,"&lt;"&amp;EDATE(B312,1))</f>
        <v>-841.32</v>
      </c>
      <c r="F312" s="33" t="n">
        <f aca="false">-SUMIFS($D$68:$D$106,$E$68:$E$106,$C$5,$C$68:$C$106,"&gt;="&amp;B312,$C$68:$C$106,"&lt;"&amp;EDATE(B312,1))</f>
        <v>-0</v>
      </c>
      <c r="G312" s="33" t="n">
        <f aca="false">SUMIFS(Journal!$K$5:$K$1004,Journal!$C$5:$C$1004,$C$5,Journal!$A$5:$A$1004,"&gt;="&amp;B312,Journal!$A$5:$A$1004,"&lt;"&amp;MIN(EDATE(B312,1),$C$6+1))</f>
        <v>0</v>
      </c>
      <c r="H312" s="33" t="n">
        <f aca="false">IF(B312&lt;=$C$6,0,($C$12-$C$13/12)*(1+$C$14)^(YEAR(B312)-YEAR($C$6)))</f>
        <v>645.197132321994</v>
      </c>
      <c r="I312" s="33" t="n">
        <f aca="false">SUM(D312:H312)</f>
        <v>-196.122867678006</v>
      </c>
      <c r="J312" s="33" t="n">
        <f aca="false">IF(C312&lt;=$C$22,I312,0)</f>
        <v>0</v>
      </c>
      <c r="K312" s="33" t="n">
        <f aca="false">IF(C312&lt;=$D$22,I312,0)</f>
        <v>0</v>
      </c>
      <c r="L312" s="33" t="n">
        <f aca="false">IF(C312&lt;=$E$22,I312,0)</f>
        <v>0</v>
      </c>
    </row>
    <row r="313" customFormat="false" ht="15" hidden="false" customHeight="true" outlineLevel="0" collapsed="false">
      <c r="B313" s="65" t="n">
        <f aca="false">EDATE(B312,1)</f>
        <v>48519</v>
      </c>
      <c r="C313" s="64" t="n">
        <f aca="false">B313+14</f>
        <v>48533</v>
      </c>
      <c r="D313" s="33" t="n">
        <f aca="false">IF(OR($C$9="",B313&gt;=$C$9),0,$C$10*(1+$C$11)^IF(B313&lt;$C$7,0,DATEDIF($C$7,B313,"y"))*MAX(0,MIN(EDATE(B313,1),$C$9)-MAX(B313,$C$7))/(EDATE(B313,1)-B313))</f>
        <v>0</v>
      </c>
      <c r="E313" s="33" t="n">
        <f aca="false">-SUMIFS(Échéancier!$I$5:$I$300,Échéancier!$J$5:$J$300,$C$5,Échéancier!$C$5:$C$300,"&gt;="&amp;B313,Échéancier!$C$5:$C$300,"&lt;"&amp;EDATE(B313,1))</f>
        <v>-841.32</v>
      </c>
      <c r="F313" s="33" t="n">
        <f aca="false">-SUMIFS($D$68:$D$106,$E$68:$E$106,$C$5,$C$68:$C$106,"&gt;="&amp;B313,$C$68:$C$106,"&lt;"&amp;EDATE(B313,1))</f>
        <v>-0</v>
      </c>
      <c r="G313" s="33" t="n">
        <f aca="false">SUMIFS(Journal!$K$5:$K$1004,Journal!$C$5:$C$1004,$C$5,Journal!$A$5:$A$1004,"&gt;="&amp;B313,Journal!$A$5:$A$1004,"&lt;"&amp;MIN(EDATE(B313,1),$C$6+1))</f>
        <v>0</v>
      </c>
      <c r="H313" s="33" t="n">
        <f aca="false">IF(B313&lt;=$C$6,0,($C$12-$C$13/12)*(1+$C$14)^(YEAR(B313)-YEAR($C$6)))</f>
        <v>645.197132321994</v>
      </c>
      <c r="I313" s="33" t="n">
        <f aca="false">SUM(D313:H313)</f>
        <v>-196.122867678006</v>
      </c>
      <c r="J313" s="33" t="n">
        <f aca="false">IF(C313&lt;=$C$22,I313,0)</f>
        <v>0</v>
      </c>
      <c r="K313" s="33" t="n">
        <f aca="false">IF(C313&lt;=$D$22,I313,0)</f>
        <v>0</v>
      </c>
      <c r="L313" s="33" t="n">
        <f aca="false">IF(C313&lt;=$E$22,I313,0)</f>
        <v>0</v>
      </c>
    </row>
    <row r="314" customFormat="false" ht="15" hidden="false" customHeight="true" outlineLevel="0" collapsed="false">
      <c r="B314" s="65" t="n">
        <f aca="false">EDATE(B313,1)</f>
        <v>48549</v>
      </c>
      <c r="C314" s="64" t="n">
        <f aca="false">B314+14</f>
        <v>48563</v>
      </c>
      <c r="D314" s="33" t="n">
        <f aca="false">IF(OR($C$9="",B314&gt;=$C$9),0,$C$10*(1+$C$11)^IF(B314&lt;$C$7,0,DATEDIF($C$7,B314,"y"))*MAX(0,MIN(EDATE(B314,1),$C$9)-MAX(B314,$C$7))/(EDATE(B314,1)-B314))</f>
        <v>0</v>
      </c>
      <c r="E314" s="33" t="n">
        <f aca="false">-SUMIFS(Échéancier!$I$5:$I$300,Échéancier!$J$5:$J$300,$C$5,Échéancier!$C$5:$C$300,"&gt;="&amp;B314,Échéancier!$C$5:$C$300,"&lt;"&amp;EDATE(B314,1))</f>
        <v>-832.52</v>
      </c>
      <c r="F314" s="33" t="n">
        <f aca="false">-SUMIFS($D$68:$D$106,$E$68:$E$106,$C$5,$C$68:$C$106,"&gt;="&amp;B314,$C$68:$C$106,"&lt;"&amp;EDATE(B314,1))</f>
        <v>-0</v>
      </c>
      <c r="G314" s="33" t="n">
        <f aca="false">SUMIFS(Journal!$K$5:$K$1004,Journal!$C$5:$C$1004,$C$5,Journal!$A$5:$A$1004,"&gt;="&amp;B314,Journal!$A$5:$A$1004,"&lt;"&amp;MIN(EDATE(B314,1),$C$6+1))</f>
        <v>0</v>
      </c>
      <c r="H314" s="33" t="n">
        <f aca="false">IF(B314&lt;=$C$6,0,($C$12-$C$13/12)*(1+$C$14)^(YEAR(B314)-YEAR($C$6)))</f>
        <v>645.197132321994</v>
      </c>
      <c r="I314" s="33" t="n">
        <f aca="false">SUM(D314:H314)</f>
        <v>-187.322867678006</v>
      </c>
      <c r="J314" s="33" t="n">
        <f aca="false">IF(C314&lt;=$C$22,I314,0)</f>
        <v>0</v>
      </c>
      <c r="K314" s="33" t="n">
        <f aca="false">IF(C314&lt;=$D$22,I314,0)</f>
        <v>0</v>
      </c>
      <c r="L314" s="33" t="n">
        <f aca="false">IF(C314&lt;=$E$22,I314,0)</f>
        <v>0</v>
      </c>
    </row>
    <row r="315" customFormat="false" ht="15" hidden="false" customHeight="true" outlineLevel="0" collapsed="false">
      <c r="B315" s="65" t="n">
        <f aca="false">EDATE(B314,1)</f>
        <v>48580</v>
      </c>
      <c r="C315" s="64" t="n">
        <f aca="false">B315+14</f>
        <v>48594</v>
      </c>
      <c r="D315" s="33" t="n">
        <f aca="false">IF(OR($C$9="",B315&gt;=$C$9),0,$C$10*(1+$C$11)^IF(B315&lt;$C$7,0,DATEDIF($C$7,B315,"y"))*MAX(0,MIN(EDATE(B315,1),$C$9)-MAX(B315,$C$7))/(EDATE(B315,1)-B315))</f>
        <v>0</v>
      </c>
      <c r="E315" s="33" t="n">
        <f aca="false">-SUMIFS(Échéancier!$I$5:$I$300,Échéancier!$J$5:$J$300,$C$5,Échéancier!$C$5:$C$300,"&gt;="&amp;B315,Échéancier!$C$5:$C$300,"&lt;"&amp;EDATE(B315,1))</f>
        <v>-832.52</v>
      </c>
      <c r="F315" s="33" t="n">
        <f aca="false">-SUMIFS($D$68:$D$106,$E$68:$E$106,$C$5,$C$68:$C$106,"&gt;="&amp;B315,$C$68:$C$106,"&lt;"&amp;EDATE(B315,1))</f>
        <v>-0</v>
      </c>
      <c r="G315" s="33" t="n">
        <f aca="false">SUMIFS(Journal!$K$5:$K$1004,Journal!$C$5:$C$1004,$C$5,Journal!$A$5:$A$1004,"&gt;="&amp;B315,Journal!$A$5:$A$1004,"&lt;"&amp;MIN(EDATE(B315,1),$C$6+1))</f>
        <v>0</v>
      </c>
      <c r="H315" s="33" t="n">
        <f aca="false">IF(B315&lt;=$C$6,0,($C$12-$C$13/12)*(1+$C$14)^(YEAR(B315)-YEAR($C$6)))</f>
        <v>654.875089306824</v>
      </c>
      <c r="I315" s="33" t="n">
        <f aca="false">SUM(D315:H315)</f>
        <v>-177.644910693176</v>
      </c>
      <c r="J315" s="33" t="n">
        <f aca="false">IF(C315&lt;=$C$22,I315,0)</f>
        <v>0</v>
      </c>
      <c r="K315" s="33" t="n">
        <f aca="false">IF(C315&lt;=$D$22,I315,0)</f>
        <v>0</v>
      </c>
      <c r="L315" s="33" t="n">
        <f aca="false">IF(C315&lt;=$E$22,I315,0)</f>
        <v>0</v>
      </c>
    </row>
    <row r="316" customFormat="false" ht="15" hidden="false" customHeight="true" outlineLevel="0" collapsed="false">
      <c r="B316" s="65" t="n">
        <f aca="false">EDATE(B315,1)</f>
        <v>48611</v>
      </c>
      <c r="C316" s="64" t="n">
        <f aca="false">B316+14</f>
        <v>48625</v>
      </c>
      <c r="D316" s="33" t="n">
        <f aca="false">IF(OR($C$9="",B316&gt;=$C$9),0,$C$10*(1+$C$11)^IF(B316&lt;$C$7,0,DATEDIF($C$7,B316,"y"))*MAX(0,MIN(EDATE(B316,1),$C$9)-MAX(B316,$C$7))/(EDATE(B316,1)-B316))</f>
        <v>0</v>
      </c>
      <c r="E316" s="33" t="n">
        <f aca="false">-SUMIFS(Échéancier!$I$5:$I$300,Échéancier!$J$5:$J$300,$C$5,Échéancier!$C$5:$C$300,"&gt;="&amp;B316,Échéancier!$C$5:$C$300,"&lt;"&amp;EDATE(B316,1))</f>
        <v>-832.52</v>
      </c>
      <c r="F316" s="33" t="n">
        <f aca="false">-SUMIFS($D$68:$D$106,$E$68:$E$106,$C$5,$C$68:$C$106,"&gt;="&amp;B316,$C$68:$C$106,"&lt;"&amp;EDATE(B316,1))</f>
        <v>-0</v>
      </c>
      <c r="G316" s="33" t="n">
        <f aca="false">SUMIFS(Journal!$K$5:$K$1004,Journal!$C$5:$C$1004,$C$5,Journal!$A$5:$A$1004,"&gt;="&amp;B316,Journal!$A$5:$A$1004,"&lt;"&amp;MIN(EDATE(B316,1),$C$6+1))</f>
        <v>0</v>
      </c>
      <c r="H316" s="33" t="n">
        <f aca="false">IF(B316&lt;=$C$6,0,($C$12-$C$13/12)*(1+$C$14)^(YEAR(B316)-YEAR($C$6)))</f>
        <v>654.875089306824</v>
      </c>
      <c r="I316" s="33" t="n">
        <f aca="false">SUM(D316:H316)</f>
        <v>-177.644910693176</v>
      </c>
      <c r="J316" s="33" t="n">
        <f aca="false">IF(C316&lt;=$C$22,I316,0)</f>
        <v>0</v>
      </c>
      <c r="K316" s="33" t="n">
        <f aca="false">IF(C316&lt;=$D$22,I316,0)</f>
        <v>0</v>
      </c>
      <c r="L316" s="33" t="n">
        <f aca="false">IF(C316&lt;=$E$22,I316,0)</f>
        <v>0</v>
      </c>
    </row>
    <row r="317" customFormat="false" ht="15" hidden="false" customHeight="true" outlineLevel="0" collapsed="false">
      <c r="B317" s="65" t="n">
        <f aca="false">EDATE(B316,1)</f>
        <v>48639</v>
      </c>
      <c r="C317" s="64" t="n">
        <f aca="false">B317+14</f>
        <v>48653</v>
      </c>
      <c r="D317" s="33" t="n">
        <f aca="false">IF(OR($C$9="",B317&gt;=$C$9),0,$C$10*(1+$C$11)^IF(B317&lt;$C$7,0,DATEDIF($C$7,B317,"y"))*MAX(0,MIN(EDATE(B317,1),$C$9)-MAX(B317,$C$7))/(EDATE(B317,1)-B317))</f>
        <v>0</v>
      </c>
      <c r="E317" s="33" t="n">
        <f aca="false">-SUMIFS(Échéancier!$I$5:$I$300,Échéancier!$J$5:$J$300,$C$5,Échéancier!$C$5:$C$300,"&gt;="&amp;B317,Échéancier!$C$5:$C$300,"&lt;"&amp;EDATE(B317,1))</f>
        <v>-832.51</v>
      </c>
      <c r="F317" s="33" t="n">
        <f aca="false">-SUMIFS($D$68:$D$106,$E$68:$E$106,$C$5,$C$68:$C$106,"&gt;="&amp;B317,$C$68:$C$106,"&lt;"&amp;EDATE(B317,1))</f>
        <v>-0</v>
      </c>
      <c r="G317" s="33" t="n">
        <f aca="false">SUMIFS(Journal!$K$5:$K$1004,Journal!$C$5:$C$1004,$C$5,Journal!$A$5:$A$1004,"&gt;="&amp;B317,Journal!$A$5:$A$1004,"&lt;"&amp;MIN(EDATE(B317,1),$C$6+1))</f>
        <v>0</v>
      </c>
      <c r="H317" s="33" t="n">
        <f aca="false">IF(B317&lt;=$C$6,0,($C$12-$C$13/12)*(1+$C$14)^(YEAR(B317)-YEAR($C$6)))</f>
        <v>654.875089306824</v>
      </c>
      <c r="I317" s="33" t="n">
        <f aca="false">SUM(D317:H317)</f>
        <v>-177.634910693176</v>
      </c>
      <c r="J317" s="33" t="n">
        <f aca="false">IF(C317&lt;=$C$22,I317,0)</f>
        <v>0</v>
      </c>
      <c r="K317" s="33" t="n">
        <f aca="false">IF(C317&lt;=$D$22,I317,0)</f>
        <v>0</v>
      </c>
      <c r="L317" s="33" t="n">
        <f aca="false">IF(C317&lt;=$E$22,I317,0)</f>
        <v>0</v>
      </c>
    </row>
    <row r="318" customFormat="false" ht="15" hidden="false" customHeight="true" outlineLevel="0" collapsed="false">
      <c r="B318" s="65" t="n">
        <f aca="false">EDATE(B317,1)</f>
        <v>48670</v>
      </c>
      <c r="C318" s="64" t="n">
        <f aca="false">B318+14</f>
        <v>48684</v>
      </c>
      <c r="D318" s="33" t="n">
        <f aca="false">IF(OR($C$9="",B318&gt;=$C$9),0,$C$10*(1+$C$11)^IF(B318&lt;$C$7,0,DATEDIF($C$7,B318,"y"))*MAX(0,MIN(EDATE(B318,1),$C$9)-MAX(B318,$C$7))/(EDATE(B318,1)-B318))</f>
        <v>0</v>
      </c>
      <c r="E318" s="33" t="n">
        <f aca="false">-SUMIFS(Échéancier!$I$5:$I$300,Échéancier!$J$5:$J$300,$C$5,Échéancier!$C$5:$C$300,"&gt;="&amp;B318,Échéancier!$C$5:$C$300,"&lt;"&amp;EDATE(B318,1))</f>
        <v>-832.51</v>
      </c>
      <c r="F318" s="33" t="n">
        <f aca="false">-SUMIFS($D$68:$D$106,$E$68:$E$106,$C$5,$C$68:$C$106,"&gt;="&amp;B318,$C$68:$C$106,"&lt;"&amp;EDATE(B318,1))</f>
        <v>-0</v>
      </c>
      <c r="G318" s="33" t="n">
        <f aca="false">SUMIFS(Journal!$K$5:$K$1004,Journal!$C$5:$C$1004,$C$5,Journal!$A$5:$A$1004,"&gt;="&amp;B318,Journal!$A$5:$A$1004,"&lt;"&amp;MIN(EDATE(B318,1),$C$6+1))</f>
        <v>0</v>
      </c>
      <c r="H318" s="33" t="n">
        <f aca="false">IF(B318&lt;=$C$6,0,($C$12-$C$13/12)*(1+$C$14)^(YEAR(B318)-YEAR($C$6)))</f>
        <v>654.875089306824</v>
      </c>
      <c r="I318" s="33" t="n">
        <f aca="false">SUM(D318:H318)</f>
        <v>-177.634910693176</v>
      </c>
      <c r="J318" s="33" t="n">
        <f aca="false">IF(C318&lt;=$C$22,I318,0)</f>
        <v>0</v>
      </c>
      <c r="K318" s="33" t="n">
        <f aca="false">IF(C318&lt;=$D$22,I318,0)</f>
        <v>0</v>
      </c>
      <c r="L318" s="33" t="n">
        <f aca="false">IF(C318&lt;=$E$22,I318,0)</f>
        <v>0</v>
      </c>
    </row>
    <row r="319" customFormat="false" ht="15" hidden="false" customHeight="true" outlineLevel="0" collapsed="false">
      <c r="B319" s="65" t="n">
        <f aca="false">EDATE(B318,1)</f>
        <v>48700</v>
      </c>
      <c r="C319" s="64" t="n">
        <f aca="false">B319+14</f>
        <v>48714</v>
      </c>
      <c r="D319" s="33" t="n">
        <f aca="false">IF(OR($C$9="",B319&gt;=$C$9),0,$C$10*(1+$C$11)^IF(B319&lt;$C$7,0,DATEDIF($C$7,B319,"y"))*MAX(0,MIN(EDATE(B319,1),$C$9)-MAX(B319,$C$7))/(EDATE(B319,1)-B319))</f>
        <v>0</v>
      </c>
      <c r="E319" s="33" t="n">
        <f aca="false">-SUMIFS(Échéancier!$I$5:$I$300,Échéancier!$J$5:$J$300,$C$5,Échéancier!$C$5:$C$300,"&gt;="&amp;B319,Échéancier!$C$5:$C$300,"&lt;"&amp;EDATE(B319,1))</f>
        <v>-832.52</v>
      </c>
      <c r="F319" s="33" t="n">
        <f aca="false">-SUMIFS($D$68:$D$106,$E$68:$E$106,$C$5,$C$68:$C$106,"&gt;="&amp;B319,$C$68:$C$106,"&lt;"&amp;EDATE(B319,1))</f>
        <v>-0</v>
      </c>
      <c r="G319" s="33" t="n">
        <f aca="false">SUMIFS(Journal!$K$5:$K$1004,Journal!$C$5:$C$1004,$C$5,Journal!$A$5:$A$1004,"&gt;="&amp;B319,Journal!$A$5:$A$1004,"&lt;"&amp;MIN(EDATE(B319,1),$C$6+1))</f>
        <v>0</v>
      </c>
      <c r="H319" s="33" t="n">
        <f aca="false">IF(B319&lt;=$C$6,0,($C$12-$C$13/12)*(1+$C$14)^(YEAR(B319)-YEAR($C$6)))</f>
        <v>654.875089306824</v>
      </c>
      <c r="I319" s="33" t="n">
        <f aca="false">SUM(D319:H319)</f>
        <v>-177.644910693176</v>
      </c>
      <c r="J319" s="33" t="n">
        <f aca="false">IF(C319&lt;=$C$22,I319,0)</f>
        <v>0</v>
      </c>
      <c r="K319" s="33" t="n">
        <f aca="false">IF(C319&lt;=$D$22,I319,0)</f>
        <v>0</v>
      </c>
      <c r="L319" s="33" t="n">
        <f aca="false">IF(C319&lt;=$E$22,I319,0)</f>
        <v>0</v>
      </c>
    </row>
    <row r="320" customFormat="false" ht="15" hidden="false" customHeight="true" outlineLevel="0" collapsed="false">
      <c r="B320" s="65" t="n">
        <f aca="false">EDATE(B319,1)</f>
        <v>48731</v>
      </c>
      <c r="C320" s="64" t="n">
        <f aca="false">B320+14</f>
        <v>48745</v>
      </c>
      <c r="D320" s="33" t="n">
        <f aca="false">IF(OR($C$9="",B320&gt;=$C$9),0,$C$10*(1+$C$11)^IF(B320&lt;$C$7,0,DATEDIF($C$7,B320,"y"))*MAX(0,MIN(EDATE(B320,1),$C$9)-MAX(B320,$C$7))/(EDATE(B320,1)-B320))</f>
        <v>0</v>
      </c>
      <c r="E320" s="33" t="n">
        <f aca="false">-SUMIFS(Échéancier!$I$5:$I$300,Échéancier!$J$5:$J$300,$C$5,Échéancier!$C$5:$C$300,"&gt;="&amp;B320,Échéancier!$C$5:$C$300,"&lt;"&amp;EDATE(B320,1))</f>
        <v>-832.52</v>
      </c>
      <c r="F320" s="33" t="n">
        <f aca="false">-SUMIFS($D$68:$D$106,$E$68:$E$106,$C$5,$C$68:$C$106,"&gt;="&amp;B320,$C$68:$C$106,"&lt;"&amp;EDATE(B320,1))</f>
        <v>-0</v>
      </c>
      <c r="G320" s="33" t="n">
        <f aca="false">SUMIFS(Journal!$K$5:$K$1004,Journal!$C$5:$C$1004,$C$5,Journal!$A$5:$A$1004,"&gt;="&amp;B320,Journal!$A$5:$A$1004,"&lt;"&amp;MIN(EDATE(B320,1),$C$6+1))</f>
        <v>0</v>
      </c>
      <c r="H320" s="33" t="n">
        <f aca="false">IF(B320&lt;=$C$6,0,($C$12-$C$13/12)*(1+$C$14)^(YEAR(B320)-YEAR($C$6)))</f>
        <v>654.875089306824</v>
      </c>
      <c r="I320" s="33" t="n">
        <f aca="false">SUM(D320:H320)</f>
        <v>-177.644910693176</v>
      </c>
      <c r="J320" s="33" t="n">
        <f aca="false">IF(C320&lt;=$C$22,I320,0)</f>
        <v>0</v>
      </c>
      <c r="K320" s="33" t="n">
        <f aca="false">IF(C320&lt;=$D$22,I320,0)</f>
        <v>0</v>
      </c>
      <c r="L320" s="33" t="n">
        <f aca="false">IF(C320&lt;=$E$22,I320,0)</f>
        <v>0</v>
      </c>
    </row>
    <row r="321" customFormat="false" ht="15" hidden="false" customHeight="true" outlineLevel="0" collapsed="false">
      <c r="B321" s="65" t="n">
        <f aca="false">EDATE(B320,1)</f>
        <v>48761</v>
      </c>
      <c r="C321" s="64" t="n">
        <f aca="false">B321+14</f>
        <v>48775</v>
      </c>
      <c r="D321" s="33" t="n">
        <f aca="false">IF(OR($C$9="",B321&gt;=$C$9),0,$C$10*(1+$C$11)^IF(B321&lt;$C$7,0,DATEDIF($C$7,B321,"y"))*MAX(0,MIN(EDATE(B321,1),$C$9)-MAX(B321,$C$7))/(EDATE(B321,1)-B321))</f>
        <v>0</v>
      </c>
      <c r="E321" s="33" t="n">
        <f aca="false">-SUMIFS(Échéancier!$I$5:$I$300,Échéancier!$J$5:$J$300,$C$5,Échéancier!$C$5:$C$300,"&gt;="&amp;B321,Échéancier!$C$5:$C$300,"&lt;"&amp;EDATE(B321,1))</f>
        <v>-832.52</v>
      </c>
      <c r="F321" s="33" t="n">
        <f aca="false">-SUMIFS($D$68:$D$106,$E$68:$E$106,$C$5,$C$68:$C$106,"&gt;="&amp;B321,$C$68:$C$106,"&lt;"&amp;EDATE(B321,1))</f>
        <v>-0</v>
      </c>
      <c r="G321" s="33" t="n">
        <f aca="false">SUMIFS(Journal!$K$5:$K$1004,Journal!$C$5:$C$1004,$C$5,Journal!$A$5:$A$1004,"&gt;="&amp;B321,Journal!$A$5:$A$1004,"&lt;"&amp;MIN(EDATE(B321,1),$C$6+1))</f>
        <v>0</v>
      </c>
      <c r="H321" s="33" t="n">
        <f aca="false">IF(B321&lt;=$C$6,0,($C$12-$C$13/12)*(1+$C$14)^(YEAR(B321)-YEAR($C$6)))</f>
        <v>654.875089306824</v>
      </c>
      <c r="I321" s="33" t="n">
        <f aca="false">SUM(D321:H321)</f>
        <v>-177.644910693176</v>
      </c>
      <c r="J321" s="33" t="n">
        <f aca="false">IF(C321&lt;=$C$22,I321,0)</f>
        <v>0</v>
      </c>
      <c r="K321" s="33" t="n">
        <f aca="false">IF(C321&lt;=$D$22,I321,0)</f>
        <v>0</v>
      </c>
      <c r="L321" s="33" t="n">
        <f aca="false">IF(C321&lt;=$E$22,I321,0)</f>
        <v>0</v>
      </c>
    </row>
    <row r="322" customFormat="false" ht="15" hidden="false" customHeight="true" outlineLevel="0" collapsed="false">
      <c r="B322" s="65" t="n">
        <f aca="false">EDATE(B321,1)</f>
        <v>48792</v>
      </c>
      <c r="C322" s="64" t="n">
        <f aca="false">B322+14</f>
        <v>48806</v>
      </c>
      <c r="D322" s="33" t="n">
        <f aca="false">IF(OR($C$9="",B322&gt;=$C$9),0,$C$10*(1+$C$11)^IF(B322&lt;$C$7,0,DATEDIF($C$7,B322,"y"))*MAX(0,MIN(EDATE(B322,1),$C$9)-MAX(B322,$C$7))/(EDATE(B322,1)-B322))</f>
        <v>0</v>
      </c>
      <c r="E322" s="33" t="n">
        <f aca="false">-SUMIFS(Échéancier!$I$5:$I$300,Échéancier!$J$5:$J$300,$C$5,Échéancier!$C$5:$C$300,"&gt;="&amp;B322,Échéancier!$C$5:$C$300,"&lt;"&amp;EDATE(B322,1))</f>
        <v>-832.51</v>
      </c>
      <c r="F322" s="33" t="n">
        <f aca="false">-SUMIFS($D$68:$D$106,$E$68:$E$106,$C$5,$C$68:$C$106,"&gt;="&amp;B322,$C$68:$C$106,"&lt;"&amp;EDATE(B322,1))</f>
        <v>-0</v>
      </c>
      <c r="G322" s="33" t="n">
        <f aca="false">SUMIFS(Journal!$K$5:$K$1004,Journal!$C$5:$C$1004,$C$5,Journal!$A$5:$A$1004,"&gt;="&amp;B322,Journal!$A$5:$A$1004,"&lt;"&amp;MIN(EDATE(B322,1),$C$6+1))</f>
        <v>0</v>
      </c>
      <c r="H322" s="33" t="n">
        <f aca="false">IF(B322&lt;=$C$6,0,($C$12-$C$13/12)*(1+$C$14)^(YEAR(B322)-YEAR($C$6)))</f>
        <v>654.875089306824</v>
      </c>
      <c r="I322" s="33" t="n">
        <f aca="false">SUM(D322:H322)</f>
        <v>-177.634910693176</v>
      </c>
      <c r="J322" s="33" t="n">
        <f aca="false">IF(C322&lt;=$C$22,I322,0)</f>
        <v>0</v>
      </c>
      <c r="K322" s="33" t="n">
        <f aca="false">IF(C322&lt;=$D$22,I322,0)</f>
        <v>0</v>
      </c>
      <c r="L322" s="33" t="n">
        <f aca="false">IF(C322&lt;=$E$22,I322,0)</f>
        <v>0</v>
      </c>
    </row>
    <row r="323" customFormat="false" ht="15" hidden="false" customHeight="true" outlineLevel="0" collapsed="false">
      <c r="B323" s="65" t="n">
        <f aca="false">EDATE(B322,1)</f>
        <v>48823</v>
      </c>
      <c r="C323" s="64" t="n">
        <f aca="false">B323+14</f>
        <v>48837</v>
      </c>
      <c r="D323" s="33" t="n">
        <f aca="false">IF(OR($C$9="",B323&gt;=$C$9),0,$C$10*(1+$C$11)^IF(B323&lt;$C$7,0,DATEDIF($C$7,B323,"y"))*MAX(0,MIN(EDATE(B323,1),$C$9)-MAX(B323,$C$7))/(EDATE(B323,1)-B323))</f>
        <v>0</v>
      </c>
      <c r="E323" s="33" t="n">
        <f aca="false">-SUMIFS(Échéancier!$I$5:$I$300,Échéancier!$J$5:$J$300,$C$5,Échéancier!$C$5:$C$300,"&gt;="&amp;B323,Échéancier!$C$5:$C$300,"&lt;"&amp;EDATE(B323,1))</f>
        <v>-832.52</v>
      </c>
      <c r="F323" s="33" t="n">
        <f aca="false">-SUMIFS($D$68:$D$106,$E$68:$E$106,$C$5,$C$68:$C$106,"&gt;="&amp;B323,$C$68:$C$106,"&lt;"&amp;EDATE(B323,1))</f>
        <v>-0</v>
      </c>
      <c r="G323" s="33" t="n">
        <f aca="false">SUMIFS(Journal!$K$5:$K$1004,Journal!$C$5:$C$1004,$C$5,Journal!$A$5:$A$1004,"&gt;="&amp;B323,Journal!$A$5:$A$1004,"&lt;"&amp;MIN(EDATE(B323,1),$C$6+1))</f>
        <v>0</v>
      </c>
      <c r="H323" s="33" t="n">
        <f aca="false">IF(B323&lt;=$C$6,0,($C$12-$C$13/12)*(1+$C$14)^(YEAR(B323)-YEAR($C$6)))</f>
        <v>654.875089306824</v>
      </c>
      <c r="I323" s="33" t="n">
        <f aca="false">SUM(D323:H323)</f>
        <v>-177.644910693176</v>
      </c>
      <c r="J323" s="33" t="n">
        <f aca="false">IF(C323&lt;=$C$22,I323,0)</f>
        <v>0</v>
      </c>
      <c r="K323" s="33" t="n">
        <f aca="false">IF(C323&lt;=$D$22,I323,0)</f>
        <v>0</v>
      </c>
      <c r="L323" s="33" t="n">
        <f aca="false">IF(C323&lt;=$E$22,I323,0)</f>
        <v>0</v>
      </c>
    </row>
    <row r="324" customFormat="false" ht="15" hidden="false" customHeight="true" outlineLevel="0" collapsed="false">
      <c r="B324" s="65" t="n">
        <f aca="false">EDATE(B323,1)</f>
        <v>48853</v>
      </c>
      <c r="C324" s="64" t="n">
        <f aca="false">B324+14</f>
        <v>48867</v>
      </c>
      <c r="D324" s="33" t="n">
        <f aca="false">IF(OR($C$9="",B324&gt;=$C$9),0,$C$10*(1+$C$11)^IF(B324&lt;$C$7,0,DATEDIF($C$7,B324,"y"))*MAX(0,MIN(EDATE(B324,1),$C$9)-MAX(B324,$C$7))/(EDATE(B324,1)-B324))</f>
        <v>0</v>
      </c>
      <c r="E324" s="33" t="n">
        <f aca="false">-SUMIFS(Échéancier!$I$5:$I$300,Échéancier!$J$5:$J$300,$C$5,Échéancier!$C$5:$C$300,"&gt;="&amp;B324,Échéancier!$C$5:$C$300,"&lt;"&amp;EDATE(B324,1))</f>
        <v>-832.52</v>
      </c>
      <c r="F324" s="33" t="n">
        <f aca="false">-SUMIFS($D$68:$D$106,$E$68:$E$106,$C$5,$C$68:$C$106,"&gt;="&amp;B324,$C$68:$C$106,"&lt;"&amp;EDATE(B324,1))</f>
        <v>-0</v>
      </c>
      <c r="G324" s="33" t="n">
        <f aca="false">SUMIFS(Journal!$K$5:$K$1004,Journal!$C$5:$C$1004,$C$5,Journal!$A$5:$A$1004,"&gt;="&amp;B324,Journal!$A$5:$A$1004,"&lt;"&amp;MIN(EDATE(B324,1),$C$6+1))</f>
        <v>0</v>
      </c>
      <c r="H324" s="33" t="n">
        <f aca="false">IF(B324&lt;=$C$6,0,($C$12-$C$13/12)*(1+$C$14)^(YEAR(B324)-YEAR($C$6)))</f>
        <v>654.875089306824</v>
      </c>
      <c r="I324" s="33" t="n">
        <f aca="false">SUM(D324:H324)</f>
        <v>-177.644910693176</v>
      </c>
      <c r="J324" s="33" t="n">
        <f aca="false">IF(C324&lt;=$C$22,I324,0)</f>
        <v>0</v>
      </c>
      <c r="K324" s="33" t="n">
        <f aca="false">IF(C324&lt;=$D$22,I324,0)</f>
        <v>0</v>
      </c>
      <c r="L324" s="33" t="n">
        <f aca="false">IF(C324&lt;=$E$22,I324,0)</f>
        <v>0</v>
      </c>
    </row>
    <row r="325" customFormat="false" ht="15" hidden="false" customHeight="true" outlineLevel="0" collapsed="false">
      <c r="B325" s="65" t="n">
        <f aca="false">EDATE(B324,1)</f>
        <v>48884</v>
      </c>
      <c r="C325" s="64" t="n">
        <f aca="false">B325+14</f>
        <v>48898</v>
      </c>
      <c r="D325" s="33" t="n">
        <f aca="false">IF(OR($C$9="",B325&gt;=$C$9),0,$C$10*(1+$C$11)^IF(B325&lt;$C$7,0,DATEDIF($C$7,B325,"y"))*MAX(0,MIN(EDATE(B325,1),$C$9)-MAX(B325,$C$7))/(EDATE(B325,1)-B325))</f>
        <v>0</v>
      </c>
      <c r="E325" s="33" t="n">
        <f aca="false">-SUMIFS(Échéancier!$I$5:$I$300,Échéancier!$J$5:$J$300,$C$5,Échéancier!$C$5:$C$300,"&gt;="&amp;B325,Échéancier!$C$5:$C$300,"&lt;"&amp;EDATE(B325,1))</f>
        <v>-832.52</v>
      </c>
      <c r="F325" s="33" t="n">
        <f aca="false">-SUMIFS($D$68:$D$106,$E$68:$E$106,$C$5,$C$68:$C$106,"&gt;="&amp;B325,$C$68:$C$106,"&lt;"&amp;EDATE(B325,1))</f>
        <v>-0</v>
      </c>
      <c r="G325" s="33" t="n">
        <f aca="false">SUMIFS(Journal!$K$5:$K$1004,Journal!$C$5:$C$1004,$C$5,Journal!$A$5:$A$1004,"&gt;="&amp;B325,Journal!$A$5:$A$1004,"&lt;"&amp;MIN(EDATE(B325,1),$C$6+1))</f>
        <v>0</v>
      </c>
      <c r="H325" s="33" t="n">
        <f aca="false">IF(B325&lt;=$C$6,0,($C$12-$C$13/12)*(1+$C$14)^(YEAR(B325)-YEAR($C$6)))</f>
        <v>654.875089306824</v>
      </c>
      <c r="I325" s="33" t="n">
        <f aca="false">SUM(D325:H325)</f>
        <v>-177.644910693176</v>
      </c>
      <c r="J325" s="33" t="n">
        <f aca="false">IF(C325&lt;=$C$22,I325,0)</f>
        <v>0</v>
      </c>
      <c r="K325" s="33" t="n">
        <f aca="false">IF(C325&lt;=$D$22,I325,0)</f>
        <v>0</v>
      </c>
      <c r="L325" s="33" t="n">
        <f aca="false">IF(C325&lt;=$E$22,I325,0)</f>
        <v>0</v>
      </c>
    </row>
    <row r="326" customFormat="false" ht="15" hidden="false" customHeight="true" outlineLevel="0" collapsed="false">
      <c r="B326" s="65" t="n">
        <f aca="false">EDATE(B325,1)</f>
        <v>48914</v>
      </c>
      <c r="C326" s="64" t="n">
        <f aca="false">B326+14</f>
        <v>48928</v>
      </c>
      <c r="D326" s="33" t="n">
        <f aca="false">IF(OR($C$9="",B326&gt;=$C$9),0,$C$10*(1+$C$11)^IF(B326&lt;$C$7,0,DATEDIF($C$7,B326,"y"))*MAX(0,MIN(EDATE(B326,1),$C$9)-MAX(B326,$C$7))/(EDATE(B326,1)-B326))</f>
        <v>0</v>
      </c>
      <c r="E326" s="33" t="n">
        <f aca="false">-SUMIFS(Échéancier!$I$5:$I$300,Échéancier!$J$5:$J$300,$C$5,Échéancier!$C$5:$C$300,"&gt;="&amp;B326,Échéancier!$C$5:$C$300,"&lt;"&amp;EDATE(B326,1))</f>
        <v>-832.51</v>
      </c>
      <c r="F326" s="33" t="n">
        <f aca="false">-SUMIFS($D$68:$D$106,$E$68:$E$106,$C$5,$C$68:$C$106,"&gt;="&amp;B326,$C$68:$C$106,"&lt;"&amp;EDATE(B326,1))</f>
        <v>-0</v>
      </c>
      <c r="G326" s="33" t="n">
        <f aca="false">SUMIFS(Journal!$K$5:$K$1004,Journal!$C$5:$C$1004,$C$5,Journal!$A$5:$A$1004,"&gt;="&amp;B326,Journal!$A$5:$A$1004,"&lt;"&amp;MIN(EDATE(B326,1),$C$6+1))</f>
        <v>0</v>
      </c>
      <c r="H326" s="33" t="n">
        <f aca="false">IF(B326&lt;=$C$6,0,($C$12-$C$13/12)*(1+$C$14)^(YEAR(B326)-YEAR($C$6)))</f>
        <v>654.875089306824</v>
      </c>
      <c r="I326" s="33" t="n">
        <f aca="false">SUM(D326:H326)</f>
        <v>-177.634910693176</v>
      </c>
      <c r="J326" s="33" t="n">
        <f aca="false">IF(C326&lt;=$C$22,I326,0)</f>
        <v>0</v>
      </c>
      <c r="K326" s="33" t="n">
        <f aca="false">IF(C326&lt;=$D$22,I326,0)</f>
        <v>0</v>
      </c>
      <c r="L326" s="33" t="n">
        <f aca="false">IF(C326&lt;=$E$22,I326,0)</f>
        <v>0</v>
      </c>
    </row>
    <row r="327" customFormat="false" ht="15" hidden="false" customHeight="true" outlineLevel="0" collapsed="false">
      <c r="B327" s="65" t="n">
        <f aca="false">EDATE(B326,1)</f>
        <v>48945</v>
      </c>
      <c r="C327" s="64" t="n">
        <f aca="false">B327+14</f>
        <v>48959</v>
      </c>
      <c r="D327" s="33" t="n">
        <f aca="false">IF(OR($C$9="",B327&gt;=$C$9),0,$C$10*(1+$C$11)^IF(B327&lt;$C$7,0,DATEDIF($C$7,B327,"y"))*MAX(0,MIN(EDATE(B327,1),$C$9)-MAX(B327,$C$7))/(EDATE(B327,1)-B327))</f>
        <v>0</v>
      </c>
      <c r="E327" s="33" t="n">
        <f aca="false">-SUMIFS(Échéancier!$I$5:$I$300,Échéancier!$J$5:$J$300,$C$5,Échéancier!$C$5:$C$300,"&gt;="&amp;B327,Échéancier!$C$5:$C$300,"&lt;"&amp;EDATE(B327,1))</f>
        <v>-832.52</v>
      </c>
      <c r="F327" s="33" t="n">
        <f aca="false">-SUMIFS($D$68:$D$106,$E$68:$E$106,$C$5,$C$68:$C$106,"&gt;="&amp;B327,$C$68:$C$106,"&lt;"&amp;EDATE(B327,1))</f>
        <v>-0</v>
      </c>
      <c r="G327" s="33" t="n">
        <f aca="false">SUMIFS(Journal!$K$5:$K$1004,Journal!$C$5:$C$1004,$C$5,Journal!$A$5:$A$1004,"&gt;="&amp;B327,Journal!$A$5:$A$1004,"&lt;"&amp;MIN(EDATE(B327,1),$C$6+1))</f>
        <v>0</v>
      </c>
      <c r="H327" s="33" t="n">
        <f aca="false">IF(B327&lt;=$C$6,0,($C$12-$C$13/12)*(1+$C$14)^(YEAR(B327)-YEAR($C$6)))</f>
        <v>664.698215646426</v>
      </c>
      <c r="I327" s="33" t="n">
        <f aca="false">SUM(D327:H327)</f>
        <v>-167.821784353574</v>
      </c>
      <c r="J327" s="33" t="n">
        <f aca="false">IF(C327&lt;=$C$22,I327,0)</f>
        <v>0</v>
      </c>
      <c r="K327" s="33" t="n">
        <f aca="false">IF(C327&lt;=$D$22,I327,0)</f>
        <v>0</v>
      </c>
      <c r="L327" s="33" t="n">
        <f aca="false">IF(C327&lt;=$E$22,I327,0)</f>
        <v>0</v>
      </c>
    </row>
    <row r="328" customFormat="false" ht="15" hidden="false" customHeight="true" outlineLevel="0" collapsed="false">
      <c r="B328" s="65" t="n">
        <f aca="false">EDATE(B327,1)</f>
        <v>48976</v>
      </c>
      <c r="C328" s="64" t="n">
        <f aca="false">B328+14</f>
        <v>48990</v>
      </c>
      <c r="D328" s="33" t="n">
        <f aca="false">IF(OR($C$9="",B328&gt;=$C$9),0,$C$10*(1+$C$11)^IF(B328&lt;$C$7,0,DATEDIF($C$7,B328,"y"))*MAX(0,MIN(EDATE(B328,1),$C$9)-MAX(B328,$C$7))/(EDATE(B328,1)-B328))</f>
        <v>0</v>
      </c>
      <c r="E328" s="33" t="n">
        <f aca="false">-SUMIFS(Échéancier!$I$5:$I$300,Échéancier!$J$5:$J$300,$C$5,Échéancier!$C$5:$C$300,"&gt;="&amp;B328,Échéancier!$C$5:$C$300,"&lt;"&amp;EDATE(B328,1))</f>
        <v>-832.52</v>
      </c>
      <c r="F328" s="33" t="n">
        <f aca="false">-SUMIFS($D$68:$D$106,$E$68:$E$106,$C$5,$C$68:$C$106,"&gt;="&amp;B328,$C$68:$C$106,"&lt;"&amp;EDATE(B328,1))</f>
        <v>-0</v>
      </c>
      <c r="G328" s="33" t="n">
        <f aca="false">SUMIFS(Journal!$K$5:$K$1004,Journal!$C$5:$C$1004,$C$5,Journal!$A$5:$A$1004,"&gt;="&amp;B328,Journal!$A$5:$A$1004,"&lt;"&amp;MIN(EDATE(B328,1),$C$6+1))</f>
        <v>0</v>
      </c>
      <c r="H328" s="33" t="n">
        <f aca="false">IF(B328&lt;=$C$6,0,($C$12-$C$13/12)*(1+$C$14)^(YEAR(B328)-YEAR($C$6)))</f>
        <v>664.698215646426</v>
      </c>
      <c r="I328" s="33" t="n">
        <f aca="false">SUM(D328:H328)</f>
        <v>-167.821784353574</v>
      </c>
      <c r="J328" s="33" t="n">
        <f aca="false">IF(C328&lt;=$C$22,I328,0)</f>
        <v>0</v>
      </c>
      <c r="K328" s="33" t="n">
        <f aca="false">IF(C328&lt;=$D$22,I328,0)</f>
        <v>0</v>
      </c>
      <c r="L328" s="33" t="n">
        <f aca="false">IF(C328&lt;=$E$22,I328,0)</f>
        <v>0</v>
      </c>
    </row>
    <row r="329" customFormat="false" ht="15" hidden="false" customHeight="true" outlineLevel="0" collapsed="false">
      <c r="B329" s="65" t="n">
        <f aca="false">EDATE(B328,1)</f>
        <v>49004</v>
      </c>
      <c r="C329" s="64" t="n">
        <f aca="false">B329+14</f>
        <v>49018</v>
      </c>
      <c r="D329" s="33" t="n">
        <f aca="false">IF(OR($C$9="",B329&gt;=$C$9),0,$C$10*(1+$C$11)^IF(B329&lt;$C$7,0,DATEDIF($C$7,B329,"y"))*MAX(0,MIN(EDATE(B329,1),$C$9)-MAX(B329,$C$7))/(EDATE(B329,1)-B329))</f>
        <v>0</v>
      </c>
      <c r="E329" s="33" t="n">
        <f aca="false">-SUMIFS(Échéancier!$I$5:$I$300,Échéancier!$J$5:$J$300,$C$5,Échéancier!$C$5:$C$300,"&gt;="&amp;B329,Échéancier!$C$5:$C$300,"&lt;"&amp;EDATE(B329,1))</f>
        <v>-832.51</v>
      </c>
      <c r="F329" s="33" t="n">
        <f aca="false">-SUMIFS($D$68:$D$106,$E$68:$E$106,$C$5,$C$68:$C$106,"&gt;="&amp;B329,$C$68:$C$106,"&lt;"&amp;EDATE(B329,1))</f>
        <v>-0</v>
      </c>
      <c r="G329" s="33" t="n">
        <f aca="false">SUMIFS(Journal!$K$5:$K$1004,Journal!$C$5:$C$1004,$C$5,Journal!$A$5:$A$1004,"&gt;="&amp;B329,Journal!$A$5:$A$1004,"&lt;"&amp;MIN(EDATE(B329,1),$C$6+1))</f>
        <v>0</v>
      </c>
      <c r="H329" s="33" t="n">
        <f aca="false">IF(B329&lt;=$C$6,0,($C$12-$C$13/12)*(1+$C$14)^(YEAR(B329)-YEAR($C$6)))</f>
        <v>664.698215646426</v>
      </c>
      <c r="I329" s="33" t="n">
        <f aca="false">SUM(D329:H329)</f>
        <v>-167.811784353574</v>
      </c>
      <c r="J329" s="33" t="n">
        <f aca="false">IF(C329&lt;=$C$22,I329,0)</f>
        <v>0</v>
      </c>
      <c r="K329" s="33" t="n">
        <f aca="false">IF(C329&lt;=$D$22,I329,0)</f>
        <v>0</v>
      </c>
      <c r="L329" s="33" t="n">
        <f aca="false">IF(C329&lt;=$E$22,I329,0)</f>
        <v>0</v>
      </c>
    </row>
    <row r="330" customFormat="false" ht="15" hidden="false" customHeight="true" outlineLevel="0" collapsed="false">
      <c r="B330" s="65" t="n">
        <f aca="false">EDATE(B329,1)</f>
        <v>49035</v>
      </c>
      <c r="C330" s="64" t="n">
        <f aca="false">B330+14</f>
        <v>49049</v>
      </c>
      <c r="D330" s="33" t="n">
        <f aca="false">IF(OR($C$9="",B330&gt;=$C$9),0,$C$10*(1+$C$11)^IF(B330&lt;$C$7,0,DATEDIF($C$7,B330,"y"))*MAX(0,MIN(EDATE(B330,1),$C$9)-MAX(B330,$C$7))/(EDATE(B330,1)-B330))</f>
        <v>0</v>
      </c>
      <c r="E330" s="33" t="n">
        <f aca="false">-SUMIFS(Échéancier!$I$5:$I$300,Échéancier!$J$5:$J$300,$C$5,Échéancier!$C$5:$C$300,"&gt;="&amp;B330,Échéancier!$C$5:$C$300,"&lt;"&amp;EDATE(B330,1))</f>
        <v>-832.51</v>
      </c>
      <c r="F330" s="33" t="n">
        <f aca="false">-SUMIFS($D$68:$D$106,$E$68:$E$106,$C$5,$C$68:$C$106,"&gt;="&amp;B330,$C$68:$C$106,"&lt;"&amp;EDATE(B330,1))</f>
        <v>-0</v>
      </c>
      <c r="G330" s="33" t="n">
        <f aca="false">SUMIFS(Journal!$K$5:$K$1004,Journal!$C$5:$C$1004,$C$5,Journal!$A$5:$A$1004,"&gt;="&amp;B330,Journal!$A$5:$A$1004,"&lt;"&amp;MIN(EDATE(B330,1),$C$6+1))</f>
        <v>0</v>
      </c>
      <c r="H330" s="33" t="n">
        <f aca="false">IF(B330&lt;=$C$6,0,($C$12-$C$13/12)*(1+$C$14)^(YEAR(B330)-YEAR($C$6)))</f>
        <v>664.698215646426</v>
      </c>
      <c r="I330" s="33" t="n">
        <f aca="false">SUM(D330:H330)</f>
        <v>-167.811784353574</v>
      </c>
      <c r="J330" s="33" t="n">
        <f aca="false">IF(C330&lt;=$C$22,I330,0)</f>
        <v>0</v>
      </c>
      <c r="K330" s="33" t="n">
        <f aca="false">IF(C330&lt;=$D$22,I330,0)</f>
        <v>0</v>
      </c>
      <c r="L330" s="33" t="n">
        <f aca="false">IF(C330&lt;=$E$22,I330,0)</f>
        <v>0</v>
      </c>
    </row>
    <row r="331" customFormat="false" ht="15" hidden="false" customHeight="true" outlineLevel="0" collapsed="false">
      <c r="B331" s="65" t="n">
        <f aca="false">EDATE(B330,1)</f>
        <v>49065</v>
      </c>
      <c r="C331" s="64" t="n">
        <f aca="false">B331+14</f>
        <v>49079</v>
      </c>
      <c r="D331" s="33" t="n">
        <f aca="false">IF(OR($C$9="",B331&gt;=$C$9),0,$C$10*(1+$C$11)^IF(B331&lt;$C$7,0,DATEDIF($C$7,B331,"y"))*MAX(0,MIN(EDATE(B331,1),$C$9)-MAX(B331,$C$7))/(EDATE(B331,1)-B331))</f>
        <v>0</v>
      </c>
      <c r="E331" s="33" t="n">
        <f aca="false">-SUMIFS(Échéancier!$I$5:$I$300,Échéancier!$J$5:$J$300,$C$5,Échéancier!$C$5:$C$300,"&gt;="&amp;B331,Échéancier!$C$5:$C$300,"&lt;"&amp;EDATE(B331,1))</f>
        <v>-832.52</v>
      </c>
      <c r="F331" s="33" t="n">
        <f aca="false">-SUMIFS($D$68:$D$106,$E$68:$E$106,$C$5,$C$68:$C$106,"&gt;="&amp;B331,$C$68:$C$106,"&lt;"&amp;EDATE(B331,1))</f>
        <v>-0</v>
      </c>
      <c r="G331" s="33" t="n">
        <f aca="false">SUMIFS(Journal!$K$5:$K$1004,Journal!$C$5:$C$1004,$C$5,Journal!$A$5:$A$1004,"&gt;="&amp;B331,Journal!$A$5:$A$1004,"&lt;"&amp;MIN(EDATE(B331,1),$C$6+1))</f>
        <v>0</v>
      </c>
      <c r="H331" s="33" t="n">
        <f aca="false">IF(B331&lt;=$C$6,0,($C$12-$C$13/12)*(1+$C$14)^(YEAR(B331)-YEAR($C$6)))</f>
        <v>664.698215646426</v>
      </c>
      <c r="I331" s="33" t="n">
        <f aca="false">SUM(D331:H331)</f>
        <v>-167.821784353574</v>
      </c>
      <c r="J331" s="33" t="n">
        <f aca="false">IF(C331&lt;=$C$22,I331,0)</f>
        <v>0</v>
      </c>
      <c r="K331" s="33" t="n">
        <f aca="false">IF(C331&lt;=$D$22,I331,0)</f>
        <v>0</v>
      </c>
      <c r="L331" s="33" t="n">
        <f aca="false">IF(C331&lt;=$E$22,I331,0)</f>
        <v>0</v>
      </c>
    </row>
    <row r="332" customFormat="false" ht="15" hidden="false" customHeight="true" outlineLevel="0" collapsed="false">
      <c r="B332" s="65" t="n">
        <f aca="false">EDATE(B331,1)</f>
        <v>49096</v>
      </c>
      <c r="C332" s="64" t="n">
        <f aca="false">B332+14</f>
        <v>49110</v>
      </c>
      <c r="D332" s="33" t="n">
        <f aca="false">IF(OR($C$9="",B332&gt;=$C$9),0,$C$10*(1+$C$11)^IF(B332&lt;$C$7,0,DATEDIF($C$7,B332,"y"))*MAX(0,MIN(EDATE(B332,1),$C$9)-MAX(B332,$C$7))/(EDATE(B332,1)-B332))</f>
        <v>0</v>
      </c>
      <c r="E332" s="33" t="n">
        <f aca="false">-SUMIFS(Échéancier!$I$5:$I$300,Échéancier!$J$5:$J$300,$C$5,Échéancier!$C$5:$C$300,"&gt;="&amp;B332,Échéancier!$C$5:$C$300,"&lt;"&amp;EDATE(B332,1))</f>
        <v>-832.52</v>
      </c>
      <c r="F332" s="33" t="n">
        <f aca="false">-SUMIFS($D$68:$D$106,$E$68:$E$106,$C$5,$C$68:$C$106,"&gt;="&amp;B332,$C$68:$C$106,"&lt;"&amp;EDATE(B332,1))</f>
        <v>-0</v>
      </c>
      <c r="G332" s="33" t="n">
        <f aca="false">SUMIFS(Journal!$K$5:$K$1004,Journal!$C$5:$C$1004,$C$5,Journal!$A$5:$A$1004,"&gt;="&amp;B332,Journal!$A$5:$A$1004,"&lt;"&amp;MIN(EDATE(B332,1),$C$6+1))</f>
        <v>0</v>
      </c>
      <c r="H332" s="33" t="n">
        <f aca="false">IF(B332&lt;=$C$6,0,($C$12-$C$13/12)*(1+$C$14)^(YEAR(B332)-YEAR($C$6)))</f>
        <v>664.698215646426</v>
      </c>
      <c r="I332" s="33" t="n">
        <f aca="false">SUM(D332:H332)</f>
        <v>-167.821784353574</v>
      </c>
      <c r="J332" s="33" t="n">
        <f aca="false">IF(C332&lt;=$C$22,I332,0)</f>
        <v>0</v>
      </c>
      <c r="K332" s="33" t="n">
        <f aca="false">IF(C332&lt;=$D$22,I332,0)</f>
        <v>0</v>
      </c>
      <c r="L332" s="33" t="n">
        <f aca="false">IF(C332&lt;=$E$22,I332,0)</f>
        <v>0</v>
      </c>
    </row>
    <row r="333" customFormat="false" ht="15" hidden="false" customHeight="true" outlineLevel="0" collapsed="false">
      <c r="B333" s="65" t="n">
        <f aca="false">EDATE(B332,1)</f>
        <v>49126</v>
      </c>
      <c r="C333" s="64" t="n">
        <f aca="false">B333+14</f>
        <v>49140</v>
      </c>
      <c r="D333" s="33" t="n">
        <f aca="false">IF(OR($C$9="",B333&gt;=$C$9),0,$C$10*(1+$C$11)^IF(B333&lt;$C$7,0,DATEDIF($C$7,B333,"y"))*MAX(0,MIN(EDATE(B333,1),$C$9)-MAX(B333,$C$7))/(EDATE(B333,1)-B333))</f>
        <v>0</v>
      </c>
      <c r="E333" s="33" t="n">
        <f aca="false">-SUMIFS(Échéancier!$I$5:$I$300,Échéancier!$J$5:$J$300,$C$5,Échéancier!$C$5:$C$300,"&gt;="&amp;B333,Échéancier!$C$5:$C$300,"&lt;"&amp;EDATE(B333,1))</f>
        <v>-832.51</v>
      </c>
      <c r="F333" s="33" t="n">
        <f aca="false">-SUMIFS($D$68:$D$106,$E$68:$E$106,$C$5,$C$68:$C$106,"&gt;="&amp;B333,$C$68:$C$106,"&lt;"&amp;EDATE(B333,1))</f>
        <v>-0</v>
      </c>
      <c r="G333" s="33" t="n">
        <f aca="false">SUMIFS(Journal!$K$5:$K$1004,Journal!$C$5:$C$1004,$C$5,Journal!$A$5:$A$1004,"&gt;="&amp;B333,Journal!$A$5:$A$1004,"&lt;"&amp;MIN(EDATE(B333,1),$C$6+1))</f>
        <v>0</v>
      </c>
      <c r="H333" s="33" t="n">
        <f aca="false">IF(B333&lt;=$C$6,0,($C$12-$C$13/12)*(1+$C$14)^(YEAR(B333)-YEAR($C$6)))</f>
        <v>664.698215646426</v>
      </c>
      <c r="I333" s="33" t="n">
        <f aca="false">SUM(D333:H333)</f>
        <v>-167.811784353574</v>
      </c>
      <c r="J333" s="33" t="n">
        <f aca="false">IF(C333&lt;=$C$22,I333,0)</f>
        <v>0</v>
      </c>
      <c r="K333" s="33" t="n">
        <f aca="false">IF(C333&lt;=$D$22,I333,0)</f>
        <v>0</v>
      </c>
      <c r="L333" s="33" t="n">
        <f aca="false">IF(C333&lt;=$E$22,I333,0)</f>
        <v>0</v>
      </c>
    </row>
    <row r="334" customFormat="false" ht="15" hidden="false" customHeight="true" outlineLevel="0" collapsed="false">
      <c r="B334" s="65" t="n">
        <f aca="false">EDATE(B333,1)</f>
        <v>49157</v>
      </c>
      <c r="C334" s="64" t="n">
        <f aca="false">B334+14</f>
        <v>49171</v>
      </c>
      <c r="D334" s="33" t="n">
        <f aca="false">IF(OR($C$9="",B334&gt;=$C$9),0,$C$10*(1+$C$11)^IF(B334&lt;$C$7,0,DATEDIF($C$7,B334,"y"))*MAX(0,MIN(EDATE(B334,1),$C$9)-MAX(B334,$C$7))/(EDATE(B334,1)-B334))</f>
        <v>0</v>
      </c>
      <c r="E334" s="33" t="n">
        <f aca="false">-SUMIFS(Échéancier!$I$5:$I$300,Échéancier!$J$5:$J$300,$C$5,Échéancier!$C$5:$C$300,"&gt;="&amp;B334,Échéancier!$C$5:$C$300,"&lt;"&amp;EDATE(B334,1))</f>
        <v>-832.52</v>
      </c>
      <c r="F334" s="33" t="n">
        <f aca="false">-SUMIFS($D$68:$D$106,$E$68:$E$106,$C$5,$C$68:$C$106,"&gt;="&amp;B334,$C$68:$C$106,"&lt;"&amp;EDATE(B334,1))</f>
        <v>-0</v>
      </c>
      <c r="G334" s="33" t="n">
        <f aca="false">SUMIFS(Journal!$K$5:$K$1004,Journal!$C$5:$C$1004,$C$5,Journal!$A$5:$A$1004,"&gt;="&amp;B334,Journal!$A$5:$A$1004,"&lt;"&amp;MIN(EDATE(B334,1),$C$6+1))</f>
        <v>0</v>
      </c>
      <c r="H334" s="33" t="n">
        <f aca="false">IF(B334&lt;=$C$6,0,($C$12-$C$13/12)*(1+$C$14)^(YEAR(B334)-YEAR($C$6)))</f>
        <v>664.698215646426</v>
      </c>
      <c r="I334" s="33" t="n">
        <f aca="false">SUM(D334:H334)</f>
        <v>-167.821784353574</v>
      </c>
      <c r="J334" s="33" t="n">
        <f aca="false">IF(C334&lt;=$C$22,I334,0)</f>
        <v>0</v>
      </c>
      <c r="K334" s="33" t="n">
        <f aca="false">IF(C334&lt;=$D$22,I334,0)</f>
        <v>0</v>
      </c>
      <c r="L334" s="33" t="n">
        <f aca="false">IF(C334&lt;=$E$22,I334,0)</f>
        <v>0</v>
      </c>
    </row>
    <row r="335" customFormat="false" ht="15" hidden="false" customHeight="true" outlineLevel="0" collapsed="false">
      <c r="B335" s="65" t="n">
        <f aca="false">EDATE(B334,1)</f>
        <v>49188</v>
      </c>
      <c r="C335" s="64" t="n">
        <f aca="false">B335+14</f>
        <v>49202</v>
      </c>
      <c r="D335" s="33" t="n">
        <f aca="false">IF(OR($C$9="",B335&gt;=$C$9),0,$C$10*(1+$C$11)^IF(B335&lt;$C$7,0,DATEDIF($C$7,B335,"y"))*MAX(0,MIN(EDATE(B335,1),$C$9)-MAX(B335,$C$7))/(EDATE(B335,1)-B335))</f>
        <v>0</v>
      </c>
      <c r="E335" s="33" t="n">
        <f aca="false">-SUMIFS(Échéancier!$I$5:$I$300,Échéancier!$J$5:$J$300,$C$5,Échéancier!$C$5:$C$300,"&gt;="&amp;B335,Échéancier!$C$5:$C$300,"&lt;"&amp;EDATE(B335,1))</f>
        <v>-832.52</v>
      </c>
      <c r="F335" s="33" t="n">
        <f aca="false">-SUMIFS($D$68:$D$106,$E$68:$E$106,$C$5,$C$68:$C$106,"&gt;="&amp;B335,$C$68:$C$106,"&lt;"&amp;EDATE(B335,1))</f>
        <v>-0</v>
      </c>
      <c r="G335" s="33" t="n">
        <f aca="false">SUMIFS(Journal!$K$5:$K$1004,Journal!$C$5:$C$1004,$C$5,Journal!$A$5:$A$1004,"&gt;="&amp;B335,Journal!$A$5:$A$1004,"&lt;"&amp;MIN(EDATE(B335,1),$C$6+1))</f>
        <v>0</v>
      </c>
      <c r="H335" s="33" t="n">
        <f aca="false">IF(B335&lt;=$C$6,0,($C$12-$C$13/12)*(1+$C$14)^(YEAR(B335)-YEAR($C$6)))</f>
        <v>664.698215646426</v>
      </c>
      <c r="I335" s="33" t="n">
        <f aca="false">SUM(D335:H335)</f>
        <v>-167.821784353574</v>
      </c>
      <c r="J335" s="33" t="n">
        <f aca="false">IF(C335&lt;=$C$22,I335,0)</f>
        <v>0</v>
      </c>
      <c r="K335" s="33" t="n">
        <f aca="false">IF(C335&lt;=$D$22,I335,0)</f>
        <v>0</v>
      </c>
      <c r="L335" s="33" t="n">
        <f aca="false">IF(C335&lt;=$E$22,I335,0)</f>
        <v>0</v>
      </c>
    </row>
    <row r="336" customFormat="false" ht="15" hidden="false" customHeight="true" outlineLevel="0" collapsed="false">
      <c r="B336" s="65" t="n">
        <f aca="false">EDATE(B335,1)</f>
        <v>49218</v>
      </c>
      <c r="C336" s="64" t="n">
        <f aca="false">B336+14</f>
        <v>49232</v>
      </c>
      <c r="D336" s="33" t="n">
        <f aca="false">IF(OR($C$9="",B336&gt;=$C$9),0,$C$10*(1+$C$11)^IF(B336&lt;$C$7,0,DATEDIF($C$7,B336,"y"))*MAX(0,MIN(EDATE(B336,1),$C$9)-MAX(B336,$C$7))/(EDATE(B336,1)-B336))</f>
        <v>0</v>
      </c>
      <c r="E336" s="33" t="n">
        <f aca="false">-SUMIFS(Échéancier!$I$5:$I$300,Échéancier!$J$5:$J$300,$C$5,Échéancier!$C$5:$C$300,"&gt;="&amp;B336,Échéancier!$C$5:$C$300,"&lt;"&amp;EDATE(B336,1))</f>
        <v>-832.51</v>
      </c>
      <c r="F336" s="33" t="n">
        <f aca="false">-SUMIFS($D$68:$D$106,$E$68:$E$106,$C$5,$C$68:$C$106,"&gt;="&amp;B336,$C$68:$C$106,"&lt;"&amp;EDATE(B336,1))</f>
        <v>-0</v>
      </c>
      <c r="G336" s="33" t="n">
        <f aca="false">SUMIFS(Journal!$K$5:$K$1004,Journal!$C$5:$C$1004,$C$5,Journal!$A$5:$A$1004,"&gt;="&amp;B336,Journal!$A$5:$A$1004,"&lt;"&amp;MIN(EDATE(B336,1),$C$6+1))</f>
        <v>0</v>
      </c>
      <c r="H336" s="33" t="n">
        <f aca="false">IF(B336&lt;=$C$6,0,($C$12-$C$13/12)*(1+$C$14)^(YEAR(B336)-YEAR($C$6)))</f>
        <v>664.698215646426</v>
      </c>
      <c r="I336" s="33" t="n">
        <f aca="false">SUM(D336:H336)</f>
        <v>-167.811784353574</v>
      </c>
      <c r="J336" s="33" t="n">
        <f aca="false">IF(C336&lt;=$C$22,I336,0)</f>
        <v>0</v>
      </c>
      <c r="K336" s="33" t="n">
        <f aca="false">IF(C336&lt;=$D$22,I336,0)</f>
        <v>0</v>
      </c>
      <c r="L336" s="33" t="n">
        <f aca="false">IF(C336&lt;=$E$22,I336,0)</f>
        <v>0</v>
      </c>
    </row>
    <row r="337" customFormat="false" ht="15" hidden="false" customHeight="true" outlineLevel="0" collapsed="false">
      <c r="B337" s="65" t="n">
        <f aca="false">EDATE(B336,1)</f>
        <v>49249</v>
      </c>
      <c r="C337" s="64" t="n">
        <f aca="false">B337+14</f>
        <v>49263</v>
      </c>
      <c r="D337" s="33" t="n">
        <f aca="false">IF(OR($C$9="",B337&gt;=$C$9),0,$C$10*(1+$C$11)^IF(B337&lt;$C$7,0,DATEDIF($C$7,B337,"y"))*MAX(0,MIN(EDATE(B337,1),$C$9)-MAX(B337,$C$7))/(EDATE(B337,1)-B337))</f>
        <v>0</v>
      </c>
      <c r="E337" s="33" t="n">
        <f aca="false">-SUMIFS(Échéancier!$I$5:$I$300,Échéancier!$J$5:$J$300,$C$5,Échéancier!$C$5:$C$300,"&gt;="&amp;B337,Échéancier!$C$5:$C$300,"&lt;"&amp;EDATE(B337,1))</f>
        <v>-832.52</v>
      </c>
      <c r="F337" s="33" t="n">
        <f aca="false">-SUMIFS($D$68:$D$106,$E$68:$E$106,$C$5,$C$68:$C$106,"&gt;="&amp;B337,$C$68:$C$106,"&lt;"&amp;EDATE(B337,1))</f>
        <v>-0</v>
      </c>
      <c r="G337" s="33" t="n">
        <f aca="false">SUMIFS(Journal!$K$5:$K$1004,Journal!$C$5:$C$1004,$C$5,Journal!$A$5:$A$1004,"&gt;="&amp;B337,Journal!$A$5:$A$1004,"&lt;"&amp;MIN(EDATE(B337,1),$C$6+1))</f>
        <v>0</v>
      </c>
      <c r="H337" s="33" t="n">
        <f aca="false">IF(B337&lt;=$C$6,0,($C$12-$C$13/12)*(1+$C$14)^(YEAR(B337)-YEAR($C$6)))</f>
        <v>664.698215646426</v>
      </c>
      <c r="I337" s="33" t="n">
        <f aca="false">SUM(D337:H337)</f>
        <v>-167.821784353574</v>
      </c>
      <c r="J337" s="33" t="n">
        <f aca="false">IF(C337&lt;=$C$22,I337,0)</f>
        <v>0</v>
      </c>
      <c r="K337" s="33" t="n">
        <f aca="false">IF(C337&lt;=$D$22,I337,0)</f>
        <v>0</v>
      </c>
      <c r="L337" s="33" t="n">
        <f aca="false">IF(C337&lt;=$E$22,I337,0)</f>
        <v>0</v>
      </c>
    </row>
    <row r="338" customFormat="false" ht="15" hidden="false" customHeight="true" outlineLevel="0" collapsed="false">
      <c r="B338" s="65" t="n">
        <f aca="false">EDATE(B337,1)</f>
        <v>49279</v>
      </c>
      <c r="C338" s="64" t="n">
        <f aca="false">B338+14</f>
        <v>49293</v>
      </c>
      <c r="D338" s="33" t="n">
        <f aca="false">IF(OR($C$9="",B338&gt;=$C$9),0,$C$10*(1+$C$11)^IF(B338&lt;$C$7,0,DATEDIF($C$7,B338,"y"))*MAX(0,MIN(EDATE(B338,1),$C$9)-MAX(B338,$C$7))/(EDATE(B338,1)-B338))</f>
        <v>0</v>
      </c>
      <c r="E338" s="33" t="n">
        <f aca="false">-SUMIFS(Échéancier!$I$5:$I$300,Échéancier!$J$5:$J$300,$C$5,Échéancier!$C$5:$C$300,"&gt;="&amp;B338,Échéancier!$C$5:$C$300,"&lt;"&amp;EDATE(B338,1))</f>
        <v>-832.51</v>
      </c>
      <c r="F338" s="33" t="n">
        <f aca="false">-SUMIFS($D$68:$D$106,$E$68:$E$106,$C$5,$C$68:$C$106,"&gt;="&amp;B338,$C$68:$C$106,"&lt;"&amp;EDATE(B338,1))</f>
        <v>-0</v>
      </c>
      <c r="G338" s="33" t="n">
        <f aca="false">SUMIFS(Journal!$K$5:$K$1004,Journal!$C$5:$C$1004,$C$5,Journal!$A$5:$A$1004,"&gt;="&amp;B338,Journal!$A$5:$A$1004,"&lt;"&amp;MIN(EDATE(B338,1),$C$6+1))</f>
        <v>0</v>
      </c>
      <c r="H338" s="33" t="n">
        <f aca="false">IF(B338&lt;=$C$6,0,($C$12-$C$13/12)*(1+$C$14)^(YEAR(B338)-YEAR($C$6)))</f>
        <v>664.698215646426</v>
      </c>
      <c r="I338" s="33" t="n">
        <f aca="false">SUM(D338:H338)</f>
        <v>-167.811784353574</v>
      </c>
      <c r="J338" s="33" t="n">
        <f aca="false">IF(C338&lt;=$C$22,I338,0)</f>
        <v>0</v>
      </c>
      <c r="K338" s="33" t="n">
        <f aca="false">IF(C338&lt;=$D$22,I338,0)</f>
        <v>0</v>
      </c>
      <c r="L338" s="33" t="n">
        <f aca="false">IF(C338&lt;=$E$22,I338,0)</f>
        <v>0</v>
      </c>
    </row>
    <row r="339" customFormat="false" ht="15" hidden="false" customHeight="true" outlineLevel="0" collapsed="false">
      <c r="B339" s="65" t="n">
        <f aca="false">EDATE(B338,1)</f>
        <v>49310</v>
      </c>
      <c r="C339" s="64" t="n">
        <f aca="false">B339+14</f>
        <v>49324</v>
      </c>
      <c r="D339" s="33" t="n">
        <f aca="false">IF(OR($C$9="",B339&gt;=$C$9),0,$C$10*(1+$C$11)^IF(B339&lt;$C$7,0,DATEDIF($C$7,B339,"y"))*MAX(0,MIN(EDATE(B339,1),$C$9)-MAX(B339,$C$7))/(EDATE(B339,1)-B339))</f>
        <v>0</v>
      </c>
      <c r="E339" s="33" t="n">
        <f aca="false">-SUMIFS(Échéancier!$I$5:$I$300,Échéancier!$J$5:$J$300,$C$5,Échéancier!$C$5:$C$300,"&gt;="&amp;B339,Échéancier!$C$5:$C$300,"&lt;"&amp;EDATE(B339,1))</f>
        <v>-832.52</v>
      </c>
      <c r="F339" s="33" t="n">
        <f aca="false">-SUMIFS($D$68:$D$106,$E$68:$E$106,$C$5,$C$68:$C$106,"&gt;="&amp;B339,$C$68:$C$106,"&lt;"&amp;EDATE(B339,1))</f>
        <v>-0</v>
      </c>
      <c r="G339" s="33" t="n">
        <f aca="false">SUMIFS(Journal!$K$5:$K$1004,Journal!$C$5:$C$1004,$C$5,Journal!$A$5:$A$1004,"&gt;="&amp;B339,Journal!$A$5:$A$1004,"&lt;"&amp;MIN(EDATE(B339,1),$C$6+1))</f>
        <v>0</v>
      </c>
      <c r="H339" s="33" t="n">
        <f aca="false">IF(B339&lt;=$C$6,0,($C$12-$C$13/12)*(1+$C$14)^(YEAR(B339)-YEAR($C$6)))</f>
        <v>674.668688881123</v>
      </c>
      <c r="I339" s="33" t="n">
        <f aca="false">SUM(D339:H339)</f>
        <v>-157.851311118877</v>
      </c>
      <c r="J339" s="33" t="n">
        <f aca="false">IF(C339&lt;=$C$22,I339,0)</f>
        <v>0</v>
      </c>
      <c r="K339" s="33" t="n">
        <f aca="false">IF(C339&lt;=$D$22,I339,0)</f>
        <v>0</v>
      </c>
      <c r="L339" s="33" t="n">
        <f aca="false">IF(C339&lt;=$E$22,I339,0)</f>
        <v>0</v>
      </c>
    </row>
    <row r="340" customFormat="false" ht="15" hidden="false" customHeight="true" outlineLevel="0" collapsed="false">
      <c r="B340" s="65" t="n">
        <f aca="false">EDATE(B339,1)</f>
        <v>49341</v>
      </c>
      <c r="C340" s="64" t="n">
        <f aca="false">B340+14</f>
        <v>49355</v>
      </c>
      <c r="D340" s="33" t="n">
        <f aca="false">IF(OR($C$9="",B340&gt;=$C$9),0,$C$10*(1+$C$11)^IF(B340&lt;$C$7,0,DATEDIF($C$7,B340,"y"))*MAX(0,MIN(EDATE(B340,1),$C$9)-MAX(B340,$C$7))/(EDATE(B340,1)-B340))</f>
        <v>0</v>
      </c>
      <c r="E340" s="33" t="n">
        <f aca="false">-SUMIFS(Échéancier!$I$5:$I$300,Échéancier!$J$5:$J$300,$C$5,Échéancier!$C$5:$C$300,"&gt;="&amp;B340,Échéancier!$C$5:$C$300,"&lt;"&amp;EDATE(B340,1))</f>
        <v>-832.52</v>
      </c>
      <c r="F340" s="33" t="n">
        <f aca="false">-SUMIFS($D$68:$D$106,$E$68:$E$106,$C$5,$C$68:$C$106,"&gt;="&amp;B340,$C$68:$C$106,"&lt;"&amp;EDATE(B340,1))</f>
        <v>-0</v>
      </c>
      <c r="G340" s="33" t="n">
        <f aca="false">SUMIFS(Journal!$K$5:$K$1004,Journal!$C$5:$C$1004,$C$5,Journal!$A$5:$A$1004,"&gt;="&amp;B340,Journal!$A$5:$A$1004,"&lt;"&amp;MIN(EDATE(B340,1),$C$6+1))</f>
        <v>0</v>
      </c>
      <c r="H340" s="33" t="n">
        <f aca="false">IF(B340&lt;=$C$6,0,($C$12-$C$13/12)*(1+$C$14)^(YEAR(B340)-YEAR($C$6)))</f>
        <v>674.668688881123</v>
      </c>
      <c r="I340" s="33" t="n">
        <f aca="false">SUM(D340:H340)</f>
        <v>-157.851311118877</v>
      </c>
      <c r="J340" s="33" t="n">
        <f aca="false">IF(C340&lt;=$C$22,I340,0)</f>
        <v>0</v>
      </c>
      <c r="K340" s="33" t="n">
        <f aca="false">IF(C340&lt;=$D$22,I340,0)</f>
        <v>0</v>
      </c>
      <c r="L340" s="33" t="n">
        <f aca="false">IF(C340&lt;=$E$22,I340,0)</f>
        <v>0</v>
      </c>
    </row>
    <row r="341" customFormat="false" ht="15" hidden="false" customHeight="true" outlineLevel="0" collapsed="false">
      <c r="B341" s="65" t="n">
        <f aca="false">EDATE(B340,1)</f>
        <v>49369</v>
      </c>
      <c r="C341" s="64" t="n">
        <f aca="false">B341+14</f>
        <v>49383</v>
      </c>
      <c r="D341" s="33" t="n">
        <f aca="false">IF(OR($C$9="",B341&gt;=$C$9),0,$C$10*(1+$C$11)^IF(B341&lt;$C$7,0,DATEDIF($C$7,B341,"y"))*MAX(0,MIN(EDATE(B341,1),$C$9)-MAX(B341,$C$7))/(EDATE(B341,1)-B341))</f>
        <v>0</v>
      </c>
      <c r="E341" s="33" t="n">
        <f aca="false">-SUMIFS(Échéancier!$I$5:$I$300,Échéancier!$J$5:$J$300,$C$5,Échéancier!$C$5:$C$300,"&gt;="&amp;B341,Échéancier!$C$5:$C$300,"&lt;"&amp;EDATE(B341,1))</f>
        <v>-832.51</v>
      </c>
      <c r="F341" s="33" t="n">
        <f aca="false">-SUMIFS($D$68:$D$106,$E$68:$E$106,$C$5,$C$68:$C$106,"&gt;="&amp;B341,$C$68:$C$106,"&lt;"&amp;EDATE(B341,1))</f>
        <v>-0</v>
      </c>
      <c r="G341" s="33" t="n">
        <f aca="false">SUMIFS(Journal!$K$5:$K$1004,Journal!$C$5:$C$1004,$C$5,Journal!$A$5:$A$1004,"&gt;="&amp;B341,Journal!$A$5:$A$1004,"&lt;"&amp;MIN(EDATE(B341,1),$C$6+1))</f>
        <v>0</v>
      </c>
      <c r="H341" s="33" t="n">
        <f aca="false">IF(B341&lt;=$C$6,0,($C$12-$C$13/12)*(1+$C$14)^(YEAR(B341)-YEAR($C$6)))</f>
        <v>674.668688881123</v>
      </c>
      <c r="I341" s="33" t="n">
        <f aca="false">SUM(D341:H341)</f>
        <v>-157.841311118877</v>
      </c>
      <c r="J341" s="33" t="n">
        <f aca="false">IF(C341&lt;=$C$22,I341,0)</f>
        <v>0</v>
      </c>
      <c r="K341" s="33" t="n">
        <f aca="false">IF(C341&lt;=$D$22,I341,0)</f>
        <v>0</v>
      </c>
      <c r="L341" s="33" t="n">
        <f aca="false">IF(C341&lt;=$E$22,I341,0)</f>
        <v>0</v>
      </c>
    </row>
    <row r="342" customFormat="false" ht="15" hidden="false" customHeight="true" outlineLevel="0" collapsed="false">
      <c r="B342" s="65" t="n">
        <f aca="false">EDATE(B341,1)</f>
        <v>49400</v>
      </c>
      <c r="C342" s="64" t="n">
        <f aca="false">B342+14</f>
        <v>49414</v>
      </c>
      <c r="D342" s="33" t="n">
        <f aca="false">IF(OR($C$9="",B342&gt;=$C$9),0,$C$10*(1+$C$11)^IF(B342&lt;$C$7,0,DATEDIF($C$7,B342,"y"))*MAX(0,MIN(EDATE(B342,1),$C$9)-MAX(B342,$C$7))/(EDATE(B342,1)-B342))</f>
        <v>0</v>
      </c>
      <c r="E342" s="33" t="n">
        <f aca="false">-SUMIFS(Échéancier!$I$5:$I$300,Échéancier!$J$5:$J$300,$C$5,Échéancier!$C$5:$C$300,"&gt;="&amp;B342,Échéancier!$C$5:$C$300,"&lt;"&amp;EDATE(B342,1))</f>
        <v>-832.52</v>
      </c>
      <c r="F342" s="33" t="n">
        <f aca="false">-SUMIFS($D$68:$D$106,$E$68:$E$106,$C$5,$C$68:$C$106,"&gt;="&amp;B342,$C$68:$C$106,"&lt;"&amp;EDATE(B342,1))</f>
        <v>-0</v>
      </c>
      <c r="G342" s="33" t="n">
        <f aca="false">SUMIFS(Journal!$K$5:$K$1004,Journal!$C$5:$C$1004,$C$5,Journal!$A$5:$A$1004,"&gt;="&amp;B342,Journal!$A$5:$A$1004,"&lt;"&amp;MIN(EDATE(B342,1),$C$6+1))</f>
        <v>0</v>
      </c>
      <c r="H342" s="33" t="n">
        <f aca="false">IF(B342&lt;=$C$6,0,($C$12-$C$13/12)*(1+$C$14)^(YEAR(B342)-YEAR($C$6)))</f>
        <v>674.668688881123</v>
      </c>
      <c r="I342" s="33" t="n">
        <f aca="false">SUM(D342:H342)</f>
        <v>-157.851311118877</v>
      </c>
      <c r="J342" s="33" t="n">
        <f aca="false">IF(C342&lt;=$C$22,I342,0)</f>
        <v>0</v>
      </c>
      <c r="K342" s="33" t="n">
        <f aca="false">IF(C342&lt;=$D$22,I342,0)</f>
        <v>0</v>
      </c>
      <c r="L342" s="33" t="n">
        <f aca="false">IF(C342&lt;=$E$22,I342,0)</f>
        <v>0</v>
      </c>
    </row>
    <row r="343" customFormat="false" ht="15" hidden="false" customHeight="true" outlineLevel="0" collapsed="false">
      <c r="B343" s="65" t="n">
        <f aca="false">EDATE(B342,1)</f>
        <v>49430</v>
      </c>
      <c r="C343" s="64" t="n">
        <f aca="false">B343+14</f>
        <v>49444</v>
      </c>
      <c r="D343" s="33" t="n">
        <f aca="false">IF(OR($C$9="",B343&gt;=$C$9),0,$C$10*(1+$C$11)^IF(B343&lt;$C$7,0,DATEDIF($C$7,B343,"y"))*MAX(0,MIN(EDATE(B343,1),$C$9)-MAX(B343,$C$7))/(EDATE(B343,1)-B343))</f>
        <v>0</v>
      </c>
      <c r="E343" s="33" t="n">
        <f aca="false">-SUMIFS(Échéancier!$I$5:$I$300,Échéancier!$J$5:$J$300,$C$5,Échéancier!$C$5:$C$300,"&gt;="&amp;B343,Échéancier!$C$5:$C$300,"&lt;"&amp;EDATE(B343,1))</f>
        <v>-832.51</v>
      </c>
      <c r="F343" s="33" t="n">
        <f aca="false">-SUMIFS($D$68:$D$106,$E$68:$E$106,$C$5,$C$68:$C$106,"&gt;="&amp;B343,$C$68:$C$106,"&lt;"&amp;EDATE(B343,1))</f>
        <v>-0</v>
      </c>
      <c r="G343" s="33" t="n">
        <f aca="false">SUMIFS(Journal!$K$5:$K$1004,Journal!$C$5:$C$1004,$C$5,Journal!$A$5:$A$1004,"&gt;="&amp;B343,Journal!$A$5:$A$1004,"&lt;"&amp;MIN(EDATE(B343,1),$C$6+1))</f>
        <v>0</v>
      </c>
      <c r="H343" s="33" t="n">
        <f aca="false">IF(B343&lt;=$C$6,0,($C$12-$C$13/12)*(1+$C$14)^(YEAR(B343)-YEAR($C$6)))</f>
        <v>674.668688881123</v>
      </c>
      <c r="I343" s="33" t="n">
        <f aca="false">SUM(D343:H343)</f>
        <v>-157.841311118877</v>
      </c>
      <c r="J343" s="33" t="n">
        <f aca="false">IF(C343&lt;=$C$22,I343,0)</f>
        <v>0</v>
      </c>
      <c r="K343" s="33" t="n">
        <f aca="false">IF(C343&lt;=$D$22,I343,0)</f>
        <v>0</v>
      </c>
      <c r="L343" s="33" t="n">
        <f aca="false">IF(C343&lt;=$E$22,I343,0)</f>
        <v>0</v>
      </c>
    </row>
    <row r="344" customFormat="false" ht="15" hidden="false" customHeight="true" outlineLevel="0" collapsed="false">
      <c r="B344" s="65" t="n">
        <f aca="false">EDATE(B343,1)</f>
        <v>49461</v>
      </c>
      <c r="C344" s="64" t="n">
        <f aca="false">B344+14</f>
        <v>49475</v>
      </c>
      <c r="D344" s="33" t="n">
        <f aca="false">IF(OR($C$9="",B344&gt;=$C$9),0,$C$10*(1+$C$11)^IF(B344&lt;$C$7,0,DATEDIF($C$7,B344,"y"))*MAX(0,MIN(EDATE(B344,1),$C$9)-MAX(B344,$C$7))/(EDATE(B344,1)-B344))</f>
        <v>0</v>
      </c>
      <c r="E344" s="33" t="n">
        <f aca="false">-SUMIFS(Échéancier!$I$5:$I$300,Échéancier!$J$5:$J$300,$C$5,Échéancier!$C$5:$C$300,"&gt;="&amp;B344,Échéancier!$C$5:$C$300,"&lt;"&amp;EDATE(B344,1))</f>
        <v>-832.52</v>
      </c>
      <c r="F344" s="33" t="n">
        <f aca="false">-SUMIFS($D$68:$D$106,$E$68:$E$106,$C$5,$C$68:$C$106,"&gt;="&amp;B344,$C$68:$C$106,"&lt;"&amp;EDATE(B344,1))</f>
        <v>-0</v>
      </c>
      <c r="G344" s="33" t="n">
        <f aca="false">SUMIFS(Journal!$K$5:$K$1004,Journal!$C$5:$C$1004,$C$5,Journal!$A$5:$A$1004,"&gt;="&amp;B344,Journal!$A$5:$A$1004,"&lt;"&amp;MIN(EDATE(B344,1),$C$6+1))</f>
        <v>0</v>
      </c>
      <c r="H344" s="33" t="n">
        <f aca="false">IF(B344&lt;=$C$6,0,($C$12-$C$13/12)*(1+$C$14)^(YEAR(B344)-YEAR($C$6)))</f>
        <v>674.668688881123</v>
      </c>
      <c r="I344" s="33" t="n">
        <f aca="false">SUM(D344:H344)</f>
        <v>-157.851311118877</v>
      </c>
      <c r="J344" s="33" t="n">
        <f aca="false">IF(C344&lt;=$C$22,I344,0)</f>
        <v>0</v>
      </c>
      <c r="K344" s="33" t="n">
        <f aca="false">IF(C344&lt;=$D$22,I344,0)</f>
        <v>0</v>
      </c>
      <c r="L344" s="33" t="n">
        <f aca="false">IF(C344&lt;=$E$22,I344,0)</f>
        <v>0</v>
      </c>
    </row>
    <row r="345" customFormat="false" ht="15" hidden="false" customHeight="true" outlineLevel="0" collapsed="false">
      <c r="B345" s="65" t="n">
        <f aca="false">EDATE(B344,1)</f>
        <v>49491</v>
      </c>
      <c r="C345" s="64" t="n">
        <f aca="false">B345+14</f>
        <v>49505</v>
      </c>
      <c r="D345" s="33" t="n">
        <f aca="false">IF(OR($C$9="",B345&gt;=$C$9),0,$C$10*(1+$C$11)^IF(B345&lt;$C$7,0,DATEDIF($C$7,B345,"y"))*MAX(0,MIN(EDATE(B345,1),$C$9)-MAX(B345,$C$7))/(EDATE(B345,1)-B345))</f>
        <v>0</v>
      </c>
      <c r="E345" s="33" t="n">
        <f aca="false">-SUMIFS(Échéancier!$I$5:$I$300,Échéancier!$J$5:$J$300,$C$5,Échéancier!$C$5:$C$300,"&gt;="&amp;B345,Échéancier!$C$5:$C$300,"&lt;"&amp;EDATE(B345,1))</f>
        <v>-832.52</v>
      </c>
      <c r="F345" s="33" t="n">
        <f aca="false">-SUMIFS($D$68:$D$106,$E$68:$E$106,$C$5,$C$68:$C$106,"&gt;="&amp;B345,$C$68:$C$106,"&lt;"&amp;EDATE(B345,1))</f>
        <v>-0</v>
      </c>
      <c r="G345" s="33" t="n">
        <f aca="false">SUMIFS(Journal!$K$5:$K$1004,Journal!$C$5:$C$1004,$C$5,Journal!$A$5:$A$1004,"&gt;="&amp;B345,Journal!$A$5:$A$1004,"&lt;"&amp;MIN(EDATE(B345,1),$C$6+1))</f>
        <v>0</v>
      </c>
      <c r="H345" s="33" t="n">
        <f aca="false">IF(B345&lt;=$C$6,0,($C$12-$C$13/12)*(1+$C$14)^(YEAR(B345)-YEAR($C$6)))</f>
        <v>674.668688881123</v>
      </c>
      <c r="I345" s="33" t="n">
        <f aca="false">SUM(D345:H345)</f>
        <v>-157.851311118877</v>
      </c>
      <c r="J345" s="33" t="n">
        <f aca="false">IF(C345&lt;=$C$22,I345,0)</f>
        <v>0</v>
      </c>
      <c r="K345" s="33" t="n">
        <f aca="false">IF(C345&lt;=$D$22,I345,0)</f>
        <v>0</v>
      </c>
      <c r="L345" s="33" t="n">
        <f aca="false">IF(C345&lt;=$E$22,I345,0)</f>
        <v>0</v>
      </c>
    </row>
    <row r="346" customFormat="false" ht="15" hidden="false" customHeight="true" outlineLevel="0" collapsed="false">
      <c r="B346" s="65" t="n">
        <f aca="false">EDATE(B345,1)</f>
        <v>49522</v>
      </c>
      <c r="C346" s="64" t="n">
        <f aca="false">B346+14</f>
        <v>49536</v>
      </c>
      <c r="D346" s="33" t="n">
        <f aca="false">IF(OR($C$9="",B346&gt;=$C$9),0,$C$10*(1+$C$11)^IF(B346&lt;$C$7,0,DATEDIF($C$7,B346,"y"))*MAX(0,MIN(EDATE(B346,1),$C$9)-MAX(B346,$C$7))/(EDATE(B346,1)-B346))</f>
        <v>0</v>
      </c>
      <c r="E346" s="33" t="n">
        <f aca="false">-SUMIFS(Échéancier!$I$5:$I$300,Échéancier!$J$5:$J$300,$C$5,Échéancier!$C$5:$C$300,"&gt;="&amp;B346,Échéancier!$C$5:$C$300,"&lt;"&amp;EDATE(B346,1))</f>
        <v>-832.52</v>
      </c>
      <c r="F346" s="33" t="n">
        <f aca="false">-SUMIFS($D$68:$D$106,$E$68:$E$106,$C$5,$C$68:$C$106,"&gt;="&amp;B346,$C$68:$C$106,"&lt;"&amp;EDATE(B346,1))</f>
        <v>-0</v>
      </c>
      <c r="G346" s="33" t="n">
        <f aca="false">SUMIFS(Journal!$K$5:$K$1004,Journal!$C$5:$C$1004,$C$5,Journal!$A$5:$A$1004,"&gt;="&amp;B346,Journal!$A$5:$A$1004,"&lt;"&amp;MIN(EDATE(B346,1),$C$6+1))</f>
        <v>0</v>
      </c>
      <c r="H346" s="33" t="n">
        <f aca="false">IF(B346&lt;=$C$6,0,($C$12-$C$13/12)*(1+$C$14)^(YEAR(B346)-YEAR($C$6)))</f>
        <v>674.668688881123</v>
      </c>
      <c r="I346" s="33" t="n">
        <f aca="false">SUM(D346:H346)</f>
        <v>-157.851311118877</v>
      </c>
      <c r="J346" s="33" t="n">
        <f aca="false">IF(C346&lt;=$C$22,I346,0)</f>
        <v>0</v>
      </c>
      <c r="K346" s="33" t="n">
        <f aca="false">IF(C346&lt;=$D$22,I346,0)</f>
        <v>0</v>
      </c>
      <c r="L346" s="33" t="n">
        <f aca="false">IF(C346&lt;=$E$22,I346,0)</f>
        <v>0</v>
      </c>
    </row>
    <row r="347" customFormat="false" ht="15" hidden="false" customHeight="true" outlineLevel="0" collapsed="false">
      <c r="B347" s="65" t="n">
        <f aca="false">EDATE(B346,1)</f>
        <v>49553</v>
      </c>
      <c r="C347" s="64" t="n">
        <f aca="false">B347+14</f>
        <v>49567</v>
      </c>
      <c r="D347" s="33" t="n">
        <f aca="false">IF(OR($C$9="",B347&gt;=$C$9),0,$C$10*(1+$C$11)^IF(B347&lt;$C$7,0,DATEDIF($C$7,B347,"y"))*MAX(0,MIN(EDATE(B347,1),$C$9)-MAX(B347,$C$7))/(EDATE(B347,1)-B347))</f>
        <v>0</v>
      </c>
      <c r="E347" s="33" t="n">
        <f aca="false">-SUMIFS(Échéancier!$I$5:$I$300,Échéancier!$J$5:$J$300,$C$5,Échéancier!$C$5:$C$300,"&gt;="&amp;B347,Échéancier!$C$5:$C$300,"&lt;"&amp;EDATE(B347,1))</f>
        <v>-832.52</v>
      </c>
      <c r="F347" s="33" t="n">
        <f aca="false">-SUMIFS($D$68:$D$106,$E$68:$E$106,$C$5,$C$68:$C$106,"&gt;="&amp;B347,$C$68:$C$106,"&lt;"&amp;EDATE(B347,1))</f>
        <v>-0</v>
      </c>
      <c r="G347" s="33" t="n">
        <f aca="false">SUMIFS(Journal!$K$5:$K$1004,Journal!$C$5:$C$1004,$C$5,Journal!$A$5:$A$1004,"&gt;="&amp;B347,Journal!$A$5:$A$1004,"&lt;"&amp;MIN(EDATE(B347,1),$C$6+1))</f>
        <v>0</v>
      </c>
      <c r="H347" s="33" t="n">
        <f aca="false">IF(B347&lt;=$C$6,0,($C$12-$C$13/12)*(1+$C$14)^(YEAR(B347)-YEAR($C$6)))</f>
        <v>674.668688881123</v>
      </c>
      <c r="I347" s="33" t="n">
        <f aca="false">SUM(D347:H347)</f>
        <v>-157.851311118877</v>
      </c>
      <c r="J347" s="33" t="n">
        <f aca="false">IF(C347&lt;=$C$22,I347,0)</f>
        <v>0</v>
      </c>
      <c r="K347" s="33" t="n">
        <f aca="false">IF(C347&lt;=$D$22,I347,0)</f>
        <v>0</v>
      </c>
      <c r="L347" s="33" t="n">
        <f aca="false">IF(C347&lt;=$E$22,I347,0)</f>
        <v>0</v>
      </c>
    </row>
    <row r="348" customFormat="false" ht="15" hidden="false" customHeight="true" outlineLevel="0" collapsed="false">
      <c r="B348" s="65" t="n">
        <f aca="false">EDATE(B347,1)</f>
        <v>49583</v>
      </c>
      <c r="C348" s="64" t="n">
        <f aca="false">B348+14</f>
        <v>49597</v>
      </c>
      <c r="D348" s="33" t="n">
        <f aca="false">IF(OR($C$9="",B348&gt;=$C$9),0,$C$10*(1+$C$11)^IF(B348&lt;$C$7,0,DATEDIF($C$7,B348,"y"))*MAX(0,MIN(EDATE(B348,1),$C$9)-MAX(B348,$C$7))/(EDATE(B348,1)-B348))</f>
        <v>0</v>
      </c>
      <c r="E348" s="33" t="n">
        <f aca="false">-SUMIFS(Échéancier!$I$5:$I$300,Échéancier!$J$5:$J$300,$C$5,Échéancier!$C$5:$C$300,"&gt;="&amp;B348,Échéancier!$C$5:$C$300,"&lt;"&amp;EDATE(B348,1))</f>
        <v>-832.51</v>
      </c>
      <c r="F348" s="33" t="n">
        <f aca="false">-SUMIFS($D$68:$D$106,$E$68:$E$106,$C$5,$C$68:$C$106,"&gt;="&amp;B348,$C$68:$C$106,"&lt;"&amp;EDATE(B348,1))</f>
        <v>-0</v>
      </c>
      <c r="G348" s="33" t="n">
        <f aca="false">SUMIFS(Journal!$K$5:$K$1004,Journal!$C$5:$C$1004,$C$5,Journal!$A$5:$A$1004,"&gt;="&amp;B348,Journal!$A$5:$A$1004,"&lt;"&amp;MIN(EDATE(B348,1),$C$6+1))</f>
        <v>0</v>
      </c>
      <c r="H348" s="33" t="n">
        <f aca="false">IF(B348&lt;=$C$6,0,($C$12-$C$13/12)*(1+$C$14)^(YEAR(B348)-YEAR($C$6)))</f>
        <v>674.668688881123</v>
      </c>
      <c r="I348" s="33" t="n">
        <f aca="false">SUM(D348:H348)</f>
        <v>-157.841311118877</v>
      </c>
      <c r="J348" s="33" t="n">
        <f aca="false">IF(C348&lt;=$C$22,I348,0)</f>
        <v>0</v>
      </c>
      <c r="K348" s="33" t="n">
        <f aca="false">IF(C348&lt;=$D$22,I348,0)</f>
        <v>0</v>
      </c>
      <c r="L348" s="33" t="n">
        <f aca="false">IF(C348&lt;=$E$22,I348,0)</f>
        <v>0</v>
      </c>
    </row>
    <row r="349" customFormat="false" ht="15" hidden="false" customHeight="true" outlineLevel="0" collapsed="false">
      <c r="B349" s="65" t="n">
        <f aca="false">EDATE(B348,1)</f>
        <v>49614</v>
      </c>
      <c r="C349" s="64" t="n">
        <f aca="false">B349+14</f>
        <v>49628</v>
      </c>
      <c r="D349" s="33" t="n">
        <f aca="false">IF(OR($C$9="",B349&gt;=$C$9),0,$C$10*(1+$C$11)^IF(B349&lt;$C$7,0,DATEDIF($C$7,B349,"y"))*MAX(0,MIN(EDATE(B349,1),$C$9)-MAX(B349,$C$7))/(EDATE(B349,1)-B349))</f>
        <v>0</v>
      </c>
      <c r="E349" s="33" t="n">
        <f aca="false">-SUMIFS(Échéancier!$I$5:$I$300,Échéancier!$J$5:$J$300,$C$5,Échéancier!$C$5:$C$300,"&gt;="&amp;B349,Échéancier!$C$5:$C$300,"&lt;"&amp;EDATE(B349,1))</f>
        <v>-832.52</v>
      </c>
      <c r="F349" s="33" t="n">
        <f aca="false">-SUMIFS($D$68:$D$106,$E$68:$E$106,$C$5,$C$68:$C$106,"&gt;="&amp;B349,$C$68:$C$106,"&lt;"&amp;EDATE(B349,1))</f>
        <v>-0</v>
      </c>
      <c r="G349" s="33" t="n">
        <f aca="false">SUMIFS(Journal!$K$5:$K$1004,Journal!$C$5:$C$1004,$C$5,Journal!$A$5:$A$1004,"&gt;="&amp;B349,Journal!$A$5:$A$1004,"&lt;"&amp;MIN(EDATE(B349,1),$C$6+1))</f>
        <v>0</v>
      </c>
      <c r="H349" s="33" t="n">
        <f aca="false">IF(B349&lt;=$C$6,0,($C$12-$C$13/12)*(1+$C$14)^(YEAR(B349)-YEAR($C$6)))</f>
        <v>674.668688881123</v>
      </c>
      <c r="I349" s="33" t="n">
        <f aca="false">SUM(D349:H349)</f>
        <v>-157.851311118877</v>
      </c>
      <c r="J349" s="33" t="n">
        <f aca="false">IF(C349&lt;=$C$22,I349,0)</f>
        <v>0</v>
      </c>
      <c r="K349" s="33" t="n">
        <f aca="false">IF(C349&lt;=$D$22,I349,0)</f>
        <v>0</v>
      </c>
      <c r="L349" s="33" t="n">
        <f aca="false">IF(C349&lt;=$E$22,I349,0)</f>
        <v>0</v>
      </c>
    </row>
    <row r="350" customFormat="false" ht="15" hidden="false" customHeight="true" outlineLevel="0" collapsed="false">
      <c r="B350" s="65" t="n">
        <f aca="false">EDATE(B349,1)</f>
        <v>49644</v>
      </c>
      <c r="C350" s="64" t="n">
        <f aca="false">B350+14</f>
        <v>49658</v>
      </c>
      <c r="D350" s="33" t="n">
        <f aca="false">IF(OR($C$9="",B350&gt;=$C$9),0,$C$10*(1+$C$11)^IF(B350&lt;$C$7,0,DATEDIF($C$7,B350,"y"))*MAX(0,MIN(EDATE(B350,1),$C$9)-MAX(B350,$C$7))/(EDATE(B350,1)-B350))</f>
        <v>0</v>
      </c>
      <c r="E350" s="33" t="n">
        <f aca="false">-SUMIFS(Échéancier!$I$5:$I$300,Échéancier!$J$5:$J$300,$C$5,Échéancier!$C$5:$C$300,"&gt;="&amp;B350,Échéancier!$C$5:$C$300,"&lt;"&amp;EDATE(B350,1))</f>
        <v>-832.51</v>
      </c>
      <c r="F350" s="33" t="n">
        <f aca="false">-SUMIFS($D$68:$D$106,$E$68:$E$106,$C$5,$C$68:$C$106,"&gt;="&amp;B350,$C$68:$C$106,"&lt;"&amp;EDATE(B350,1))</f>
        <v>-0</v>
      </c>
      <c r="G350" s="33" t="n">
        <f aca="false">SUMIFS(Journal!$K$5:$K$1004,Journal!$C$5:$C$1004,$C$5,Journal!$A$5:$A$1004,"&gt;="&amp;B350,Journal!$A$5:$A$1004,"&lt;"&amp;MIN(EDATE(B350,1),$C$6+1))</f>
        <v>0</v>
      </c>
      <c r="H350" s="33" t="n">
        <f aca="false">IF(B350&lt;=$C$6,0,($C$12-$C$13/12)*(1+$C$14)^(YEAR(B350)-YEAR($C$6)))</f>
        <v>674.668688881123</v>
      </c>
      <c r="I350" s="33" t="n">
        <f aca="false">SUM(D350:H350)</f>
        <v>-157.841311118877</v>
      </c>
      <c r="J350" s="33" t="n">
        <f aca="false">IF(C350&lt;=$C$22,I350,0)</f>
        <v>0</v>
      </c>
      <c r="K350" s="33" t="n">
        <f aca="false">IF(C350&lt;=$D$22,I350,0)</f>
        <v>0</v>
      </c>
      <c r="L350" s="33" t="n">
        <f aca="false">IF(C350&lt;=$E$22,I350,0)</f>
        <v>0</v>
      </c>
    </row>
    <row r="351" customFormat="false" ht="15" hidden="false" customHeight="true" outlineLevel="0" collapsed="false">
      <c r="B351" s="65" t="n">
        <f aca="false">EDATE(B350,1)</f>
        <v>49675</v>
      </c>
      <c r="C351" s="64" t="n">
        <f aca="false">B351+14</f>
        <v>49689</v>
      </c>
      <c r="D351" s="33" t="n">
        <f aca="false">IF(OR($C$9="",B351&gt;=$C$9),0,$C$10*(1+$C$11)^IF(B351&lt;$C$7,0,DATEDIF($C$7,B351,"y"))*MAX(0,MIN(EDATE(B351,1),$C$9)-MAX(B351,$C$7))/(EDATE(B351,1)-B351))</f>
        <v>0</v>
      </c>
      <c r="E351" s="33" t="n">
        <f aca="false">-SUMIFS(Échéancier!$I$5:$I$300,Échéancier!$J$5:$J$300,$C$5,Échéancier!$C$5:$C$300,"&gt;="&amp;B351,Échéancier!$C$5:$C$300,"&lt;"&amp;EDATE(B351,1))</f>
        <v>-832.52</v>
      </c>
      <c r="F351" s="33" t="n">
        <f aca="false">-SUMIFS($D$68:$D$106,$E$68:$E$106,$C$5,$C$68:$C$106,"&gt;="&amp;B351,$C$68:$C$106,"&lt;"&amp;EDATE(B351,1))</f>
        <v>-0</v>
      </c>
      <c r="G351" s="33" t="n">
        <f aca="false">SUMIFS(Journal!$K$5:$K$1004,Journal!$C$5:$C$1004,$C$5,Journal!$A$5:$A$1004,"&gt;="&amp;B351,Journal!$A$5:$A$1004,"&lt;"&amp;MIN(EDATE(B351,1),$C$6+1))</f>
        <v>0</v>
      </c>
      <c r="H351" s="33" t="n">
        <f aca="false">IF(B351&lt;=$C$6,0,($C$12-$C$13/12)*(1+$C$14)^(YEAR(B351)-YEAR($C$6)))</f>
        <v>684.788719214339</v>
      </c>
      <c r="I351" s="33" t="n">
        <f aca="false">SUM(D351:H351)</f>
        <v>-147.731280785661</v>
      </c>
      <c r="J351" s="33" t="n">
        <f aca="false">IF(C351&lt;=$C$22,I351,0)</f>
        <v>0</v>
      </c>
      <c r="K351" s="33" t="n">
        <f aca="false">IF(C351&lt;=$D$22,I351,0)</f>
        <v>0</v>
      </c>
      <c r="L351" s="33" t="n">
        <f aca="false">IF(C351&lt;=$E$22,I351,0)</f>
        <v>0</v>
      </c>
    </row>
    <row r="352" customFormat="false" ht="15" hidden="false" customHeight="true" outlineLevel="0" collapsed="false">
      <c r="B352" s="65" t="n">
        <f aca="false">EDATE(B351,1)</f>
        <v>49706</v>
      </c>
      <c r="C352" s="64" t="n">
        <f aca="false">B352+14</f>
        <v>49720</v>
      </c>
      <c r="D352" s="33" t="n">
        <f aca="false">IF(OR($C$9="",B352&gt;=$C$9),0,$C$10*(1+$C$11)^IF(B352&lt;$C$7,0,DATEDIF($C$7,B352,"y"))*MAX(0,MIN(EDATE(B352,1),$C$9)-MAX(B352,$C$7))/(EDATE(B352,1)-B352))</f>
        <v>0</v>
      </c>
      <c r="E352" s="33" t="n">
        <f aca="false">-SUMIFS(Échéancier!$I$5:$I$300,Échéancier!$J$5:$J$300,$C$5,Échéancier!$C$5:$C$300,"&gt;="&amp;B352,Échéancier!$C$5:$C$300,"&lt;"&amp;EDATE(B352,1))</f>
        <v>-832.51</v>
      </c>
      <c r="F352" s="33" t="n">
        <f aca="false">-SUMIFS($D$68:$D$106,$E$68:$E$106,$C$5,$C$68:$C$106,"&gt;="&amp;B352,$C$68:$C$106,"&lt;"&amp;EDATE(B352,1))</f>
        <v>-0</v>
      </c>
      <c r="G352" s="33" t="n">
        <f aca="false">SUMIFS(Journal!$K$5:$K$1004,Journal!$C$5:$C$1004,$C$5,Journal!$A$5:$A$1004,"&gt;="&amp;B352,Journal!$A$5:$A$1004,"&lt;"&amp;MIN(EDATE(B352,1),$C$6+1))</f>
        <v>0</v>
      </c>
      <c r="H352" s="33" t="n">
        <f aca="false">IF(B352&lt;=$C$6,0,($C$12-$C$13/12)*(1+$C$14)^(YEAR(B352)-YEAR($C$6)))</f>
        <v>684.788719214339</v>
      </c>
      <c r="I352" s="33" t="n">
        <f aca="false">SUM(D352:H352)</f>
        <v>-147.721280785661</v>
      </c>
      <c r="J352" s="33" t="n">
        <f aca="false">IF(C352&lt;=$C$22,I352,0)</f>
        <v>0</v>
      </c>
      <c r="K352" s="33" t="n">
        <f aca="false">IF(C352&lt;=$D$22,I352,0)</f>
        <v>0</v>
      </c>
      <c r="L352" s="33" t="n">
        <f aca="false">IF(C352&lt;=$E$22,I352,0)</f>
        <v>0</v>
      </c>
    </row>
    <row r="353" customFormat="false" ht="15" hidden="false" customHeight="true" outlineLevel="0" collapsed="false">
      <c r="B353" s="65" t="n">
        <f aca="false">EDATE(B352,1)</f>
        <v>49735</v>
      </c>
      <c r="C353" s="64" t="n">
        <f aca="false">B353+14</f>
        <v>49749</v>
      </c>
      <c r="D353" s="33" t="n">
        <f aca="false">IF(OR($C$9="",B353&gt;=$C$9),0,$C$10*(1+$C$11)^IF(B353&lt;$C$7,0,DATEDIF($C$7,B353,"y"))*MAX(0,MIN(EDATE(B353,1),$C$9)-MAX(B353,$C$7))/(EDATE(B353,1)-B353))</f>
        <v>0</v>
      </c>
      <c r="E353" s="33" t="n">
        <f aca="false">-SUMIFS(Échéancier!$I$5:$I$300,Échéancier!$J$5:$J$300,$C$5,Échéancier!$C$5:$C$300,"&gt;="&amp;B353,Échéancier!$C$5:$C$300,"&lt;"&amp;EDATE(B353,1))</f>
        <v>-832.52</v>
      </c>
      <c r="F353" s="33" t="n">
        <f aca="false">-SUMIFS($D$68:$D$106,$E$68:$E$106,$C$5,$C$68:$C$106,"&gt;="&amp;B353,$C$68:$C$106,"&lt;"&amp;EDATE(B353,1))</f>
        <v>-0</v>
      </c>
      <c r="G353" s="33" t="n">
        <f aca="false">SUMIFS(Journal!$K$5:$K$1004,Journal!$C$5:$C$1004,$C$5,Journal!$A$5:$A$1004,"&gt;="&amp;B353,Journal!$A$5:$A$1004,"&lt;"&amp;MIN(EDATE(B353,1),$C$6+1))</f>
        <v>0</v>
      </c>
      <c r="H353" s="33" t="n">
        <f aca="false">IF(B353&lt;=$C$6,0,($C$12-$C$13/12)*(1+$C$14)^(YEAR(B353)-YEAR($C$6)))</f>
        <v>684.788719214339</v>
      </c>
      <c r="I353" s="33" t="n">
        <f aca="false">SUM(D353:H353)</f>
        <v>-147.731280785661</v>
      </c>
      <c r="J353" s="33" t="n">
        <f aca="false">IF(C353&lt;=$C$22,I353,0)</f>
        <v>0</v>
      </c>
      <c r="K353" s="33" t="n">
        <f aca="false">IF(C353&lt;=$D$22,I353,0)</f>
        <v>0</v>
      </c>
      <c r="L353" s="33" t="n">
        <f aca="false">IF(C353&lt;=$E$22,I353,0)</f>
        <v>0</v>
      </c>
    </row>
    <row r="354" customFormat="false" ht="15" hidden="false" customHeight="true" outlineLevel="0" collapsed="false">
      <c r="B354" s="65" t="n">
        <f aca="false">EDATE(B353,1)</f>
        <v>49766</v>
      </c>
      <c r="C354" s="64" t="n">
        <f aca="false">B354+14</f>
        <v>49780</v>
      </c>
      <c r="D354" s="33" t="n">
        <f aca="false">IF(OR($C$9="",B354&gt;=$C$9),0,$C$10*(1+$C$11)^IF(B354&lt;$C$7,0,DATEDIF($C$7,B354,"y"))*MAX(0,MIN(EDATE(B354,1),$C$9)-MAX(B354,$C$7))/(EDATE(B354,1)-B354))</f>
        <v>0</v>
      </c>
      <c r="E354" s="33" t="n">
        <f aca="false">-SUMIFS(Échéancier!$I$5:$I$300,Échéancier!$J$5:$J$300,$C$5,Échéancier!$C$5:$C$300,"&gt;="&amp;B354,Échéancier!$C$5:$C$300,"&lt;"&amp;EDATE(B354,1))</f>
        <v>-832.51</v>
      </c>
      <c r="F354" s="33" t="n">
        <f aca="false">-SUMIFS($D$68:$D$106,$E$68:$E$106,$C$5,$C$68:$C$106,"&gt;="&amp;B354,$C$68:$C$106,"&lt;"&amp;EDATE(B354,1))</f>
        <v>-0</v>
      </c>
      <c r="G354" s="33" t="n">
        <f aca="false">SUMIFS(Journal!$K$5:$K$1004,Journal!$C$5:$C$1004,$C$5,Journal!$A$5:$A$1004,"&gt;="&amp;B354,Journal!$A$5:$A$1004,"&lt;"&amp;MIN(EDATE(B354,1),$C$6+1))</f>
        <v>0</v>
      </c>
      <c r="H354" s="33" t="n">
        <f aca="false">IF(B354&lt;=$C$6,0,($C$12-$C$13/12)*(1+$C$14)^(YEAR(B354)-YEAR($C$6)))</f>
        <v>684.788719214339</v>
      </c>
      <c r="I354" s="33" t="n">
        <f aca="false">SUM(D354:H354)</f>
        <v>-147.721280785661</v>
      </c>
      <c r="J354" s="33" t="n">
        <f aca="false">IF(C354&lt;=$C$22,I354,0)</f>
        <v>0</v>
      </c>
      <c r="K354" s="33" t="n">
        <f aca="false">IF(C354&lt;=$D$22,I354,0)</f>
        <v>0</v>
      </c>
      <c r="L354" s="33" t="n">
        <f aca="false">IF(C354&lt;=$E$22,I354,0)</f>
        <v>0</v>
      </c>
    </row>
    <row r="355" customFormat="false" ht="15" hidden="false" customHeight="true" outlineLevel="0" collapsed="false">
      <c r="B355" s="65" t="n">
        <f aca="false">EDATE(B354,1)</f>
        <v>49796</v>
      </c>
      <c r="C355" s="64" t="n">
        <f aca="false">B355+14</f>
        <v>49810</v>
      </c>
      <c r="D355" s="33" t="n">
        <f aca="false">IF(OR($C$9="",B355&gt;=$C$9),0,$C$10*(1+$C$11)^IF(B355&lt;$C$7,0,DATEDIF($C$7,B355,"y"))*MAX(0,MIN(EDATE(B355,1),$C$9)-MAX(B355,$C$7))/(EDATE(B355,1)-B355))</f>
        <v>0</v>
      </c>
      <c r="E355" s="33" t="n">
        <f aca="false">-SUMIFS(Échéancier!$I$5:$I$300,Échéancier!$J$5:$J$300,$C$5,Échéancier!$C$5:$C$300,"&gt;="&amp;B355,Échéancier!$C$5:$C$300,"&lt;"&amp;EDATE(B355,1))</f>
        <v>-832.52</v>
      </c>
      <c r="F355" s="33" t="n">
        <f aca="false">-SUMIFS($D$68:$D$106,$E$68:$E$106,$C$5,$C$68:$C$106,"&gt;="&amp;B355,$C$68:$C$106,"&lt;"&amp;EDATE(B355,1))</f>
        <v>-0</v>
      </c>
      <c r="G355" s="33" t="n">
        <f aca="false">SUMIFS(Journal!$K$5:$K$1004,Journal!$C$5:$C$1004,$C$5,Journal!$A$5:$A$1004,"&gt;="&amp;B355,Journal!$A$5:$A$1004,"&lt;"&amp;MIN(EDATE(B355,1),$C$6+1))</f>
        <v>0</v>
      </c>
      <c r="H355" s="33" t="n">
        <f aca="false">IF(B355&lt;=$C$6,0,($C$12-$C$13/12)*(1+$C$14)^(YEAR(B355)-YEAR($C$6)))</f>
        <v>684.788719214339</v>
      </c>
      <c r="I355" s="33" t="n">
        <f aca="false">SUM(D355:H355)</f>
        <v>-147.731280785661</v>
      </c>
      <c r="J355" s="33" t="n">
        <f aca="false">IF(C355&lt;=$C$22,I355,0)</f>
        <v>0</v>
      </c>
      <c r="K355" s="33" t="n">
        <f aca="false">IF(C355&lt;=$D$22,I355,0)</f>
        <v>0</v>
      </c>
      <c r="L355" s="33" t="n">
        <f aca="false">IF(C355&lt;=$E$22,I355,0)</f>
        <v>0</v>
      </c>
    </row>
    <row r="356" customFormat="false" ht="15" hidden="false" customHeight="true" outlineLevel="0" collapsed="false">
      <c r="B356" s="65" t="n">
        <f aca="false">EDATE(B355,1)</f>
        <v>49827</v>
      </c>
      <c r="C356" s="64" t="n">
        <f aca="false">B356+14</f>
        <v>49841</v>
      </c>
      <c r="D356" s="33" t="n">
        <f aca="false">IF(OR($C$9="",B356&gt;=$C$9),0,$C$10*(1+$C$11)^IF(B356&lt;$C$7,0,DATEDIF($C$7,B356,"y"))*MAX(0,MIN(EDATE(B356,1),$C$9)-MAX(B356,$C$7))/(EDATE(B356,1)-B356))</f>
        <v>0</v>
      </c>
      <c r="E356" s="33" t="n">
        <f aca="false">-SUMIFS(Échéancier!$I$5:$I$300,Échéancier!$J$5:$J$300,$C$5,Échéancier!$C$5:$C$300,"&gt;="&amp;B356,Échéancier!$C$5:$C$300,"&lt;"&amp;EDATE(B356,1))</f>
        <v>-832.52</v>
      </c>
      <c r="F356" s="33" t="n">
        <f aca="false">-SUMIFS($D$68:$D$106,$E$68:$E$106,$C$5,$C$68:$C$106,"&gt;="&amp;B356,$C$68:$C$106,"&lt;"&amp;EDATE(B356,1))</f>
        <v>-0</v>
      </c>
      <c r="G356" s="33" t="n">
        <f aca="false">SUMIFS(Journal!$K$5:$K$1004,Journal!$C$5:$C$1004,$C$5,Journal!$A$5:$A$1004,"&gt;="&amp;B356,Journal!$A$5:$A$1004,"&lt;"&amp;MIN(EDATE(B356,1),$C$6+1))</f>
        <v>0</v>
      </c>
      <c r="H356" s="33" t="n">
        <f aca="false">IF(B356&lt;=$C$6,0,($C$12-$C$13/12)*(1+$C$14)^(YEAR(B356)-YEAR($C$6)))</f>
        <v>684.788719214339</v>
      </c>
      <c r="I356" s="33" t="n">
        <f aca="false">SUM(D356:H356)</f>
        <v>-147.731280785661</v>
      </c>
      <c r="J356" s="33" t="n">
        <f aca="false">IF(C356&lt;=$C$22,I356,0)</f>
        <v>0</v>
      </c>
      <c r="K356" s="33" t="n">
        <f aca="false">IF(C356&lt;=$D$22,I356,0)</f>
        <v>0</v>
      </c>
      <c r="L356" s="33" t="n">
        <f aca="false">IF(C356&lt;=$E$22,I356,0)</f>
        <v>0</v>
      </c>
    </row>
    <row r="357" customFormat="false" ht="15" hidden="false" customHeight="true" outlineLevel="0" collapsed="false">
      <c r="B357" s="65" t="n">
        <f aca="false">EDATE(B356,1)</f>
        <v>49857</v>
      </c>
      <c r="C357" s="64" t="n">
        <f aca="false">B357+14</f>
        <v>49871</v>
      </c>
      <c r="D357" s="33" t="n">
        <f aca="false">IF(OR($C$9="",B357&gt;=$C$9),0,$C$10*(1+$C$11)^IF(B357&lt;$C$7,0,DATEDIF($C$7,B357,"y"))*MAX(0,MIN(EDATE(B357,1),$C$9)-MAX(B357,$C$7))/(EDATE(B357,1)-B357))</f>
        <v>0</v>
      </c>
      <c r="E357" s="33" t="n">
        <f aca="false">-SUMIFS(Échéancier!$I$5:$I$300,Échéancier!$J$5:$J$300,$C$5,Échéancier!$C$5:$C$300,"&gt;="&amp;B357,Échéancier!$C$5:$C$300,"&lt;"&amp;EDATE(B357,1))</f>
        <v>-832.51</v>
      </c>
      <c r="F357" s="33" t="n">
        <f aca="false">-SUMIFS($D$68:$D$106,$E$68:$E$106,$C$5,$C$68:$C$106,"&gt;="&amp;B357,$C$68:$C$106,"&lt;"&amp;EDATE(B357,1))</f>
        <v>-0</v>
      </c>
      <c r="G357" s="33" t="n">
        <f aca="false">SUMIFS(Journal!$K$5:$K$1004,Journal!$C$5:$C$1004,$C$5,Journal!$A$5:$A$1004,"&gt;="&amp;B357,Journal!$A$5:$A$1004,"&lt;"&amp;MIN(EDATE(B357,1),$C$6+1))</f>
        <v>0</v>
      </c>
      <c r="H357" s="33" t="n">
        <f aca="false">IF(B357&lt;=$C$6,0,($C$12-$C$13/12)*(1+$C$14)^(YEAR(B357)-YEAR($C$6)))</f>
        <v>684.788719214339</v>
      </c>
      <c r="I357" s="33" t="n">
        <f aca="false">SUM(D357:H357)</f>
        <v>-147.721280785661</v>
      </c>
      <c r="J357" s="33" t="n">
        <f aca="false">IF(C357&lt;=$C$22,I357,0)</f>
        <v>0</v>
      </c>
      <c r="K357" s="33" t="n">
        <f aca="false">IF(C357&lt;=$D$22,I357,0)</f>
        <v>0</v>
      </c>
      <c r="L357" s="33" t="n">
        <f aca="false">IF(C357&lt;=$E$22,I357,0)</f>
        <v>0</v>
      </c>
    </row>
    <row r="358" customFormat="false" ht="15" hidden="false" customHeight="true" outlineLevel="0" collapsed="false">
      <c r="B358" s="65" t="n">
        <f aca="false">EDATE(B357,1)</f>
        <v>49888</v>
      </c>
      <c r="C358" s="64" t="n">
        <f aca="false">B358+14</f>
        <v>49902</v>
      </c>
      <c r="D358" s="33" t="n">
        <f aca="false">IF(OR($C$9="",B358&gt;=$C$9),0,$C$10*(1+$C$11)^IF(B358&lt;$C$7,0,DATEDIF($C$7,B358,"y"))*MAX(0,MIN(EDATE(B358,1),$C$9)-MAX(B358,$C$7))/(EDATE(B358,1)-B358))</f>
        <v>0</v>
      </c>
      <c r="E358" s="33" t="n">
        <f aca="false">-SUMIFS(Échéancier!$I$5:$I$300,Échéancier!$J$5:$J$300,$C$5,Échéancier!$C$5:$C$300,"&gt;="&amp;B358,Échéancier!$C$5:$C$300,"&lt;"&amp;EDATE(B358,1))</f>
        <v>-832.52</v>
      </c>
      <c r="F358" s="33" t="n">
        <f aca="false">-SUMIFS($D$68:$D$106,$E$68:$E$106,$C$5,$C$68:$C$106,"&gt;="&amp;B358,$C$68:$C$106,"&lt;"&amp;EDATE(B358,1))</f>
        <v>-0</v>
      </c>
      <c r="G358" s="33" t="n">
        <f aca="false">SUMIFS(Journal!$K$5:$K$1004,Journal!$C$5:$C$1004,$C$5,Journal!$A$5:$A$1004,"&gt;="&amp;B358,Journal!$A$5:$A$1004,"&lt;"&amp;MIN(EDATE(B358,1),$C$6+1))</f>
        <v>0</v>
      </c>
      <c r="H358" s="33" t="n">
        <f aca="false">IF(B358&lt;=$C$6,0,($C$12-$C$13/12)*(1+$C$14)^(YEAR(B358)-YEAR($C$6)))</f>
        <v>684.788719214339</v>
      </c>
      <c r="I358" s="33" t="n">
        <f aca="false">SUM(D358:H358)</f>
        <v>-147.731280785661</v>
      </c>
      <c r="J358" s="33" t="n">
        <f aca="false">IF(C358&lt;=$C$22,I358,0)</f>
        <v>0</v>
      </c>
      <c r="K358" s="33" t="n">
        <f aca="false">IF(C358&lt;=$D$22,I358,0)</f>
        <v>0</v>
      </c>
      <c r="L358" s="33" t="n">
        <f aca="false">IF(C358&lt;=$E$22,I358,0)</f>
        <v>0</v>
      </c>
    </row>
    <row r="359" customFormat="false" ht="15" hidden="false" customHeight="true" outlineLevel="0" collapsed="false">
      <c r="B359" s="65" t="n">
        <f aca="false">EDATE(B358,1)</f>
        <v>49919</v>
      </c>
      <c r="C359" s="64" t="n">
        <f aca="false">B359+14</f>
        <v>49933</v>
      </c>
      <c r="D359" s="33" t="n">
        <f aca="false">IF(OR($C$9="",B359&gt;=$C$9),0,$C$10*(1+$C$11)^IF(B359&lt;$C$7,0,DATEDIF($C$7,B359,"y"))*MAX(0,MIN(EDATE(B359,1),$C$9)-MAX(B359,$C$7))/(EDATE(B359,1)-B359))</f>
        <v>0</v>
      </c>
      <c r="E359" s="33" t="n">
        <f aca="false">-SUMIFS(Échéancier!$I$5:$I$300,Échéancier!$J$5:$J$300,$C$5,Échéancier!$C$5:$C$300,"&gt;="&amp;B359,Échéancier!$C$5:$C$300,"&lt;"&amp;EDATE(B359,1))</f>
        <v>-832.51</v>
      </c>
      <c r="F359" s="33" t="n">
        <f aca="false">-SUMIFS($D$68:$D$106,$E$68:$E$106,$C$5,$C$68:$C$106,"&gt;="&amp;B359,$C$68:$C$106,"&lt;"&amp;EDATE(B359,1))</f>
        <v>-0</v>
      </c>
      <c r="G359" s="33" t="n">
        <f aca="false">SUMIFS(Journal!$K$5:$K$1004,Journal!$C$5:$C$1004,$C$5,Journal!$A$5:$A$1004,"&gt;="&amp;B359,Journal!$A$5:$A$1004,"&lt;"&amp;MIN(EDATE(B359,1),$C$6+1))</f>
        <v>0</v>
      </c>
      <c r="H359" s="33" t="n">
        <f aca="false">IF(B359&lt;=$C$6,0,($C$12-$C$13/12)*(1+$C$14)^(YEAR(B359)-YEAR($C$6)))</f>
        <v>684.788719214339</v>
      </c>
      <c r="I359" s="33" t="n">
        <f aca="false">SUM(D359:H359)</f>
        <v>-147.721280785661</v>
      </c>
      <c r="J359" s="33" t="n">
        <f aca="false">IF(C359&lt;=$C$22,I359,0)</f>
        <v>0</v>
      </c>
      <c r="K359" s="33" t="n">
        <f aca="false">IF(C359&lt;=$D$22,I359,0)</f>
        <v>0</v>
      </c>
      <c r="L359" s="33" t="n">
        <f aca="false">IF(C359&lt;=$E$22,I359,0)</f>
        <v>0</v>
      </c>
    </row>
    <row r="360" customFormat="false" ht="15" hidden="false" customHeight="true" outlineLevel="0" collapsed="false">
      <c r="B360" s="65" t="n">
        <f aca="false">EDATE(B359,1)</f>
        <v>49949</v>
      </c>
      <c r="C360" s="64" t="n">
        <f aca="false">B360+14</f>
        <v>49963</v>
      </c>
      <c r="D360" s="33" t="n">
        <f aca="false">IF(OR($C$9="",B360&gt;=$C$9),0,$C$10*(1+$C$11)^IF(B360&lt;$C$7,0,DATEDIF($C$7,B360,"y"))*MAX(0,MIN(EDATE(B360,1),$C$9)-MAX(B360,$C$7))/(EDATE(B360,1)-B360))</f>
        <v>0</v>
      </c>
      <c r="E360" s="33" t="n">
        <f aca="false">-SUMIFS(Échéancier!$I$5:$I$300,Échéancier!$J$5:$J$300,$C$5,Échéancier!$C$5:$C$300,"&gt;="&amp;B360,Échéancier!$C$5:$C$300,"&lt;"&amp;EDATE(B360,1))</f>
        <v>-832.52</v>
      </c>
      <c r="F360" s="33" t="n">
        <f aca="false">-SUMIFS($D$68:$D$106,$E$68:$E$106,$C$5,$C$68:$C$106,"&gt;="&amp;B360,$C$68:$C$106,"&lt;"&amp;EDATE(B360,1))</f>
        <v>-0</v>
      </c>
      <c r="G360" s="33" t="n">
        <f aca="false">SUMIFS(Journal!$K$5:$K$1004,Journal!$C$5:$C$1004,$C$5,Journal!$A$5:$A$1004,"&gt;="&amp;B360,Journal!$A$5:$A$1004,"&lt;"&amp;MIN(EDATE(B360,1),$C$6+1))</f>
        <v>0</v>
      </c>
      <c r="H360" s="33" t="n">
        <f aca="false">IF(B360&lt;=$C$6,0,($C$12-$C$13/12)*(1+$C$14)^(YEAR(B360)-YEAR($C$6)))</f>
        <v>684.788719214339</v>
      </c>
      <c r="I360" s="33" t="n">
        <f aca="false">SUM(D360:H360)</f>
        <v>-147.731280785661</v>
      </c>
      <c r="J360" s="33" t="n">
        <f aca="false">IF(C360&lt;=$C$22,I360,0)</f>
        <v>0</v>
      </c>
      <c r="K360" s="33" t="n">
        <f aca="false">IF(C360&lt;=$D$22,I360,0)</f>
        <v>0</v>
      </c>
      <c r="L360" s="33" t="n">
        <f aca="false">IF(C360&lt;=$E$22,I360,0)</f>
        <v>0</v>
      </c>
    </row>
    <row r="361" customFormat="false" ht="15" hidden="false" customHeight="true" outlineLevel="0" collapsed="false">
      <c r="B361" s="65" t="n">
        <f aca="false">EDATE(B360,1)</f>
        <v>49980</v>
      </c>
      <c r="C361" s="64" t="n">
        <f aca="false">B361+14</f>
        <v>49994</v>
      </c>
      <c r="D361" s="33" t="n">
        <f aca="false">IF(OR($C$9="",B361&gt;=$C$9),0,$C$10*(1+$C$11)^IF(B361&lt;$C$7,0,DATEDIF($C$7,B361,"y"))*MAX(0,MIN(EDATE(B361,1),$C$9)-MAX(B361,$C$7))/(EDATE(B361,1)-B361))</f>
        <v>0</v>
      </c>
      <c r="E361" s="33" t="n">
        <f aca="false">-SUMIFS(Échéancier!$I$5:$I$300,Échéancier!$J$5:$J$300,$C$5,Échéancier!$C$5:$C$300,"&gt;="&amp;B361,Échéancier!$C$5:$C$300,"&lt;"&amp;EDATE(B361,1))</f>
        <v>-832.51</v>
      </c>
      <c r="F361" s="33" t="n">
        <f aca="false">-SUMIFS($D$68:$D$106,$E$68:$E$106,$C$5,$C$68:$C$106,"&gt;="&amp;B361,$C$68:$C$106,"&lt;"&amp;EDATE(B361,1))</f>
        <v>-0</v>
      </c>
      <c r="G361" s="33" t="n">
        <f aca="false">SUMIFS(Journal!$K$5:$K$1004,Journal!$C$5:$C$1004,$C$5,Journal!$A$5:$A$1004,"&gt;="&amp;B361,Journal!$A$5:$A$1004,"&lt;"&amp;MIN(EDATE(B361,1),$C$6+1))</f>
        <v>0</v>
      </c>
      <c r="H361" s="33" t="n">
        <f aca="false">IF(B361&lt;=$C$6,0,($C$12-$C$13/12)*(1+$C$14)^(YEAR(B361)-YEAR($C$6)))</f>
        <v>684.788719214339</v>
      </c>
      <c r="I361" s="33" t="n">
        <f aca="false">SUM(D361:H361)</f>
        <v>-147.721280785661</v>
      </c>
      <c r="J361" s="33" t="n">
        <f aca="false">IF(C361&lt;=$C$22,I361,0)</f>
        <v>0</v>
      </c>
      <c r="K361" s="33" t="n">
        <f aca="false">IF(C361&lt;=$D$22,I361,0)</f>
        <v>0</v>
      </c>
      <c r="L361" s="33" t="n">
        <f aca="false">IF(C361&lt;=$E$22,I361,0)</f>
        <v>0</v>
      </c>
    </row>
    <row r="362" customFormat="false" ht="15" hidden="false" customHeight="true" outlineLevel="0" collapsed="false">
      <c r="B362" s="65" t="n">
        <f aca="false">EDATE(B361,1)</f>
        <v>50010</v>
      </c>
      <c r="C362" s="64" t="n">
        <f aca="false">B362+14</f>
        <v>50024</v>
      </c>
      <c r="D362" s="33" t="n">
        <f aca="false">IF(OR($C$9="",B362&gt;=$C$9),0,$C$10*(1+$C$11)^IF(B362&lt;$C$7,0,DATEDIF($C$7,B362,"y"))*MAX(0,MIN(EDATE(B362,1),$C$9)-MAX(B362,$C$7))/(EDATE(B362,1)-B362))</f>
        <v>0</v>
      </c>
      <c r="E362" s="33" t="n">
        <f aca="false">-SUMIFS(Échéancier!$I$5:$I$300,Échéancier!$J$5:$J$300,$C$5,Échéancier!$C$5:$C$300,"&gt;="&amp;B362,Échéancier!$C$5:$C$300,"&lt;"&amp;EDATE(B362,1))</f>
        <v>-832.52</v>
      </c>
      <c r="F362" s="33" t="n">
        <f aca="false">-SUMIFS($D$68:$D$106,$E$68:$E$106,$C$5,$C$68:$C$106,"&gt;="&amp;B362,$C$68:$C$106,"&lt;"&amp;EDATE(B362,1))</f>
        <v>-0</v>
      </c>
      <c r="G362" s="33" t="n">
        <f aca="false">SUMIFS(Journal!$K$5:$K$1004,Journal!$C$5:$C$1004,$C$5,Journal!$A$5:$A$1004,"&gt;="&amp;B362,Journal!$A$5:$A$1004,"&lt;"&amp;MIN(EDATE(B362,1),$C$6+1))</f>
        <v>0</v>
      </c>
      <c r="H362" s="33" t="n">
        <f aca="false">IF(B362&lt;=$C$6,0,($C$12-$C$13/12)*(1+$C$14)^(YEAR(B362)-YEAR($C$6)))</f>
        <v>684.788719214339</v>
      </c>
      <c r="I362" s="33" t="n">
        <f aca="false">SUM(D362:H362)</f>
        <v>-147.731280785661</v>
      </c>
      <c r="J362" s="33" t="n">
        <f aca="false">IF(C362&lt;=$C$22,I362,0)</f>
        <v>0</v>
      </c>
      <c r="K362" s="33" t="n">
        <f aca="false">IF(C362&lt;=$D$22,I362,0)</f>
        <v>0</v>
      </c>
      <c r="L362" s="33" t="n">
        <f aca="false">IF(C362&lt;=$E$22,I362,0)</f>
        <v>0</v>
      </c>
    </row>
    <row r="363" customFormat="false" ht="15" hidden="false" customHeight="true" outlineLevel="0" collapsed="false">
      <c r="B363" s="65" t="n">
        <f aca="false">EDATE(B362,1)</f>
        <v>50041</v>
      </c>
      <c r="C363" s="64" t="n">
        <f aca="false">B363+14</f>
        <v>50055</v>
      </c>
      <c r="D363" s="33" t="n">
        <f aca="false">IF(OR($C$9="",B363&gt;=$C$9),0,$C$10*(1+$C$11)^IF(B363&lt;$C$7,0,DATEDIF($C$7,B363,"y"))*MAX(0,MIN(EDATE(B363,1),$C$9)-MAX(B363,$C$7))/(EDATE(B363,1)-B363))</f>
        <v>0</v>
      </c>
      <c r="E363" s="33" t="n">
        <f aca="false">-SUMIFS(Échéancier!$I$5:$I$300,Échéancier!$J$5:$J$300,$C$5,Échéancier!$C$5:$C$300,"&gt;="&amp;B363,Échéancier!$C$5:$C$300,"&lt;"&amp;EDATE(B363,1))</f>
        <v>-832.52</v>
      </c>
      <c r="F363" s="33" t="n">
        <f aca="false">-SUMIFS($D$68:$D$106,$E$68:$E$106,$C$5,$C$68:$C$106,"&gt;="&amp;B363,$C$68:$C$106,"&lt;"&amp;EDATE(B363,1))</f>
        <v>-0</v>
      </c>
      <c r="G363" s="33" t="n">
        <f aca="false">SUMIFS(Journal!$K$5:$K$1004,Journal!$C$5:$C$1004,$C$5,Journal!$A$5:$A$1004,"&gt;="&amp;B363,Journal!$A$5:$A$1004,"&lt;"&amp;MIN(EDATE(B363,1),$C$6+1))</f>
        <v>0</v>
      </c>
      <c r="H363" s="33" t="n">
        <f aca="false">IF(B363&lt;=$C$6,0,($C$12-$C$13/12)*(1+$C$14)^(YEAR(B363)-YEAR($C$6)))</f>
        <v>695.060550002554</v>
      </c>
      <c r="I363" s="33" t="n">
        <f aca="false">SUM(D363:H363)</f>
        <v>-137.459449997446</v>
      </c>
      <c r="J363" s="33" t="n">
        <f aca="false">IF(C363&lt;=$C$22,I363,0)</f>
        <v>0</v>
      </c>
      <c r="K363" s="33" t="n">
        <f aca="false">IF(C363&lt;=$D$22,I363,0)</f>
        <v>0</v>
      </c>
      <c r="L363" s="33" t="n">
        <f aca="false">IF(C363&lt;=$E$22,I363,0)</f>
        <v>0</v>
      </c>
    </row>
    <row r="364" customFormat="false" ht="15" hidden="false" customHeight="true" outlineLevel="0" collapsed="false">
      <c r="B364" s="65" t="n">
        <f aca="false">EDATE(B363,1)</f>
        <v>50072</v>
      </c>
      <c r="C364" s="64" t="n">
        <f aca="false">B364+14</f>
        <v>50086</v>
      </c>
      <c r="D364" s="33" t="n">
        <f aca="false">IF(OR($C$9="",B364&gt;=$C$9),0,$C$10*(1+$C$11)^IF(B364&lt;$C$7,0,DATEDIF($C$7,B364,"y"))*MAX(0,MIN(EDATE(B364,1),$C$9)-MAX(B364,$C$7))/(EDATE(B364,1)-B364))</f>
        <v>0</v>
      </c>
      <c r="E364" s="33" t="n">
        <f aca="false">-SUMIFS(Échéancier!$I$5:$I$300,Échéancier!$J$5:$J$300,$C$5,Échéancier!$C$5:$C$300,"&gt;="&amp;B364,Échéancier!$C$5:$C$300,"&lt;"&amp;EDATE(B364,1))</f>
        <v>-832.51</v>
      </c>
      <c r="F364" s="33" t="n">
        <f aca="false">-SUMIFS($D$68:$D$106,$E$68:$E$106,$C$5,$C$68:$C$106,"&gt;="&amp;B364,$C$68:$C$106,"&lt;"&amp;EDATE(B364,1))</f>
        <v>-0</v>
      </c>
      <c r="G364" s="33" t="n">
        <f aca="false">SUMIFS(Journal!$K$5:$K$1004,Journal!$C$5:$C$1004,$C$5,Journal!$A$5:$A$1004,"&gt;="&amp;B364,Journal!$A$5:$A$1004,"&lt;"&amp;MIN(EDATE(B364,1),$C$6+1))</f>
        <v>0</v>
      </c>
      <c r="H364" s="33" t="n">
        <f aca="false">IF(B364&lt;=$C$6,0,($C$12-$C$13/12)*(1+$C$14)^(YEAR(B364)-YEAR($C$6)))</f>
        <v>695.060550002554</v>
      </c>
      <c r="I364" s="33" t="n">
        <f aca="false">SUM(D364:H364)</f>
        <v>-137.449449997446</v>
      </c>
      <c r="J364" s="33" t="n">
        <f aca="false">IF(C364&lt;=$C$22,I364,0)</f>
        <v>0</v>
      </c>
      <c r="K364" s="33" t="n">
        <f aca="false">IF(C364&lt;=$D$22,I364,0)</f>
        <v>0</v>
      </c>
      <c r="L364" s="33" t="n">
        <f aca="false">IF(C364&lt;=$E$22,I364,0)</f>
        <v>0</v>
      </c>
    </row>
    <row r="365" customFormat="false" ht="15" hidden="false" customHeight="true" outlineLevel="0" collapsed="false">
      <c r="B365" s="65" t="n">
        <f aca="false">EDATE(B364,1)</f>
        <v>50100</v>
      </c>
      <c r="C365" s="64" t="n">
        <f aca="false">B365+14</f>
        <v>50114</v>
      </c>
      <c r="D365" s="33" t="n">
        <f aca="false">IF(OR($C$9="",B365&gt;=$C$9),0,$C$10*(1+$C$11)^IF(B365&lt;$C$7,0,DATEDIF($C$7,B365,"y"))*MAX(0,MIN(EDATE(B365,1),$C$9)-MAX(B365,$C$7))/(EDATE(B365,1)-B365))</f>
        <v>0</v>
      </c>
      <c r="E365" s="33" t="n">
        <f aca="false">-SUMIFS(Échéancier!$I$5:$I$300,Échéancier!$J$5:$J$300,$C$5,Échéancier!$C$5:$C$300,"&gt;="&amp;B365,Échéancier!$C$5:$C$300,"&lt;"&amp;EDATE(B365,1))</f>
        <v>-832.52</v>
      </c>
      <c r="F365" s="33" t="n">
        <f aca="false">-SUMIFS($D$68:$D$106,$E$68:$E$106,$C$5,$C$68:$C$106,"&gt;="&amp;B365,$C$68:$C$106,"&lt;"&amp;EDATE(B365,1))</f>
        <v>-0</v>
      </c>
      <c r="G365" s="33" t="n">
        <f aca="false">SUMIFS(Journal!$K$5:$K$1004,Journal!$C$5:$C$1004,$C$5,Journal!$A$5:$A$1004,"&gt;="&amp;B365,Journal!$A$5:$A$1004,"&lt;"&amp;MIN(EDATE(B365,1),$C$6+1))</f>
        <v>0</v>
      </c>
      <c r="H365" s="33" t="n">
        <f aca="false">IF(B365&lt;=$C$6,0,($C$12-$C$13/12)*(1+$C$14)^(YEAR(B365)-YEAR($C$6)))</f>
        <v>695.060550002554</v>
      </c>
      <c r="I365" s="33" t="n">
        <f aca="false">SUM(D365:H365)</f>
        <v>-137.459449997446</v>
      </c>
      <c r="J365" s="33" t="n">
        <f aca="false">IF(C365&lt;=$C$22,I365,0)</f>
        <v>0</v>
      </c>
      <c r="K365" s="33" t="n">
        <f aca="false">IF(C365&lt;=$D$22,I365,0)</f>
        <v>0</v>
      </c>
      <c r="L365" s="33" t="n">
        <f aca="false">IF(C365&lt;=$E$22,I365,0)</f>
        <v>0</v>
      </c>
    </row>
    <row r="366" customFormat="false" ht="15" hidden="false" customHeight="true" outlineLevel="0" collapsed="false">
      <c r="B366" s="65" t="n">
        <f aca="false">EDATE(B365,1)</f>
        <v>50131</v>
      </c>
      <c r="C366" s="64" t="n">
        <f aca="false">B366+14</f>
        <v>50145</v>
      </c>
      <c r="D366" s="33" t="n">
        <f aca="false">IF(OR($C$9="",B366&gt;=$C$9),0,$C$10*(1+$C$11)^IF(B366&lt;$C$7,0,DATEDIF($C$7,B366,"y"))*MAX(0,MIN(EDATE(B366,1),$C$9)-MAX(B366,$C$7))/(EDATE(B366,1)-B366))</f>
        <v>0</v>
      </c>
      <c r="E366" s="33" t="n">
        <f aca="false">-SUMIFS(Échéancier!$I$5:$I$300,Échéancier!$J$5:$J$300,$C$5,Échéancier!$C$5:$C$300,"&gt;="&amp;B366,Échéancier!$C$5:$C$300,"&lt;"&amp;EDATE(B366,1))</f>
        <v>-832.52</v>
      </c>
      <c r="F366" s="33" t="n">
        <f aca="false">-SUMIFS($D$68:$D$106,$E$68:$E$106,$C$5,$C$68:$C$106,"&gt;="&amp;B366,$C$68:$C$106,"&lt;"&amp;EDATE(B366,1))</f>
        <v>-0</v>
      </c>
      <c r="G366" s="33" t="n">
        <f aca="false">SUMIFS(Journal!$K$5:$K$1004,Journal!$C$5:$C$1004,$C$5,Journal!$A$5:$A$1004,"&gt;="&amp;B366,Journal!$A$5:$A$1004,"&lt;"&amp;MIN(EDATE(B366,1),$C$6+1))</f>
        <v>0</v>
      </c>
      <c r="H366" s="33" t="n">
        <f aca="false">IF(B366&lt;=$C$6,0,($C$12-$C$13/12)*(1+$C$14)^(YEAR(B366)-YEAR($C$6)))</f>
        <v>695.060550002554</v>
      </c>
      <c r="I366" s="33" t="n">
        <f aca="false">SUM(D366:H366)</f>
        <v>-137.459449997446</v>
      </c>
      <c r="J366" s="33" t="n">
        <f aca="false">IF(C366&lt;=$C$22,I366,0)</f>
        <v>0</v>
      </c>
      <c r="K366" s="33" t="n">
        <f aca="false">IF(C366&lt;=$D$22,I366,0)</f>
        <v>0</v>
      </c>
      <c r="L366" s="33" t="n">
        <f aca="false">IF(C366&lt;=$E$22,I366,0)</f>
        <v>0</v>
      </c>
    </row>
    <row r="367" customFormat="false" ht="15" hidden="false" customHeight="true" outlineLevel="0" collapsed="false">
      <c r="B367" s="65" t="n">
        <f aca="false">EDATE(B366,1)</f>
        <v>50161</v>
      </c>
      <c r="C367" s="64" t="n">
        <f aca="false">B367+14</f>
        <v>50175</v>
      </c>
      <c r="D367" s="33" t="n">
        <f aca="false">IF(OR($C$9="",B367&gt;=$C$9),0,$C$10*(1+$C$11)^IF(B367&lt;$C$7,0,DATEDIF($C$7,B367,"y"))*MAX(0,MIN(EDATE(B367,1),$C$9)-MAX(B367,$C$7))/(EDATE(B367,1)-B367))</f>
        <v>0</v>
      </c>
      <c r="E367" s="33" t="n">
        <f aca="false">-SUMIFS(Échéancier!$I$5:$I$300,Échéancier!$J$5:$J$300,$C$5,Échéancier!$C$5:$C$300,"&gt;="&amp;B367,Échéancier!$C$5:$C$300,"&lt;"&amp;EDATE(B367,1))</f>
        <v>-832.51</v>
      </c>
      <c r="F367" s="33" t="n">
        <f aca="false">-SUMIFS($D$68:$D$106,$E$68:$E$106,$C$5,$C$68:$C$106,"&gt;="&amp;B367,$C$68:$C$106,"&lt;"&amp;EDATE(B367,1))</f>
        <v>-0</v>
      </c>
      <c r="G367" s="33" t="n">
        <f aca="false">SUMIFS(Journal!$K$5:$K$1004,Journal!$C$5:$C$1004,$C$5,Journal!$A$5:$A$1004,"&gt;="&amp;B367,Journal!$A$5:$A$1004,"&lt;"&amp;MIN(EDATE(B367,1),$C$6+1))</f>
        <v>0</v>
      </c>
      <c r="H367" s="33" t="n">
        <f aca="false">IF(B367&lt;=$C$6,0,($C$12-$C$13/12)*(1+$C$14)^(YEAR(B367)-YEAR($C$6)))</f>
        <v>695.060550002554</v>
      </c>
      <c r="I367" s="33" t="n">
        <f aca="false">SUM(D367:H367)</f>
        <v>-137.449449997446</v>
      </c>
      <c r="J367" s="33" t="n">
        <f aca="false">IF(C367&lt;=$C$22,I367,0)</f>
        <v>0</v>
      </c>
      <c r="K367" s="33" t="n">
        <f aca="false">IF(C367&lt;=$D$22,I367,0)</f>
        <v>0</v>
      </c>
      <c r="L367" s="33" t="n">
        <f aca="false">IF(C367&lt;=$E$22,I367,0)</f>
        <v>0</v>
      </c>
    </row>
    <row r="368" customFormat="false" ht="15" hidden="false" customHeight="true" outlineLevel="0" collapsed="false">
      <c r="B368" s="65" t="n">
        <f aca="false">EDATE(B367,1)</f>
        <v>50192</v>
      </c>
      <c r="C368" s="64" t="n">
        <f aca="false">B368+14</f>
        <v>50206</v>
      </c>
      <c r="D368" s="33" t="n">
        <f aca="false">IF(OR($C$9="",B368&gt;=$C$9),0,$C$10*(1+$C$11)^IF(B368&lt;$C$7,0,DATEDIF($C$7,B368,"y"))*MAX(0,MIN(EDATE(B368,1),$C$9)-MAX(B368,$C$7))/(EDATE(B368,1)-B368))</f>
        <v>0</v>
      </c>
      <c r="E368" s="33" t="n">
        <f aca="false">-SUMIFS(Échéancier!$I$5:$I$300,Échéancier!$J$5:$J$300,$C$5,Échéancier!$C$5:$C$300,"&gt;="&amp;B368,Échéancier!$C$5:$C$300,"&lt;"&amp;EDATE(B368,1))</f>
        <v>-832.52</v>
      </c>
      <c r="F368" s="33" t="n">
        <f aca="false">-SUMIFS($D$68:$D$106,$E$68:$E$106,$C$5,$C$68:$C$106,"&gt;="&amp;B368,$C$68:$C$106,"&lt;"&amp;EDATE(B368,1))</f>
        <v>-0</v>
      </c>
      <c r="G368" s="33" t="n">
        <f aca="false">SUMIFS(Journal!$K$5:$K$1004,Journal!$C$5:$C$1004,$C$5,Journal!$A$5:$A$1004,"&gt;="&amp;B368,Journal!$A$5:$A$1004,"&lt;"&amp;MIN(EDATE(B368,1),$C$6+1))</f>
        <v>0</v>
      </c>
      <c r="H368" s="33" t="n">
        <f aca="false">IF(B368&lt;=$C$6,0,($C$12-$C$13/12)*(1+$C$14)^(YEAR(B368)-YEAR($C$6)))</f>
        <v>695.060550002554</v>
      </c>
      <c r="I368" s="33" t="n">
        <f aca="false">SUM(D368:H368)</f>
        <v>-137.459449997446</v>
      </c>
      <c r="J368" s="33" t="n">
        <f aca="false">IF(C368&lt;=$C$22,I368,0)</f>
        <v>0</v>
      </c>
      <c r="K368" s="33" t="n">
        <f aca="false">IF(C368&lt;=$D$22,I368,0)</f>
        <v>0</v>
      </c>
      <c r="L368" s="33" t="n">
        <f aca="false">IF(C368&lt;=$E$22,I368,0)</f>
        <v>0</v>
      </c>
    </row>
    <row r="369" customFormat="false" ht="15" hidden="false" customHeight="true" outlineLevel="0" collapsed="false">
      <c r="B369" s="65" t="n">
        <f aca="false">EDATE(B368,1)</f>
        <v>50222</v>
      </c>
      <c r="C369" s="64" t="n">
        <f aca="false">B369+14</f>
        <v>50236</v>
      </c>
      <c r="D369" s="33" t="n">
        <f aca="false">IF(OR($C$9="",B369&gt;=$C$9),0,$C$10*(1+$C$11)^IF(B369&lt;$C$7,0,DATEDIF($C$7,B369,"y"))*MAX(0,MIN(EDATE(B369,1),$C$9)-MAX(B369,$C$7))/(EDATE(B369,1)-B369))</f>
        <v>0</v>
      </c>
      <c r="E369" s="33" t="n">
        <f aca="false">-SUMIFS(Échéancier!$I$5:$I$300,Échéancier!$J$5:$J$300,$C$5,Échéancier!$C$5:$C$300,"&gt;="&amp;B369,Échéancier!$C$5:$C$300,"&lt;"&amp;EDATE(B369,1))</f>
        <v>-832.52</v>
      </c>
      <c r="F369" s="33" t="n">
        <f aca="false">-SUMIFS($D$68:$D$106,$E$68:$E$106,$C$5,$C$68:$C$106,"&gt;="&amp;B369,$C$68:$C$106,"&lt;"&amp;EDATE(B369,1))</f>
        <v>-0</v>
      </c>
      <c r="G369" s="33" t="n">
        <f aca="false">SUMIFS(Journal!$K$5:$K$1004,Journal!$C$5:$C$1004,$C$5,Journal!$A$5:$A$1004,"&gt;="&amp;B369,Journal!$A$5:$A$1004,"&lt;"&amp;MIN(EDATE(B369,1),$C$6+1))</f>
        <v>0</v>
      </c>
      <c r="H369" s="33" t="n">
        <f aca="false">IF(B369&lt;=$C$6,0,($C$12-$C$13/12)*(1+$C$14)^(YEAR(B369)-YEAR($C$6)))</f>
        <v>695.060550002554</v>
      </c>
      <c r="I369" s="33" t="n">
        <f aca="false">SUM(D369:H369)</f>
        <v>-137.459449997446</v>
      </c>
      <c r="J369" s="33" t="n">
        <f aca="false">IF(C369&lt;=$C$22,I369,0)</f>
        <v>0</v>
      </c>
      <c r="K369" s="33" t="n">
        <f aca="false">IF(C369&lt;=$D$22,I369,0)</f>
        <v>0</v>
      </c>
      <c r="L369" s="33" t="n">
        <f aca="false">IF(C369&lt;=$E$22,I369,0)</f>
        <v>0</v>
      </c>
    </row>
    <row r="370" customFormat="false" ht="15" hidden="false" customHeight="true" outlineLevel="0" collapsed="false">
      <c r="B370" s="65" t="n">
        <f aca="false">EDATE(B369,1)</f>
        <v>50253</v>
      </c>
      <c r="C370" s="64" t="n">
        <f aca="false">B370+14</f>
        <v>50267</v>
      </c>
      <c r="D370" s="33" t="n">
        <f aca="false">IF(OR($C$9="",B370&gt;=$C$9),0,$C$10*(1+$C$11)^IF(B370&lt;$C$7,0,DATEDIF($C$7,B370,"y"))*MAX(0,MIN(EDATE(B370,1),$C$9)-MAX(B370,$C$7))/(EDATE(B370,1)-B370))</f>
        <v>0</v>
      </c>
      <c r="E370" s="33" t="n">
        <f aca="false">-SUMIFS(Échéancier!$I$5:$I$300,Échéancier!$J$5:$J$300,$C$5,Échéancier!$C$5:$C$300,"&gt;="&amp;B370,Échéancier!$C$5:$C$300,"&lt;"&amp;EDATE(B370,1))</f>
        <v>-832.51</v>
      </c>
      <c r="F370" s="33" t="n">
        <f aca="false">-SUMIFS($D$68:$D$106,$E$68:$E$106,$C$5,$C$68:$C$106,"&gt;="&amp;B370,$C$68:$C$106,"&lt;"&amp;EDATE(B370,1))</f>
        <v>-0</v>
      </c>
      <c r="G370" s="33" t="n">
        <f aca="false">SUMIFS(Journal!$K$5:$K$1004,Journal!$C$5:$C$1004,$C$5,Journal!$A$5:$A$1004,"&gt;="&amp;B370,Journal!$A$5:$A$1004,"&lt;"&amp;MIN(EDATE(B370,1),$C$6+1))</f>
        <v>0</v>
      </c>
      <c r="H370" s="33" t="n">
        <f aca="false">IF(B370&lt;=$C$6,0,($C$12-$C$13/12)*(1+$C$14)^(YEAR(B370)-YEAR($C$6)))</f>
        <v>695.060550002554</v>
      </c>
      <c r="I370" s="33" t="n">
        <f aca="false">SUM(D370:H370)</f>
        <v>-137.449449997446</v>
      </c>
      <c r="J370" s="33" t="n">
        <f aca="false">IF(C370&lt;=$C$22,I370,0)</f>
        <v>0</v>
      </c>
      <c r="K370" s="33" t="n">
        <f aca="false">IF(C370&lt;=$D$22,I370,0)</f>
        <v>0</v>
      </c>
      <c r="L370" s="33" t="n">
        <f aca="false">IF(C370&lt;=$E$22,I370,0)</f>
        <v>0</v>
      </c>
    </row>
    <row r="371" customFormat="false" ht="15" hidden="false" customHeight="true" outlineLevel="0" collapsed="false">
      <c r="B371" s="65" t="n">
        <f aca="false">EDATE(B370,1)</f>
        <v>50284</v>
      </c>
      <c r="C371" s="64" t="n">
        <f aca="false">B371+14</f>
        <v>50298</v>
      </c>
      <c r="D371" s="33" t="n">
        <f aca="false">IF(OR($C$9="",B371&gt;=$C$9),0,$C$10*(1+$C$11)^IF(B371&lt;$C$7,0,DATEDIF($C$7,B371,"y"))*MAX(0,MIN(EDATE(B371,1),$C$9)-MAX(B371,$C$7))/(EDATE(B371,1)-B371))</f>
        <v>0</v>
      </c>
      <c r="E371" s="33" t="n">
        <f aca="false">-SUMIFS(Échéancier!$I$5:$I$300,Échéancier!$J$5:$J$300,$C$5,Échéancier!$C$5:$C$300,"&gt;="&amp;B371,Échéancier!$C$5:$C$300,"&lt;"&amp;EDATE(B371,1))</f>
        <v>-832.52</v>
      </c>
      <c r="F371" s="33" t="n">
        <f aca="false">-SUMIFS($D$68:$D$106,$E$68:$E$106,$C$5,$C$68:$C$106,"&gt;="&amp;B371,$C$68:$C$106,"&lt;"&amp;EDATE(B371,1))</f>
        <v>-0</v>
      </c>
      <c r="G371" s="33" t="n">
        <f aca="false">SUMIFS(Journal!$K$5:$K$1004,Journal!$C$5:$C$1004,$C$5,Journal!$A$5:$A$1004,"&gt;="&amp;B371,Journal!$A$5:$A$1004,"&lt;"&amp;MIN(EDATE(B371,1),$C$6+1))</f>
        <v>0</v>
      </c>
      <c r="H371" s="33" t="n">
        <f aca="false">IF(B371&lt;=$C$6,0,($C$12-$C$13/12)*(1+$C$14)^(YEAR(B371)-YEAR($C$6)))</f>
        <v>695.060550002554</v>
      </c>
      <c r="I371" s="33" t="n">
        <f aca="false">SUM(D371:H371)</f>
        <v>-137.459449997446</v>
      </c>
      <c r="J371" s="33" t="n">
        <f aca="false">IF(C371&lt;=$C$22,I371,0)</f>
        <v>0</v>
      </c>
      <c r="K371" s="33" t="n">
        <f aca="false">IF(C371&lt;=$D$22,I371,0)</f>
        <v>0</v>
      </c>
      <c r="L371" s="33" t="n">
        <f aca="false">IF(C371&lt;=$E$22,I371,0)</f>
        <v>0</v>
      </c>
    </row>
    <row r="372" customFormat="false" ht="15" hidden="false" customHeight="true" outlineLevel="0" collapsed="false">
      <c r="B372" s="65" t="n">
        <f aca="false">EDATE(B371,1)</f>
        <v>50314</v>
      </c>
      <c r="C372" s="64" t="n">
        <f aca="false">B372+14</f>
        <v>50328</v>
      </c>
      <c r="D372" s="33" t="n">
        <f aca="false">IF(OR($C$9="",B372&gt;=$C$9),0,$C$10*(1+$C$11)^IF(B372&lt;$C$7,0,DATEDIF($C$7,B372,"y"))*MAX(0,MIN(EDATE(B372,1),$C$9)-MAX(B372,$C$7))/(EDATE(B372,1)-B372))</f>
        <v>0</v>
      </c>
      <c r="E372" s="33" t="n">
        <f aca="false">-SUMIFS(Échéancier!$I$5:$I$300,Échéancier!$J$5:$J$300,$C$5,Échéancier!$C$5:$C$300,"&gt;="&amp;B372,Échéancier!$C$5:$C$300,"&lt;"&amp;EDATE(B372,1))</f>
        <v>-832.52</v>
      </c>
      <c r="F372" s="33" t="n">
        <f aca="false">-SUMIFS($D$68:$D$106,$E$68:$E$106,$C$5,$C$68:$C$106,"&gt;="&amp;B372,$C$68:$C$106,"&lt;"&amp;EDATE(B372,1))</f>
        <v>-0</v>
      </c>
      <c r="G372" s="33" t="n">
        <f aca="false">SUMIFS(Journal!$K$5:$K$1004,Journal!$C$5:$C$1004,$C$5,Journal!$A$5:$A$1004,"&gt;="&amp;B372,Journal!$A$5:$A$1004,"&lt;"&amp;MIN(EDATE(B372,1),$C$6+1))</f>
        <v>0</v>
      </c>
      <c r="H372" s="33" t="n">
        <f aca="false">IF(B372&lt;=$C$6,0,($C$12-$C$13/12)*(1+$C$14)^(YEAR(B372)-YEAR($C$6)))</f>
        <v>695.060550002554</v>
      </c>
      <c r="I372" s="33" t="n">
        <f aca="false">SUM(D372:H372)</f>
        <v>-137.459449997446</v>
      </c>
      <c r="J372" s="33" t="n">
        <f aca="false">IF(C372&lt;=$C$22,I372,0)</f>
        <v>0</v>
      </c>
      <c r="K372" s="33" t="n">
        <f aca="false">IF(C372&lt;=$D$22,I372,0)</f>
        <v>0</v>
      </c>
      <c r="L372" s="33" t="n">
        <f aca="false">IF(C372&lt;=$E$22,I372,0)</f>
        <v>0</v>
      </c>
    </row>
    <row r="373" customFormat="false" ht="15" hidden="false" customHeight="true" outlineLevel="0" collapsed="false">
      <c r="B373" s="65" t="n">
        <f aca="false">EDATE(B372,1)</f>
        <v>50345</v>
      </c>
      <c r="C373" s="64" t="n">
        <f aca="false">B373+14</f>
        <v>50359</v>
      </c>
      <c r="D373" s="33" t="n">
        <f aca="false">IF(OR($C$9="",B373&gt;=$C$9),0,$C$10*(1+$C$11)^IF(B373&lt;$C$7,0,DATEDIF($C$7,B373,"y"))*MAX(0,MIN(EDATE(B373,1),$C$9)-MAX(B373,$C$7))/(EDATE(B373,1)-B373))</f>
        <v>0</v>
      </c>
      <c r="E373" s="33" t="n">
        <f aca="false">-SUMIFS(Échéancier!$I$5:$I$300,Échéancier!$J$5:$J$300,$C$5,Échéancier!$C$5:$C$300,"&gt;="&amp;B373,Échéancier!$C$5:$C$300,"&lt;"&amp;EDATE(B373,1))</f>
        <v>-831.92</v>
      </c>
      <c r="F373" s="33" t="n">
        <f aca="false">-SUMIFS($D$68:$D$106,$E$68:$E$106,$C$5,$C$68:$C$106,"&gt;="&amp;B373,$C$68:$C$106,"&lt;"&amp;EDATE(B373,1))</f>
        <v>-0</v>
      </c>
      <c r="G373" s="33" t="n">
        <f aca="false">SUMIFS(Journal!$K$5:$K$1004,Journal!$C$5:$C$1004,$C$5,Journal!$A$5:$A$1004,"&gt;="&amp;B373,Journal!$A$5:$A$1004,"&lt;"&amp;MIN(EDATE(B373,1),$C$6+1))</f>
        <v>0</v>
      </c>
      <c r="H373" s="33" t="n">
        <f aca="false">IF(B373&lt;=$C$6,0,($C$12-$C$13/12)*(1+$C$14)^(YEAR(B373)-YEAR($C$6)))</f>
        <v>695.060550002554</v>
      </c>
      <c r="I373" s="33" t="n">
        <f aca="false">SUM(D373:H373)</f>
        <v>-136.859449997446</v>
      </c>
      <c r="J373" s="33" t="n">
        <f aca="false">IF(C373&lt;=$C$22,I373,0)</f>
        <v>0</v>
      </c>
      <c r="K373" s="33" t="n">
        <f aca="false">IF(C373&lt;=$D$22,I373,0)</f>
        <v>0</v>
      </c>
      <c r="L373" s="33" t="n">
        <f aca="false">IF(C373&lt;=$E$22,I373,0)</f>
        <v>0</v>
      </c>
    </row>
    <row r="374" customFormat="false" ht="15" hidden="false" customHeight="true" outlineLevel="0" collapsed="false">
      <c r="B374" s="65" t="n">
        <f aca="false">EDATE(B373,1)</f>
        <v>50375</v>
      </c>
      <c r="C374" s="64" t="n">
        <f aca="false">B374+14</f>
        <v>50389</v>
      </c>
      <c r="D374" s="33" t="n">
        <f aca="false">IF(OR($C$9="",B374&gt;=$C$9),0,$C$10*(1+$C$11)^IF(B374&lt;$C$7,0,DATEDIF($C$7,B374,"y"))*MAX(0,MIN(EDATE(B374,1),$C$9)-MAX(B374,$C$7))/(EDATE(B374,1)-B374))</f>
        <v>0</v>
      </c>
      <c r="E374" s="33" t="n">
        <f aca="false">-SUMIFS(Échéancier!$I$5:$I$300,Échéancier!$J$5:$J$300,$C$5,Échéancier!$C$5:$C$300,"&gt;="&amp;B374,Échéancier!$C$5:$C$300,"&lt;"&amp;EDATE(B374,1))</f>
        <v>-0</v>
      </c>
      <c r="F374" s="33" t="n">
        <f aca="false">-SUMIFS($D$68:$D$106,$E$68:$E$106,$C$5,$C$68:$C$106,"&gt;="&amp;B374,$C$68:$C$106,"&lt;"&amp;EDATE(B374,1))</f>
        <v>-0</v>
      </c>
      <c r="G374" s="33" t="n">
        <f aca="false">SUMIFS(Journal!$K$5:$K$1004,Journal!$C$5:$C$1004,$C$5,Journal!$A$5:$A$1004,"&gt;="&amp;B374,Journal!$A$5:$A$1004,"&lt;"&amp;MIN(EDATE(B374,1),$C$6+1))</f>
        <v>0</v>
      </c>
      <c r="H374" s="33" t="n">
        <f aca="false">IF(B374&lt;=$C$6,0,($C$12-$C$13/12)*(1+$C$14)^(YEAR(B374)-YEAR($C$6)))</f>
        <v>695.060550002554</v>
      </c>
      <c r="I374" s="33" t="n">
        <f aca="false">SUM(D374:H374)</f>
        <v>695.060550002554</v>
      </c>
      <c r="J374" s="33" t="n">
        <f aca="false">IF(C374&lt;=$C$22,I374,0)</f>
        <v>0</v>
      </c>
      <c r="K374" s="33" t="n">
        <f aca="false">IF(C374&lt;=$D$22,I374,0)</f>
        <v>0</v>
      </c>
      <c r="L374" s="33" t="n">
        <f aca="false">IF(C374&lt;=$E$22,I374,0)</f>
        <v>0</v>
      </c>
    </row>
    <row r="375" customFormat="false" ht="15" hidden="false" customHeight="true" outlineLevel="0" collapsed="false">
      <c r="B375" s="65" t="n">
        <f aca="false">EDATE(B374,1)</f>
        <v>50406</v>
      </c>
      <c r="C375" s="64" t="n">
        <f aca="false">B375+14</f>
        <v>50420</v>
      </c>
      <c r="D375" s="33" t="n">
        <f aca="false">IF(OR($C$9="",B375&gt;=$C$9),0,$C$10*(1+$C$11)^IF(B375&lt;$C$7,0,DATEDIF($C$7,B375,"y"))*MAX(0,MIN(EDATE(B375,1),$C$9)-MAX(B375,$C$7))/(EDATE(B375,1)-B375))</f>
        <v>0</v>
      </c>
      <c r="E375" s="33" t="n">
        <f aca="false">-SUMIFS(Échéancier!$I$5:$I$300,Échéancier!$J$5:$J$300,$C$5,Échéancier!$C$5:$C$300,"&gt;="&amp;B375,Échéancier!$C$5:$C$300,"&lt;"&amp;EDATE(B375,1))</f>
        <v>-0</v>
      </c>
      <c r="F375" s="33" t="n">
        <f aca="false">-SUMIFS($D$68:$D$106,$E$68:$E$106,$C$5,$C$68:$C$106,"&gt;="&amp;B375,$C$68:$C$106,"&lt;"&amp;EDATE(B375,1))</f>
        <v>-0</v>
      </c>
      <c r="G375" s="33" t="n">
        <f aca="false">SUMIFS(Journal!$K$5:$K$1004,Journal!$C$5:$C$1004,$C$5,Journal!$A$5:$A$1004,"&gt;="&amp;B375,Journal!$A$5:$A$1004,"&lt;"&amp;MIN(EDATE(B375,1),$C$6+1))</f>
        <v>0</v>
      </c>
      <c r="H375" s="33" t="n">
        <f aca="false">IF(B375&lt;=$C$6,0,($C$12-$C$13/12)*(1+$C$14)^(YEAR(B375)-YEAR($C$6)))</f>
        <v>705.486458252593</v>
      </c>
      <c r="I375" s="33" t="n">
        <f aca="false">SUM(D375:H375)</f>
        <v>705.486458252593</v>
      </c>
      <c r="J375" s="33" t="n">
        <f aca="false">IF(C375&lt;=$C$22,I375,0)</f>
        <v>0</v>
      </c>
      <c r="K375" s="33" t="n">
        <f aca="false">IF(C375&lt;=$D$22,I375,0)</f>
        <v>0</v>
      </c>
      <c r="L375" s="33" t="n">
        <f aca="false">IF(C375&lt;=$E$22,I375,0)</f>
        <v>0</v>
      </c>
    </row>
    <row r="376" customFormat="false" ht="15" hidden="false" customHeight="true" outlineLevel="0" collapsed="false">
      <c r="B376" s="65" t="n">
        <f aca="false">EDATE(B375,1)</f>
        <v>50437</v>
      </c>
      <c r="C376" s="64" t="n">
        <f aca="false">B376+14</f>
        <v>50451</v>
      </c>
      <c r="D376" s="33" t="n">
        <f aca="false">IF(OR($C$9="",B376&gt;=$C$9),0,$C$10*(1+$C$11)^IF(B376&lt;$C$7,0,DATEDIF($C$7,B376,"y"))*MAX(0,MIN(EDATE(B376,1),$C$9)-MAX(B376,$C$7))/(EDATE(B376,1)-B376))</f>
        <v>0</v>
      </c>
      <c r="E376" s="33" t="n">
        <f aca="false">-SUMIFS(Échéancier!$I$5:$I$300,Échéancier!$J$5:$J$300,$C$5,Échéancier!$C$5:$C$300,"&gt;="&amp;B376,Échéancier!$C$5:$C$300,"&lt;"&amp;EDATE(B376,1))</f>
        <v>-0</v>
      </c>
      <c r="F376" s="33" t="n">
        <f aca="false">-SUMIFS($D$68:$D$106,$E$68:$E$106,$C$5,$C$68:$C$106,"&gt;="&amp;B376,$C$68:$C$106,"&lt;"&amp;EDATE(B376,1))</f>
        <v>-0</v>
      </c>
      <c r="G376" s="33" t="n">
        <f aca="false">SUMIFS(Journal!$K$5:$K$1004,Journal!$C$5:$C$1004,$C$5,Journal!$A$5:$A$1004,"&gt;="&amp;B376,Journal!$A$5:$A$1004,"&lt;"&amp;MIN(EDATE(B376,1),$C$6+1))</f>
        <v>0</v>
      </c>
      <c r="H376" s="33" t="n">
        <f aca="false">IF(B376&lt;=$C$6,0,($C$12-$C$13/12)*(1+$C$14)^(YEAR(B376)-YEAR($C$6)))</f>
        <v>705.486458252593</v>
      </c>
      <c r="I376" s="33" t="n">
        <f aca="false">SUM(D376:H376)</f>
        <v>705.486458252593</v>
      </c>
      <c r="J376" s="33" t="n">
        <f aca="false">IF(C376&lt;=$C$22,I376,0)</f>
        <v>0</v>
      </c>
      <c r="K376" s="33" t="n">
        <f aca="false">IF(C376&lt;=$D$22,I376,0)</f>
        <v>0</v>
      </c>
      <c r="L376" s="33" t="n">
        <f aca="false">IF(C376&lt;=$E$22,I376,0)</f>
        <v>0</v>
      </c>
    </row>
    <row r="377" customFormat="false" ht="15" hidden="false" customHeight="true" outlineLevel="0" collapsed="false">
      <c r="B377" s="65" t="n">
        <f aca="false">EDATE(B376,1)</f>
        <v>50465</v>
      </c>
      <c r="C377" s="64" t="n">
        <f aca="false">B377+14</f>
        <v>50479</v>
      </c>
      <c r="D377" s="33" t="n">
        <f aca="false">IF(OR($C$9="",B377&gt;=$C$9),0,$C$10*(1+$C$11)^IF(B377&lt;$C$7,0,DATEDIF($C$7,B377,"y"))*MAX(0,MIN(EDATE(B377,1),$C$9)-MAX(B377,$C$7))/(EDATE(B377,1)-B377))</f>
        <v>0</v>
      </c>
      <c r="E377" s="33" t="n">
        <f aca="false">-SUMIFS(Échéancier!$I$5:$I$300,Échéancier!$J$5:$J$300,$C$5,Échéancier!$C$5:$C$300,"&gt;="&amp;B377,Échéancier!$C$5:$C$300,"&lt;"&amp;EDATE(B377,1))</f>
        <v>-0</v>
      </c>
      <c r="F377" s="33" t="n">
        <f aca="false">-SUMIFS($D$68:$D$106,$E$68:$E$106,$C$5,$C$68:$C$106,"&gt;="&amp;B377,$C$68:$C$106,"&lt;"&amp;EDATE(B377,1))</f>
        <v>-0</v>
      </c>
      <c r="G377" s="33" t="n">
        <f aca="false">SUMIFS(Journal!$K$5:$K$1004,Journal!$C$5:$C$1004,$C$5,Journal!$A$5:$A$1004,"&gt;="&amp;B377,Journal!$A$5:$A$1004,"&lt;"&amp;MIN(EDATE(B377,1),$C$6+1))</f>
        <v>0</v>
      </c>
      <c r="H377" s="33" t="n">
        <f aca="false">IF(B377&lt;=$C$6,0,($C$12-$C$13/12)*(1+$C$14)^(YEAR(B377)-YEAR($C$6)))</f>
        <v>705.486458252593</v>
      </c>
      <c r="I377" s="33" t="n">
        <f aca="false">SUM(D377:H377)</f>
        <v>705.486458252593</v>
      </c>
      <c r="J377" s="33" t="n">
        <f aca="false">IF(C377&lt;=$C$22,I377,0)</f>
        <v>0</v>
      </c>
      <c r="K377" s="33" t="n">
        <f aca="false">IF(C377&lt;=$D$22,I377,0)</f>
        <v>0</v>
      </c>
      <c r="L377" s="33" t="n">
        <f aca="false">IF(C377&lt;=$E$22,I377,0)</f>
        <v>0</v>
      </c>
    </row>
    <row r="378" customFormat="false" ht="15" hidden="false" customHeight="true" outlineLevel="0" collapsed="false">
      <c r="B378" s="65" t="n">
        <f aca="false">EDATE(B377,1)</f>
        <v>50496</v>
      </c>
      <c r="C378" s="64" t="n">
        <f aca="false">B378+14</f>
        <v>50510</v>
      </c>
      <c r="D378" s="33" t="n">
        <f aca="false">IF(OR($C$9="",B378&gt;=$C$9),0,$C$10*(1+$C$11)^IF(B378&lt;$C$7,0,DATEDIF($C$7,B378,"y"))*MAX(0,MIN(EDATE(B378,1),$C$9)-MAX(B378,$C$7))/(EDATE(B378,1)-B378))</f>
        <v>0</v>
      </c>
      <c r="E378" s="33" t="n">
        <f aca="false">-SUMIFS(Échéancier!$I$5:$I$300,Échéancier!$J$5:$J$300,$C$5,Échéancier!$C$5:$C$300,"&gt;="&amp;B378,Échéancier!$C$5:$C$300,"&lt;"&amp;EDATE(B378,1))</f>
        <v>-0</v>
      </c>
      <c r="F378" s="33" t="n">
        <f aca="false">-SUMIFS($D$68:$D$106,$E$68:$E$106,$C$5,$C$68:$C$106,"&gt;="&amp;B378,$C$68:$C$106,"&lt;"&amp;EDATE(B378,1))</f>
        <v>-0</v>
      </c>
      <c r="G378" s="33" t="n">
        <f aca="false">SUMIFS(Journal!$K$5:$K$1004,Journal!$C$5:$C$1004,$C$5,Journal!$A$5:$A$1004,"&gt;="&amp;B378,Journal!$A$5:$A$1004,"&lt;"&amp;MIN(EDATE(B378,1),$C$6+1))</f>
        <v>0</v>
      </c>
      <c r="H378" s="33" t="n">
        <f aca="false">IF(B378&lt;=$C$6,0,($C$12-$C$13/12)*(1+$C$14)^(YEAR(B378)-YEAR($C$6)))</f>
        <v>705.486458252593</v>
      </c>
      <c r="I378" s="33" t="n">
        <f aca="false">SUM(D378:H378)</f>
        <v>705.486458252593</v>
      </c>
      <c r="J378" s="33" t="n">
        <f aca="false">IF(C378&lt;=$C$22,I378,0)</f>
        <v>0</v>
      </c>
      <c r="K378" s="33" t="n">
        <f aca="false">IF(C378&lt;=$D$22,I378,0)</f>
        <v>0</v>
      </c>
      <c r="L378" s="33" t="n">
        <f aca="false">IF(C378&lt;=$E$22,I378,0)</f>
        <v>0</v>
      </c>
    </row>
    <row r="379" customFormat="false" ht="15" hidden="false" customHeight="true" outlineLevel="0" collapsed="false">
      <c r="B379" s="65" t="n">
        <f aca="false">EDATE(B378,1)</f>
        <v>50526</v>
      </c>
      <c r="C379" s="64" t="n">
        <f aca="false">B379+14</f>
        <v>50540</v>
      </c>
      <c r="D379" s="33" t="n">
        <f aca="false">IF(OR($C$9="",B379&gt;=$C$9),0,$C$10*(1+$C$11)^IF(B379&lt;$C$7,0,DATEDIF($C$7,B379,"y"))*MAX(0,MIN(EDATE(B379,1),$C$9)-MAX(B379,$C$7))/(EDATE(B379,1)-B379))</f>
        <v>0</v>
      </c>
      <c r="E379" s="33" t="n">
        <f aca="false">-SUMIFS(Échéancier!$I$5:$I$300,Échéancier!$J$5:$J$300,$C$5,Échéancier!$C$5:$C$300,"&gt;="&amp;B379,Échéancier!$C$5:$C$300,"&lt;"&amp;EDATE(B379,1))</f>
        <v>-0</v>
      </c>
      <c r="F379" s="33" t="n">
        <f aca="false">-SUMIFS($D$68:$D$106,$E$68:$E$106,$C$5,$C$68:$C$106,"&gt;="&amp;B379,$C$68:$C$106,"&lt;"&amp;EDATE(B379,1))</f>
        <v>-0</v>
      </c>
      <c r="G379" s="33" t="n">
        <f aca="false">SUMIFS(Journal!$K$5:$K$1004,Journal!$C$5:$C$1004,$C$5,Journal!$A$5:$A$1004,"&gt;="&amp;B379,Journal!$A$5:$A$1004,"&lt;"&amp;MIN(EDATE(B379,1),$C$6+1))</f>
        <v>0</v>
      </c>
      <c r="H379" s="33" t="n">
        <f aca="false">IF(B379&lt;=$C$6,0,($C$12-$C$13/12)*(1+$C$14)^(YEAR(B379)-YEAR($C$6)))</f>
        <v>705.486458252593</v>
      </c>
      <c r="I379" s="33" t="n">
        <f aca="false">SUM(D379:H379)</f>
        <v>705.486458252593</v>
      </c>
      <c r="J379" s="33" t="n">
        <f aca="false">IF(C379&lt;=$C$22,I379,0)</f>
        <v>0</v>
      </c>
      <c r="K379" s="33" t="n">
        <f aca="false">IF(C379&lt;=$D$22,I379,0)</f>
        <v>0</v>
      </c>
      <c r="L379" s="33" t="n">
        <f aca="false">IF(C379&lt;=$E$22,I379,0)</f>
        <v>0</v>
      </c>
    </row>
    <row r="380" customFormat="false" ht="15" hidden="false" customHeight="true" outlineLevel="0" collapsed="false">
      <c r="B380" s="65" t="n">
        <f aca="false">EDATE(B379,1)</f>
        <v>50557</v>
      </c>
      <c r="C380" s="64" t="n">
        <f aca="false">B380+14</f>
        <v>50571</v>
      </c>
      <c r="D380" s="33" t="n">
        <f aca="false">IF(OR($C$9="",B380&gt;=$C$9),0,$C$10*(1+$C$11)^IF(B380&lt;$C$7,0,DATEDIF($C$7,B380,"y"))*MAX(0,MIN(EDATE(B380,1),$C$9)-MAX(B380,$C$7))/(EDATE(B380,1)-B380))</f>
        <v>0</v>
      </c>
      <c r="E380" s="33" t="n">
        <f aca="false">-SUMIFS(Échéancier!$I$5:$I$300,Échéancier!$J$5:$J$300,$C$5,Échéancier!$C$5:$C$300,"&gt;="&amp;B380,Échéancier!$C$5:$C$300,"&lt;"&amp;EDATE(B380,1))</f>
        <v>-0</v>
      </c>
      <c r="F380" s="33" t="n">
        <f aca="false">-SUMIFS($D$68:$D$106,$E$68:$E$106,$C$5,$C$68:$C$106,"&gt;="&amp;B380,$C$68:$C$106,"&lt;"&amp;EDATE(B380,1))</f>
        <v>-0</v>
      </c>
      <c r="G380" s="33" t="n">
        <f aca="false">SUMIFS(Journal!$K$5:$K$1004,Journal!$C$5:$C$1004,$C$5,Journal!$A$5:$A$1004,"&gt;="&amp;B380,Journal!$A$5:$A$1004,"&lt;"&amp;MIN(EDATE(B380,1),$C$6+1))</f>
        <v>0</v>
      </c>
      <c r="H380" s="33" t="n">
        <f aca="false">IF(B380&lt;=$C$6,0,($C$12-$C$13/12)*(1+$C$14)^(YEAR(B380)-YEAR($C$6)))</f>
        <v>705.486458252593</v>
      </c>
      <c r="I380" s="33" t="n">
        <f aca="false">SUM(D380:H380)</f>
        <v>705.486458252593</v>
      </c>
      <c r="J380" s="33" t="n">
        <f aca="false">IF(C380&lt;=$C$22,I380,0)</f>
        <v>0</v>
      </c>
      <c r="K380" s="33" t="n">
        <f aca="false">IF(C380&lt;=$D$22,I380,0)</f>
        <v>0</v>
      </c>
      <c r="L380" s="33" t="n">
        <f aca="false">IF(C380&lt;=$E$22,I380,0)</f>
        <v>0</v>
      </c>
    </row>
    <row r="381" customFormat="false" ht="15" hidden="false" customHeight="true" outlineLevel="0" collapsed="false">
      <c r="B381" s="65" t="n">
        <f aca="false">EDATE(B380,1)</f>
        <v>50587</v>
      </c>
      <c r="C381" s="64" t="n">
        <f aca="false">B381+14</f>
        <v>50601</v>
      </c>
      <c r="D381" s="33" t="n">
        <f aca="false">IF(OR($C$9="",B381&gt;=$C$9),0,$C$10*(1+$C$11)^IF(B381&lt;$C$7,0,DATEDIF($C$7,B381,"y"))*MAX(0,MIN(EDATE(B381,1),$C$9)-MAX(B381,$C$7))/(EDATE(B381,1)-B381))</f>
        <v>0</v>
      </c>
      <c r="E381" s="33" t="n">
        <f aca="false">-SUMIFS(Échéancier!$I$5:$I$300,Échéancier!$J$5:$J$300,$C$5,Échéancier!$C$5:$C$300,"&gt;="&amp;B381,Échéancier!$C$5:$C$300,"&lt;"&amp;EDATE(B381,1))</f>
        <v>-0</v>
      </c>
      <c r="F381" s="33" t="n">
        <f aca="false">-SUMIFS($D$68:$D$106,$E$68:$E$106,$C$5,$C$68:$C$106,"&gt;="&amp;B381,$C$68:$C$106,"&lt;"&amp;EDATE(B381,1))</f>
        <v>-0</v>
      </c>
      <c r="G381" s="33" t="n">
        <f aca="false">SUMIFS(Journal!$K$5:$K$1004,Journal!$C$5:$C$1004,$C$5,Journal!$A$5:$A$1004,"&gt;="&amp;B381,Journal!$A$5:$A$1004,"&lt;"&amp;MIN(EDATE(B381,1),$C$6+1))</f>
        <v>0</v>
      </c>
      <c r="H381" s="33" t="n">
        <f aca="false">IF(B381&lt;=$C$6,0,($C$12-$C$13/12)*(1+$C$14)^(YEAR(B381)-YEAR($C$6)))</f>
        <v>705.486458252593</v>
      </c>
      <c r="I381" s="33" t="n">
        <f aca="false">SUM(D381:H381)</f>
        <v>705.486458252593</v>
      </c>
      <c r="J381" s="33" t="n">
        <f aca="false">IF(C381&lt;=$C$22,I381,0)</f>
        <v>0</v>
      </c>
      <c r="K381" s="33" t="n">
        <f aca="false">IF(C381&lt;=$D$22,I381,0)</f>
        <v>0</v>
      </c>
      <c r="L381" s="33" t="n">
        <f aca="false">IF(C381&lt;=$E$22,I381,0)</f>
        <v>0</v>
      </c>
    </row>
    <row r="382" customFormat="false" ht="15" hidden="false" customHeight="true" outlineLevel="0" collapsed="false">
      <c r="B382" s="65" t="n">
        <f aca="false">EDATE(B381,1)</f>
        <v>50618</v>
      </c>
      <c r="C382" s="64" t="n">
        <f aca="false">B382+14</f>
        <v>50632</v>
      </c>
      <c r="D382" s="33" t="n">
        <f aca="false">IF(OR($C$9="",B382&gt;=$C$9),0,$C$10*(1+$C$11)^IF(B382&lt;$C$7,0,DATEDIF($C$7,B382,"y"))*MAX(0,MIN(EDATE(B382,1),$C$9)-MAX(B382,$C$7))/(EDATE(B382,1)-B382))</f>
        <v>0</v>
      </c>
      <c r="E382" s="33" t="n">
        <f aca="false">-SUMIFS(Échéancier!$I$5:$I$300,Échéancier!$J$5:$J$300,$C$5,Échéancier!$C$5:$C$300,"&gt;="&amp;B382,Échéancier!$C$5:$C$300,"&lt;"&amp;EDATE(B382,1))</f>
        <v>-0</v>
      </c>
      <c r="F382" s="33" t="n">
        <f aca="false">-SUMIFS($D$68:$D$106,$E$68:$E$106,$C$5,$C$68:$C$106,"&gt;="&amp;B382,$C$68:$C$106,"&lt;"&amp;EDATE(B382,1))</f>
        <v>-0</v>
      </c>
      <c r="G382" s="33" t="n">
        <f aca="false">SUMIFS(Journal!$K$5:$K$1004,Journal!$C$5:$C$1004,$C$5,Journal!$A$5:$A$1004,"&gt;="&amp;B382,Journal!$A$5:$A$1004,"&lt;"&amp;MIN(EDATE(B382,1),$C$6+1))</f>
        <v>0</v>
      </c>
      <c r="H382" s="33" t="n">
        <f aca="false">IF(B382&lt;=$C$6,0,($C$12-$C$13/12)*(1+$C$14)^(YEAR(B382)-YEAR($C$6)))</f>
        <v>705.486458252593</v>
      </c>
      <c r="I382" s="33" t="n">
        <f aca="false">SUM(D382:H382)</f>
        <v>705.486458252593</v>
      </c>
      <c r="J382" s="33" t="n">
        <f aca="false">IF(C382&lt;=$C$22,I382,0)</f>
        <v>0</v>
      </c>
      <c r="K382" s="33" t="n">
        <f aca="false">IF(C382&lt;=$D$22,I382,0)</f>
        <v>0</v>
      </c>
      <c r="L382" s="33" t="n">
        <f aca="false">IF(C382&lt;=$E$22,I382,0)</f>
        <v>0</v>
      </c>
    </row>
    <row r="383" customFormat="false" ht="15" hidden="false" customHeight="true" outlineLevel="0" collapsed="false">
      <c r="B383" s="65" t="n">
        <f aca="false">EDATE(B382,1)</f>
        <v>50649</v>
      </c>
      <c r="C383" s="64" t="n">
        <f aca="false">B383+14</f>
        <v>50663</v>
      </c>
      <c r="D383" s="33" t="n">
        <f aca="false">IF(OR($C$9="",B383&gt;=$C$9),0,$C$10*(1+$C$11)^IF(B383&lt;$C$7,0,DATEDIF($C$7,B383,"y"))*MAX(0,MIN(EDATE(B383,1),$C$9)-MAX(B383,$C$7))/(EDATE(B383,1)-B383))</f>
        <v>0</v>
      </c>
      <c r="E383" s="33" t="n">
        <f aca="false">-SUMIFS(Échéancier!$I$5:$I$300,Échéancier!$J$5:$J$300,$C$5,Échéancier!$C$5:$C$300,"&gt;="&amp;B383,Échéancier!$C$5:$C$300,"&lt;"&amp;EDATE(B383,1))</f>
        <v>-0</v>
      </c>
      <c r="F383" s="33" t="n">
        <f aca="false">-SUMIFS($D$68:$D$106,$E$68:$E$106,$C$5,$C$68:$C$106,"&gt;="&amp;B383,$C$68:$C$106,"&lt;"&amp;EDATE(B383,1))</f>
        <v>-0</v>
      </c>
      <c r="G383" s="33" t="n">
        <f aca="false">SUMIFS(Journal!$K$5:$K$1004,Journal!$C$5:$C$1004,$C$5,Journal!$A$5:$A$1004,"&gt;="&amp;B383,Journal!$A$5:$A$1004,"&lt;"&amp;MIN(EDATE(B383,1),$C$6+1))</f>
        <v>0</v>
      </c>
      <c r="H383" s="33" t="n">
        <f aca="false">IF(B383&lt;=$C$6,0,($C$12-$C$13/12)*(1+$C$14)^(YEAR(B383)-YEAR($C$6)))</f>
        <v>705.486458252593</v>
      </c>
      <c r="I383" s="33" t="n">
        <f aca="false">SUM(D383:H383)</f>
        <v>705.486458252593</v>
      </c>
      <c r="J383" s="33" t="n">
        <f aca="false">IF(C383&lt;=$C$22,I383,0)</f>
        <v>0</v>
      </c>
      <c r="K383" s="33" t="n">
        <f aca="false">IF(C383&lt;=$D$22,I383,0)</f>
        <v>0</v>
      </c>
      <c r="L383" s="33" t="n">
        <f aca="false">IF(C383&lt;=$E$22,I383,0)</f>
        <v>0</v>
      </c>
    </row>
    <row r="384" customFormat="false" ht="15" hidden="false" customHeight="true" outlineLevel="0" collapsed="false">
      <c r="B384" s="65" t="n">
        <f aca="false">EDATE(B383,1)</f>
        <v>50679</v>
      </c>
      <c r="C384" s="64" t="n">
        <f aca="false">B384+14</f>
        <v>50693</v>
      </c>
      <c r="D384" s="33" t="n">
        <f aca="false">IF(OR($C$9="",B384&gt;=$C$9),0,$C$10*(1+$C$11)^IF(B384&lt;$C$7,0,DATEDIF($C$7,B384,"y"))*MAX(0,MIN(EDATE(B384,1),$C$9)-MAX(B384,$C$7))/(EDATE(B384,1)-B384))</f>
        <v>0</v>
      </c>
      <c r="E384" s="33" t="n">
        <f aca="false">-SUMIFS(Échéancier!$I$5:$I$300,Échéancier!$J$5:$J$300,$C$5,Échéancier!$C$5:$C$300,"&gt;="&amp;B384,Échéancier!$C$5:$C$300,"&lt;"&amp;EDATE(B384,1))</f>
        <v>-0</v>
      </c>
      <c r="F384" s="33" t="n">
        <f aca="false">-SUMIFS($D$68:$D$106,$E$68:$E$106,$C$5,$C$68:$C$106,"&gt;="&amp;B384,$C$68:$C$106,"&lt;"&amp;EDATE(B384,1))</f>
        <v>-0</v>
      </c>
      <c r="G384" s="33" t="n">
        <f aca="false">SUMIFS(Journal!$K$5:$K$1004,Journal!$C$5:$C$1004,$C$5,Journal!$A$5:$A$1004,"&gt;="&amp;B384,Journal!$A$5:$A$1004,"&lt;"&amp;MIN(EDATE(B384,1),$C$6+1))</f>
        <v>0</v>
      </c>
      <c r="H384" s="33" t="n">
        <f aca="false">IF(B384&lt;=$C$6,0,($C$12-$C$13/12)*(1+$C$14)^(YEAR(B384)-YEAR($C$6)))</f>
        <v>705.486458252593</v>
      </c>
      <c r="I384" s="33" t="n">
        <f aca="false">SUM(D384:H384)</f>
        <v>705.486458252593</v>
      </c>
      <c r="J384" s="33" t="n">
        <f aca="false">IF(C384&lt;=$C$22,I384,0)</f>
        <v>0</v>
      </c>
      <c r="K384" s="33" t="n">
        <f aca="false">IF(C384&lt;=$D$22,I384,0)</f>
        <v>0</v>
      </c>
      <c r="L384" s="33" t="n">
        <f aca="false">IF(C384&lt;=$E$22,I384,0)</f>
        <v>0</v>
      </c>
    </row>
    <row r="385" customFormat="false" ht="15" hidden="false" customHeight="true" outlineLevel="0" collapsed="false">
      <c r="B385" s="65" t="n">
        <f aca="false">EDATE(B384,1)</f>
        <v>50710</v>
      </c>
      <c r="C385" s="64" t="n">
        <f aca="false">B385+14</f>
        <v>50724</v>
      </c>
      <c r="D385" s="33" t="n">
        <f aca="false">IF(OR($C$9="",B385&gt;=$C$9),0,$C$10*(1+$C$11)^IF(B385&lt;$C$7,0,DATEDIF($C$7,B385,"y"))*MAX(0,MIN(EDATE(B385,1),$C$9)-MAX(B385,$C$7))/(EDATE(B385,1)-B385))</f>
        <v>0</v>
      </c>
      <c r="E385" s="33" t="n">
        <f aca="false">-SUMIFS(Échéancier!$I$5:$I$300,Échéancier!$J$5:$J$300,$C$5,Échéancier!$C$5:$C$300,"&gt;="&amp;B385,Échéancier!$C$5:$C$300,"&lt;"&amp;EDATE(B385,1))</f>
        <v>-0</v>
      </c>
      <c r="F385" s="33" t="n">
        <f aca="false">-SUMIFS($D$68:$D$106,$E$68:$E$106,$C$5,$C$68:$C$106,"&gt;="&amp;B385,$C$68:$C$106,"&lt;"&amp;EDATE(B385,1))</f>
        <v>-0</v>
      </c>
      <c r="G385" s="33" t="n">
        <f aca="false">SUMIFS(Journal!$K$5:$K$1004,Journal!$C$5:$C$1004,$C$5,Journal!$A$5:$A$1004,"&gt;="&amp;B385,Journal!$A$5:$A$1004,"&lt;"&amp;MIN(EDATE(B385,1),$C$6+1))</f>
        <v>0</v>
      </c>
      <c r="H385" s="33" t="n">
        <f aca="false">IF(B385&lt;=$C$6,0,($C$12-$C$13/12)*(1+$C$14)^(YEAR(B385)-YEAR($C$6)))</f>
        <v>705.486458252593</v>
      </c>
      <c r="I385" s="33" t="n">
        <f aca="false">SUM(D385:H385)</f>
        <v>705.486458252593</v>
      </c>
      <c r="J385" s="33" t="n">
        <f aca="false">IF(C385&lt;=$C$22,I385,0)</f>
        <v>0</v>
      </c>
      <c r="K385" s="33" t="n">
        <f aca="false">IF(C385&lt;=$D$22,I385,0)</f>
        <v>0</v>
      </c>
      <c r="L385" s="33" t="n">
        <f aca="false">IF(C385&lt;=$E$22,I385,0)</f>
        <v>0</v>
      </c>
    </row>
    <row r="386" customFormat="false" ht="15" hidden="false" customHeight="true" outlineLevel="0" collapsed="false">
      <c r="B386" s="65" t="n">
        <f aca="false">EDATE(B385,1)</f>
        <v>50740</v>
      </c>
      <c r="C386" s="64" t="n">
        <f aca="false">B386+14</f>
        <v>50754</v>
      </c>
      <c r="D386" s="33" t="n">
        <f aca="false">IF(OR($C$9="",B386&gt;=$C$9),0,$C$10*(1+$C$11)^IF(B386&lt;$C$7,0,DATEDIF($C$7,B386,"y"))*MAX(0,MIN(EDATE(B386,1),$C$9)-MAX(B386,$C$7))/(EDATE(B386,1)-B386))</f>
        <v>0</v>
      </c>
      <c r="E386" s="33" t="n">
        <f aca="false">-SUMIFS(Échéancier!$I$5:$I$300,Échéancier!$J$5:$J$300,$C$5,Échéancier!$C$5:$C$300,"&gt;="&amp;B386,Échéancier!$C$5:$C$300,"&lt;"&amp;EDATE(B386,1))</f>
        <v>-0</v>
      </c>
      <c r="F386" s="33" t="n">
        <f aca="false">-SUMIFS($D$68:$D$106,$E$68:$E$106,$C$5,$C$68:$C$106,"&gt;="&amp;B386,$C$68:$C$106,"&lt;"&amp;EDATE(B386,1))</f>
        <v>-0</v>
      </c>
      <c r="G386" s="33" t="n">
        <f aca="false">SUMIFS(Journal!$K$5:$K$1004,Journal!$C$5:$C$1004,$C$5,Journal!$A$5:$A$1004,"&gt;="&amp;B386,Journal!$A$5:$A$1004,"&lt;"&amp;MIN(EDATE(B386,1),$C$6+1))</f>
        <v>0</v>
      </c>
      <c r="H386" s="33" t="n">
        <f aca="false">IF(B386&lt;=$C$6,0,($C$12-$C$13/12)*(1+$C$14)^(YEAR(B386)-YEAR($C$6)))</f>
        <v>705.486458252593</v>
      </c>
      <c r="I386" s="33" t="n">
        <f aca="false">SUM(D386:H386)</f>
        <v>705.486458252593</v>
      </c>
      <c r="J386" s="33" t="n">
        <f aca="false">IF(C386&lt;=$C$22,I386,0)</f>
        <v>0</v>
      </c>
      <c r="K386" s="33" t="n">
        <f aca="false">IF(C386&lt;=$D$22,I386,0)</f>
        <v>0</v>
      </c>
      <c r="L386" s="33" t="n">
        <f aca="false">IF(C386&lt;=$E$22,I386,0)</f>
        <v>0</v>
      </c>
    </row>
    <row r="387" customFormat="false" ht="15" hidden="false" customHeight="true" outlineLevel="0" collapsed="false">
      <c r="B387" s="65" t="n">
        <f aca="false">EDATE(B386,1)</f>
        <v>50771</v>
      </c>
      <c r="C387" s="64" t="n">
        <f aca="false">B387+14</f>
        <v>50785</v>
      </c>
      <c r="D387" s="33" t="n">
        <f aca="false">IF(OR($C$9="",B387&gt;=$C$9),0,$C$10*(1+$C$11)^IF(B387&lt;$C$7,0,DATEDIF($C$7,B387,"y"))*MAX(0,MIN(EDATE(B387,1),$C$9)-MAX(B387,$C$7))/(EDATE(B387,1)-B387))</f>
        <v>0</v>
      </c>
      <c r="E387" s="33" t="n">
        <f aca="false">-SUMIFS(Échéancier!$I$5:$I$300,Échéancier!$J$5:$J$300,$C$5,Échéancier!$C$5:$C$300,"&gt;="&amp;B387,Échéancier!$C$5:$C$300,"&lt;"&amp;EDATE(B387,1))</f>
        <v>-0</v>
      </c>
      <c r="F387" s="33" t="n">
        <f aca="false">-SUMIFS($D$68:$D$106,$E$68:$E$106,$C$5,$C$68:$C$106,"&gt;="&amp;B387,$C$68:$C$106,"&lt;"&amp;EDATE(B387,1))</f>
        <v>-0</v>
      </c>
      <c r="G387" s="33" t="n">
        <f aca="false">SUMIFS(Journal!$K$5:$K$1004,Journal!$C$5:$C$1004,$C$5,Journal!$A$5:$A$1004,"&gt;="&amp;B387,Journal!$A$5:$A$1004,"&lt;"&amp;MIN(EDATE(B387,1),$C$6+1))</f>
        <v>0</v>
      </c>
      <c r="H387" s="33" t="n">
        <f aca="false">IF(B387&lt;=$C$6,0,($C$12-$C$13/12)*(1+$C$14)^(YEAR(B387)-YEAR($C$6)))</f>
        <v>716.068755126382</v>
      </c>
      <c r="I387" s="33" t="n">
        <f aca="false">SUM(D387:H387)</f>
        <v>716.068755126382</v>
      </c>
      <c r="J387" s="33" t="n">
        <f aca="false">IF(C387&lt;=$C$22,I387,0)</f>
        <v>0</v>
      </c>
      <c r="K387" s="33" t="n">
        <f aca="false">IF(C387&lt;=$D$22,I387,0)</f>
        <v>0</v>
      </c>
      <c r="L387" s="33" t="n">
        <f aca="false">IF(C387&lt;=$E$22,I387,0)</f>
        <v>0</v>
      </c>
    </row>
    <row r="388" customFormat="false" ht="15" hidden="false" customHeight="true" outlineLevel="0" collapsed="false">
      <c r="B388" s="65" t="n">
        <f aca="false">EDATE(B387,1)</f>
        <v>50802</v>
      </c>
      <c r="C388" s="64" t="n">
        <f aca="false">B388+14</f>
        <v>50816</v>
      </c>
      <c r="D388" s="33" t="n">
        <f aca="false">IF(OR($C$9="",B388&gt;=$C$9),0,$C$10*(1+$C$11)^IF(B388&lt;$C$7,0,DATEDIF($C$7,B388,"y"))*MAX(0,MIN(EDATE(B388,1),$C$9)-MAX(B388,$C$7))/(EDATE(B388,1)-B388))</f>
        <v>0</v>
      </c>
      <c r="E388" s="33" t="n">
        <f aca="false">-SUMIFS(Échéancier!$I$5:$I$300,Échéancier!$J$5:$J$300,$C$5,Échéancier!$C$5:$C$300,"&gt;="&amp;B388,Échéancier!$C$5:$C$300,"&lt;"&amp;EDATE(B388,1))</f>
        <v>-0</v>
      </c>
      <c r="F388" s="33" t="n">
        <f aca="false">-SUMIFS($D$68:$D$106,$E$68:$E$106,$C$5,$C$68:$C$106,"&gt;="&amp;B388,$C$68:$C$106,"&lt;"&amp;EDATE(B388,1))</f>
        <v>-0</v>
      </c>
      <c r="G388" s="33" t="n">
        <f aca="false">SUMIFS(Journal!$K$5:$K$1004,Journal!$C$5:$C$1004,$C$5,Journal!$A$5:$A$1004,"&gt;="&amp;B388,Journal!$A$5:$A$1004,"&lt;"&amp;MIN(EDATE(B388,1),$C$6+1))</f>
        <v>0</v>
      </c>
      <c r="H388" s="33" t="n">
        <f aca="false">IF(B388&lt;=$C$6,0,($C$12-$C$13/12)*(1+$C$14)^(YEAR(B388)-YEAR($C$6)))</f>
        <v>716.068755126382</v>
      </c>
      <c r="I388" s="33" t="n">
        <f aca="false">SUM(D388:H388)</f>
        <v>716.068755126382</v>
      </c>
      <c r="J388" s="33" t="n">
        <f aca="false">IF(C388&lt;=$C$22,I388,0)</f>
        <v>0</v>
      </c>
      <c r="K388" s="33" t="n">
        <f aca="false">IF(C388&lt;=$D$22,I388,0)</f>
        <v>0</v>
      </c>
      <c r="L388" s="33" t="n">
        <f aca="false">IF(C388&lt;=$E$22,I388,0)</f>
        <v>0</v>
      </c>
    </row>
    <row r="389" customFormat="false" ht="15" hidden="false" customHeight="true" outlineLevel="0" collapsed="false">
      <c r="B389" s="65" t="n">
        <f aca="false">EDATE(B388,1)</f>
        <v>50830</v>
      </c>
      <c r="C389" s="64" t="n">
        <f aca="false">B389+14</f>
        <v>50844</v>
      </c>
      <c r="D389" s="33" t="n">
        <f aca="false">IF(OR($C$9="",B389&gt;=$C$9),0,$C$10*(1+$C$11)^IF(B389&lt;$C$7,0,DATEDIF($C$7,B389,"y"))*MAX(0,MIN(EDATE(B389,1),$C$9)-MAX(B389,$C$7))/(EDATE(B389,1)-B389))</f>
        <v>0</v>
      </c>
      <c r="E389" s="33" t="n">
        <f aca="false">-SUMIFS(Échéancier!$I$5:$I$300,Échéancier!$J$5:$J$300,$C$5,Échéancier!$C$5:$C$300,"&gt;="&amp;B389,Échéancier!$C$5:$C$300,"&lt;"&amp;EDATE(B389,1))</f>
        <v>-0</v>
      </c>
      <c r="F389" s="33" t="n">
        <f aca="false">-SUMIFS($D$68:$D$106,$E$68:$E$106,$C$5,$C$68:$C$106,"&gt;="&amp;B389,$C$68:$C$106,"&lt;"&amp;EDATE(B389,1))</f>
        <v>-0</v>
      </c>
      <c r="G389" s="33" t="n">
        <f aca="false">SUMIFS(Journal!$K$5:$K$1004,Journal!$C$5:$C$1004,$C$5,Journal!$A$5:$A$1004,"&gt;="&amp;B389,Journal!$A$5:$A$1004,"&lt;"&amp;MIN(EDATE(B389,1),$C$6+1))</f>
        <v>0</v>
      </c>
      <c r="H389" s="33" t="n">
        <f aca="false">IF(B389&lt;=$C$6,0,($C$12-$C$13/12)*(1+$C$14)^(YEAR(B389)-YEAR($C$6)))</f>
        <v>716.068755126382</v>
      </c>
      <c r="I389" s="33" t="n">
        <f aca="false">SUM(D389:H389)</f>
        <v>716.068755126382</v>
      </c>
      <c r="J389" s="33" t="n">
        <f aca="false">IF(C389&lt;=$C$22,I389,0)</f>
        <v>0</v>
      </c>
      <c r="K389" s="33" t="n">
        <f aca="false">IF(C389&lt;=$D$22,I389,0)</f>
        <v>0</v>
      </c>
      <c r="L389" s="33" t="n">
        <f aca="false">IF(C389&lt;=$E$22,I389,0)</f>
        <v>0</v>
      </c>
    </row>
    <row r="390" customFormat="false" ht="15" hidden="false" customHeight="true" outlineLevel="0" collapsed="false">
      <c r="B390" s="65" t="n">
        <f aca="false">EDATE(B389,1)</f>
        <v>50861</v>
      </c>
      <c r="C390" s="64" t="n">
        <f aca="false">B390+14</f>
        <v>50875</v>
      </c>
      <c r="D390" s="33" t="n">
        <f aca="false">IF(OR($C$9="",B390&gt;=$C$9),0,$C$10*(1+$C$11)^IF(B390&lt;$C$7,0,DATEDIF($C$7,B390,"y"))*MAX(0,MIN(EDATE(B390,1),$C$9)-MAX(B390,$C$7))/(EDATE(B390,1)-B390))</f>
        <v>0</v>
      </c>
      <c r="E390" s="33" t="n">
        <f aca="false">-SUMIFS(Échéancier!$I$5:$I$300,Échéancier!$J$5:$J$300,$C$5,Échéancier!$C$5:$C$300,"&gt;="&amp;B390,Échéancier!$C$5:$C$300,"&lt;"&amp;EDATE(B390,1))</f>
        <v>-0</v>
      </c>
      <c r="F390" s="33" t="n">
        <f aca="false">-SUMIFS($D$68:$D$106,$E$68:$E$106,$C$5,$C$68:$C$106,"&gt;="&amp;B390,$C$68:$C$106,"&lt;"&amp;EDATE(B390,1))</f>
        <v>-0</v>
      </c>
      <c r="G390" s="33" t="n">
        <f aca="false">SUMIFS(Journal!$K$5:$K$1004,Journal!$C$5:$C$1004,$C$5,Journal!$A$5:$A$1004,"&gt;="&amp;B390,Journal!$A$5:$A$1004,"&lt;"&amp;MIN(EDATE(B390,1),$C$6+1))</f>
        <v>0</v>
      </c>
      <c r="H390" s="33" t="n">
        <f aca="false">IF(B390&lt;=$C$6,0,($C$12-$C$13/12)*(1+$C$14)^(YEAR(B390)-YEAR($C$6)))</f>
        <v>716.068755126382</v>
      </c>
      <c r="I390" s="33" t="n">
        <f aca="false">SUM(D390:H390)</f>
        <v>716.068755126382</v>
      </c>
      <c r="J390" s="33" t="n">
        <f aca="false">IF(C390&lt;=$C$22,I390,0)</f>
        <v>0</v>
      </c>
      <c r="K390" s="33" t="n">
        <f aca="false">IF(C390&lt;=$D$22,I390,0)</f>
        <v>0</v>
      </c>
      <c r="L390" s="33" t="n">
        <f aca="false">IF(C390&lt;=$E$22,I390,0)</f>
        <v>0</v>
      </c>
    </row>
    <row r="391" customFormat="false" ht="15" hidden="false" customHeight="true" outlineLevel="0" collapsed="false">
      <c r="B391" s="65" t="n">
        <f aca="false">EDATE(B390,1)</f>
        <v>50891</v>
      </c>
      <c r="C391" s="64" t="n">
        <f aca="false">B391+14</f>
        <v>50905</v>
      </c>
      <c r="D391" s="33" t="n">
        <f aca="false">IF(OR($C$9="",B391&gt;=$C$9),0,$C$10*(1+$C$11)^IF(B391&lt;$C$7,0,DATEDIF($C$7,B391,"y"))*MAX(0,MIN(EDATE(B391,1),$C$9)-MAX(B391,$C$7))/(EDATE(B391,1)-B391))</f>
        <v>0</v>
      </c>
      <c r="E391" s="33" t="n">
        <f aca="false">-SUMIFS(Échéancier!$I$5:$I$300,Échéancier!$J$5:$J$300,$C$5,Échéancier!$C$5:$C$300,"&gt;="&amp;B391,Échéancier!$C$5:$C$300,"&lt;"&amp;EDATE(B391,1))</f>
        <v>-0</v>
      </c>
      <c r="F391" s="33" t="n">
        <f aca="false">-SUMIFS($D$68:$D$106,$E$68:$E$106,$C$5,$C$68:$C$106,"&gt;="&amp;B391,$C$68:$C$106,"&lt;"&amp;EDATE(B391,1))</f>
        <v>-0</v>
      </c>
      <c r="G391" s="33" t="n">
        <f aca="false">SUMIFS(Journal!$K$5:$K$1004,Journal!$C$5:$C$1004,$C$5,Journal!$A$5:$A$1004,"&gt;="&amp;B391,Journal!$A$5:$A$1004,"&lt;"&amp;MIN(EDATE(B391,1),$C$6+1))</f>
        <v>0</v>
      </c>
      <c r="H391" s="33" t="n">
        <f aca="false">IF(B391&lt;=$C$6,0,($C$12-$C$13/12)*(1+$C$14)^(YEAR(B391)-YEAR($C$6)))</f>
        <v>716.068755126382</v>
      </c>
      <c r="I391" s="33" t="n">
        <f aca="false">SUM(D391:H391)</f>
        <v>716.068755126382</v>
      </c>
      <c r="J391" s="33" t="n">
        <f aca="false">IF(C391&lt;=$C$22,I391,0)</f>
        <v>0</v>
      </c>
      <c r="K391" s="33" t="n">
        <f aca="false">IF(C391&lt;=$D$22,I391,0)</f>
        <v>0</v>
      </c>
      <c r="L391" s="33" t="n">
        <f aca="false">IF(C391&lt;=$E$22,I391,0)</f>
        <v>0</v>
      </c>
    </row>
    <row r="392" customFormat="false" ht="15" hidden="false" customHeight="true" outlineLevel="0" collapsed="false">
      <c r="B392" s="65" t="n">
        <f aca="false">EDATE(B391,1)</f>
        <v>50922</v>
      </c>
      <c r="C392" s="64" t="n">
        <f aca="false">B392+14</f>
        <v>50936</v>
      </c>
      <c r="D392" s="33" t="n">
        <f aca="false">IF(OR($C$9="",B392&gt;=$C$9),0,$C$10*(1+$C$11)^IF(B392&lt;$C$7,0,DATEDIF($C$7,B392,"y"))*MAX(0,MIN(EDATE(B392,1),$C$9)-MAX(B392,$C$7))/(EDATE(B392,1)-B392))</f>
        <v>0</v>
      </c>
      <c r="E392" s="33" t="n">
        <f aca="false">-SUMIFS(Échéancier!$I$5:$I$300,Échéancier!$J$5:$J$300,$C$5,Échéancier!$C$5:$C$300,"&gt;="&amp;B392,Échéancier!$C$5:$C$300,"&lt;"&amp;EDATE(B392,1))</f>
        <v>-0</v>
      </c>
      <c r="F392" s="33" t="n">
        <f aca="false">-SUMIFS($D$68:$D$106,$E$68:$E$106,$C$5,$C$68:$C$106,"&gt;="&amp;B392,$C$68:$C$106,"&lt;"&amp;EDATE(B392,1))</f>
        <v>-0</v>
      </c>
      <c r="G392" s="33" t="n">
        <f aca="false">SUMIFS(Journal!$K$5:$K$1004,Journal!$C$5:$C$1004,$C$5,Journal!$A$5:$A$1004,"&gt;="&amp;B392,Journal!$A$5:$A$1004,"&lt;"&amp;MIN(EDATE(B392,1),$C$6+1))</f>
        <v>0</v>
      </c>
      <c r="H392" s="33" t="n">
        <f aca="false">IF(B392&lt;=$C$6,0,($C$12-$C$13/12)*(1+$C$14)^(YEAR(B392)-YEAR($C$6)))</f>
        <v>716.068755126382</v>
      </c>
      <c r="I392" s="33" t="n">
        <f aca="false">SUM(D392:H392)</f>
        <v>716.068755126382</v>
      </c>
      <c r="J392" s="33" t="n">
        <f aca="false">IF(C392&lt;=$C$22,I392,0)</f>
        <v>0</v>
      </c>
      <c r="K392" s="33" t="n">
        <f aca="false">IF(C392&lt;=$D$22,I392,0)</f>
        <v>0</v>
      </c>
      <c r="L392" s="33" t="n">
        <f aca="false">IF(C392&lt;=$E$22,I392,0)</f>
        <v>0</v>
      </c>
    </row>
    <row r="393" customFormat="false" ht="15" hidden="false" customHeight="true" outlineLevel="0" collapsed="false">
      <c r="B393" s="65" t="n">
        <f aca="false">EDATE(B392,1)</f>
        <v>50952</v>
      </c>
      <c r="C393" s="64" t="n">
        <f aca="false">B393+14</f>
        <v>50966</v>
      </c>
      <c r="D393" s="33" t="n">
        <f aca="false">IF(OR($C$9="",B393&gt;=$C$9),0,$C$10*(1+$C$11)^IF(B393&lt;$C$7,0,DATEDIF($C$7,B393,"y"))*MAX(0,MIN(EDATE(B393,1),$C$9)-MAX(B393,$C$7))/(EDATE(B393,1)-B393))</f>
        <v>0</v>
      </c>
      <c r="E393" s="33" t="n">
        <f aca="false">-SUMIFS(Échéancier!$I$5:$I$300,Échéancier!$J$5:$J$300,$C$5,Échéancier!$C$5:$C$300,"&gt;="&amp;B393,Échéancier!$C$5:$C$300,"&lt;"&amp;EDATE(B393,1))</f>
        <v>-0</v>
      </c>
      <c r="F393" s="33" t="n">
        <f aca="false">-SUMIFS($D$68:$D$106,$E$68:$E$106,$C$5,$C$68:$C$106,"&gt;="&amp;B393,$C$68:$C$106,"&lt;"&amp;EDATE(B393,1))</f>
        <v>-0</v>
      </c>
      <c r="G393" s="33" t="n">
        <f aca="false">SUMIFS(Journal!$K$5:$K$1004,Journal!$C$5:$C$1004,$C$5,Journal!$A$5:$A$1004,"&gt;="&amp;B393,Journal!$A$5:$A$1004,"&lt;"&amp;MIN(EDATE(B393,1),$C$6+1))</f>
        <v>0</v>
      </c>
      <c r="H393" s="33" t="n">
        <f aca="false">IF(B393&lt;=$C$6,0,($C$12-$C$13/12)*(1+$C$14)^(YEAR(B393)-YEAR($C$6)))</f>
        <v>716.068755126382</v>
      </c>
      <c r="I393" s="33" t="n">
        <f aca="false">SUM(D393:H393)</f>
        <v>716.068755126382</v>
      </c>
      <c r="J393" s="33" t="n">
        <f aca="false">IF(C393&lt;=$C$22,I393,0)</f>
        <v>0</v>
      </c>
      <c r="K393" s="33" t="n">
        <f aca="false">IF(C393&lt;=$D$22,I393,0)</f>
        <v>0</v>
      </c>
      <c r="L393" s="33" t="n">
        <f aca="false">IF(C393&lt;=$E$22,I393,0)</f>
        <v>0</v>
      </c>
    </row>
    <row r="394" customFormat="false" ht="15" hidden="false" customHeight="true" outlineLevel="0" collapsed="false">
      <c r="B394" s="65" t="n">
        <f aca="false">EDATE(B393,1)</f>
        <v>50983</v>
      </c>
      <c r="C394" s="64" t="n">
        <f aca="false">B394+14</f>
        <v>50997</v>
      </c>
      <c r="D394" s="33" t="n">
        <f aca="false">IF(OR($C$9="",B394&gt;=$C$9),0,$C$10*(1+$C$11)^IF(B394&lt;$C$7,0,DATEDIF($C$7,B394,"y"))*MAX(0,MIN(EDATE(B394,1),$C$9)-MAX(B394,$C$7))/(EDATE(B394,1)-B394))</f>
        <v>0</v>
      </c>
      <c r="E394" s="33" t="n">
        <f aca="false">-SUMIFS(Échéancier!$I$5:$I$300,Échéancier!$J$5:$J$300,$C$5,Échéancier!$C$5:$C$300,"&gt;="&amp;B394,Échéancier!$C$5:$C$300,"&lt;"&amp;EDATE(B394,1))</f>
        <v>-0</v>
      </c>
      <c r="F394" s="33" t="n">
        <f aca="false">-SUMIFS($D$68:$D$106,$E$68:$E$106,$C$5,$C$68:$C$106,"&gt;="&amp;B394,$C$68:$C$106,"&lt;"&amp;EDATE(B394,1))</f>
        <v>-0</v>
      </c>
      <c r="G394" s="33" t="n">
        <f aca="false">SUMIFS(Journal!$K$5:$K$1004,Journal!$C$5:$C$1004,$C$5,Journal!$A$5:$A$1004,"&gt;="&amp;B394,Journal!$A$5:$A$1004,"&lt;"&amp;MIN(EDATE(B394,1),$C$6+1))</f>
        <v>0</v>
      </c>
      <c r="H394" s="33" t="n">
        <f aca="false">IF(B394&lt;=$C$6,0,($C$12-$C$13/12)*(1+$C$14)^(YEAR(B394)-YEAR($C$6)))</f>
        <v>716.068755126382</v>
      </c>
      <c r="I394" s="33" t="n">
        <f aca="false">SUM(D394:H394)</f>
        <v>716.068755126382</v>
      </c>
      <c r="J394" s="33" t="n">
        <f aca="false">IF(C394&lt;=$C$22,I394,0)</f>
        <v>0</v>
      </c>
      <c r="K394" s="33" t="n">
        <f aca="false">IF(C394&lt;=$D$22,I394,0)</f>
        <v>0</v>
      </c>
      <c r="L394" s="33" t="n">
        <f aca="false">IF(C394&lt;=$E$22,I394,0)</f>
        <v>0</v>
      </c>
    </row>
    <row r="395" customFormat="false" ht="15" hidden="false" customHeight="true" outlineLevel="0" collapsed="false">
      <c r="B395" s="65" t="n">
        <f aca="false">EDATE(B394,1)</f>
        <v>51014</v>
      </c>
      <c r="C395" s="64" t="n">
        <f aca="false">B395+14</f>
        <v>51028</v>
      </c>
      <c r="D395" s="33" t="n">
        <f aca="false">IF(OR($C$9="",B395&gt;=$C$9),0,$C$10*(1+$C$11)^IF(B395&lt;$C$7,0,DATEDIF($C$7,B395,"y"))*MAX(0,MIN(EDATE(B395,1),$C$9)-MAX(B395,$C$7))/(EDATE(B395,1)-B395))</f>
        <v>0</v>
      </c>
      <c r="E395" s="33" t="n">
        <f aca="false">-SUMIFS(Échéancier!$I$5:$I$300,Échéancier!$J$5:$J$300,$C$5,Échéancier!$C$5:$C$300,"&gt;="&amp;B395,Échéancier!$C$5:$C$300,"&lt;"&amp;EDATE(B395,1))</f>
        <v>-0</v>
      </c>
      <c r="F395" s="33" t="n">
        <f aca="false">-SUMIFS($D$68:$D$106,$E$68:$E$106,$C$5,$C$68:$C$106,"&gt;="&amp;B395,$C$68:$C$106,"&lt;"&amp;EDATE(B395,1))</f>
        <v>-0</v>
      </c>
      <c r="G395" s="33" t="n">
        <f aca="false">SUMIFS(Journal!$K$5:$K$1004,Journal!$C$5:$C$1004,$C$5,Journal!$A$5:$A$1004,"&gt;="&amp;B395,Journal!$A$5:$A$1004,"&lt;"&amp;MIN(EDATE(B395,1),$C$6+1))</f>
        <v>0</v>
      </c>
      <c r="H395" s="33" t="n">
        <f aca="false">IF(B395&lt;=$C$6,0,($C$12-$C$13/12)*(1+$C$14)^(YEAR(B395)-YEAR($C$6)))</f>
        <v>716.068755126382</v>
      </c>
      <c r="I395" s="33" t="n">
        <f aca="false">SUM(D395:H395)</f>
        <v>716.068755126382</v>
      </c>
      <c r="J395" s="33" t="n">
        <f aca="false">IF(C395&lt;=$C$22,I395,0)</f>
        <v>0</v>
      </c>
      <c r="K395" s="33" t="n">
        <f aca="false">IF(C395&lt;=$D$22,I395,0)</f>
        <v>0</v>
      </c>
      <c r="L395" s="33" t="n">
        <f aca="false">IF(C395&lt;=$E$22,I395,0)</f>
        <v>0</v>
      </c>
    </row>
    <row r="396" customFormat="false" ht="15" hidden="false" customHeight="true" outlineLevel="0" collapsed="false">
      <c r="B396" s="65" t="n">
        <f aca="false">EDATE(B395,1)</f>
        <v>51044</v>
      </c>
      <c r="C396" s="64" t="n">
        <f aca="false">B396+14</f>
        <v>51058</v>
      </c>
      <c r="D396" s="33" t="n">
        <f aca="false">IF(OR($C$9="",B396&gt;=$C$9),0,$C$10*(1+$C$11)^IF(B396&lt;$C$7,0,DATEDIF($C$7,B396,"y"))*MAX(0,MIN(EDATE(B396,1),$C$9)-MAX(B396,$C$7))/(EDATE(B396,1)-B396))</f>
        <v>0</v>
      </c>
      <c r="E396" s="33" t="n">
        <f aca="false">-SUMIFS(Échéancier!$I$5:$I$300,Échéancier!$J$5:$J$300,$C$5,Échéancier!$C$5:$C$300,"&gt;="&amp;B396,Échéancier!$C$5:$C$300,"&lt;"&amp;EDATE(B396,1))</f>
        <v>-0</v>
      </c>
      <c r="F396" s="33" t="n">
        <f aca="false">-SUMIFS($D$68:$D$106,$E$68:$E$106,$C$5,$C$68:$C$106,"&gt;="&amp;B396,$C$68:$C$106,"&lt;"&amp;EDATE(B396,1))</f>
        <v>-0</v>
      </c>
      <c r="G396" s="33" t="n">
        <f aca="false">SUMIFS(Journal!$K$5:$K$1004,Journal!$C$5:$C$1004,$C$5,Journal!$A$5:$A$1004,"&gt;="&amp;B396,Journal!$A$5:$A$1004,"&lt;"&amp;MIN(EDATE(B396,1),$C$6+1))</f>
        <v>0</v>
      </c>
      <c r="H396" s="33" t="n">
        <f aca="false">IF(B396&lt;=$C$6,0,($C$12-$C$13/12)*(1+$C$14)^(YEAR(B396)-YEAR($C$6)))</f>
        <v>716.068755126382</v>
      </c>
      <c r="I396" s="33" t="n">
        <f aca="false">SUM(D396:H396)</f>
        <v>716.068755126382</v>
      </c>
      <c r="J396" s="33" t="n">
        <f aca="false">IF(C396&lt;=$C$22,I396,0)</f>
        <v>0</v>
      </c>
      <c r="K396" s="33" t="n">
        <f aca="false">IF(C396&lt;=$D$22,I396,0)</f>
        <v>0</v>
      </c>
      <c r="L396" s="33" t="n">
        <f aca="false">IF(C396&lt;=$E$22,I396,0)</f>
        <v>0</v>
      </c>
    </row>
    <row r="397" customFormat="false" ht="15" hidden="false" customHeight="true" outlineLevel="0" collapsed="false">
      <c r="B397" s="65" t="n">
        <f aca="false">EDATE(B396,1)</f>
        <v>51075</v>
      </c>
      <c r="C397" s="64" t="n">
        <f aca="false">B397+14</f>
        <v>51089</v>
      </c>
      <c r="D397" s="33" t="n">
        <f aca="false">IF(OR($C$9="",B397&gt;=$C$9),0,$C$10*(1+$C$11)^IF(B397&lt;$C$7,0,DATEDIF($C$7,B397,"y"))*MAX(0,MIN(EDATE(B397,1),$C$9)-MAX(B397,$C$7))/(EDATE(B397,1)-B397))</f>
        <v>0</v>
      </c>
      <c r="E397" s="33" t="n">
        <f aca="false">-SUMIFS(Échéancier!$I$5:$I$300,Échéancier!$J$5:$J$300,$C$5,Échéancier!$C$5:$C$300,"&gt;="&amp;B397,Échéancier!$C$5:$C$300,"&lt;"&amp;EDATE(B397,1))</f>
        <v>-0</v>
      </c>
      <c r="F397" s="33" t="n">
        <f aca="false">-SUMIFS($D$68:$D$106,$E$68:$E$106,$C$5,$C$68:$C$106,"&gt;="&amp;B397,$C$68:$C$106,"&lt;"&amp;EDATE(B397,1))</f>
        <v>-0</v>
      </c>
      <c r="G397" s="33" t="n">
        <f aca="false">SUMIFS(Journal!$K$5:$K$1004,Journal!$C$5:$C$1004,$C$5,Journal!$A$5:$A$1004,"&gt;="&amp;B397,Journal!$A$5:$A$1004,"&lt;"&amp;MIN(EDATE(B397,1),$C$6+1))</f>
        <v>0</v>
      </c>
      <c r="H397" s="33" t="n">
        <f aca="false">IF(B397&lt;=$C$6,0,($C$12-$C$13/12)*(1+$C$14)^(YEAR(B397)-YEAR($C$6)))</f>
        <v>716.068755126382</v>
      </c>
      <c r="I397" s="33" t="n">
        <f aca="false">SUM(D397:H397)</f>
        <v>716.068755126382</v>
      </c>
      <c r="J397" s="33" t="n">
        <f aca="false">IF(C397&lt;=$C$22,I397,0)</f>
        <v>0</v>
      </c>
      <c r="K397" s="33" t="n">
        <f aca="false">IF(C397&lt;=$D$22,I397,0)</f>
        <v>0</v>
      </c>
      <c r="L397" s="33" t="n">
        <f aca="false">IF(C397&lt;=$E$22,I397,0)</f>
        <v>0</v>
      </c>
    </row>
    <row r="398" customFormat="false" ht="15" hidden="false" customHeight="true" outlineLevel="0" collapsed="false">
      <c r="B398" s="65" t="n">
        <f aca="false">EDATE(B397,1)</f>
        <v>51105</v>
      </c>
      <c r="C398" s="64" t="n">
        <f aca="false">B398+14</f>
        <v>51119</v>
      </c>
      <c r="D398" s="33" t="n">
        <f aca="false">IF(OR($C$9="",B398&gt;=$C$9),0,$C$10*(1+$C$11)^IF(B398&lt;$C$7,0,DATEDIF($C$7,B398,"y"))*MAX(0,MIN(EDATE(B398,1),$C$9)-MAX(B398,$C$7))/(EDATE(B398,1)-B398))</f>
        <v>0</v>
      </c>
      <c r="E398" s="33" t="n">
        <f aca="false">-SUMIFS(Échéancier!$I$5:$I$300,Échéancier!$J$5:$J$300,$C$5,Échéancier!$C$5:$C$300,"&gt;="&amp;B398,Échéancier!$C$5:$C$300,"&lt;"&amp;EDATE(B398,1))</f>
        <v>-0</v>
      </c>
      <c r="F398" s="33" t="n">
        <f aca="false">-SUMIFS($D$68:$D$106,$E$68:$E$106,$C$5,$C$68:$C$106,"&gt;="&amp;B398,$C$68:$C$106,"&lt;"&amp;EDATE(B398,1))</f>
        <v>-0</v>
      </c>
      <c r="G398" s="33" t="n">
        <f aca="false">SUMIFS(Journal!$K$5:$K$1004,Journal!$C$5:$C$1004,$C$5,Journal!$A$5:$A$1004,"&gt;="&amp;B398,Journal!$A$5:$A$1004,"&lt;"&amp;MIN(EDATE(B398,1),$C$6+1))</f>
        <v>0</v>
      </c>
      <c r="H398" s="33" t="n">
        <f aca="false">IF(B398&lt;=$C$6,0,($C$12-$C$13/12)*(1+$C$14)^(YEAR(B398)-YEAR($C$6)))</f>
        <v>716.068755126382</v>
      </c>
      <c r="I398" s="33" t="n">
        <f aca="false">SUM(D398:H398)</f>
        <v>716.068755126382</v>
      </c>
      <c r="J398" s="33" t="n">
        <f aca="false">IF(C398&lt;=$C$22,I398,0)</f>
        <v>0</v>
      </c>
      <c r="K398" s="33" t="n">
        <f aca="false">IF(C398&lt;=$D$22,I398,0)</f>
        <v>0</v>
      </c>
      <c r="L398" s="33" t="n">
        <f aca="false">IF(C398&lt;=$E$22,I398,0)</f>
        <v>0</v>
      </c>
    </row>
    <row r="399" customFormat="false" ht="15" hidden="false" customHeight="true" outlineLevel="0" collapsed="false">
      <c r="B399" s="65" t="n">
        <f aca="false">EDATE(B398,1)</f>
        <v>51136</v>
      </c>
      <c r="C399" s="64" t="n">
        <f aca="false">B399+14</f>
        <v>51150</v>
      </c>
      <c r="D399" s="33" t="n">
        <f aca="false">IF(OR($C$9="",B399&gt;=$C$9),0,$C$10*(1+$C$11)^IF(B399&lt;$C$7,0,DATEDIF($C$7,B399,"y"))*MAX(0,MIN(EDATE(B399,1),$C$9)-MAX(B399,$C$7))/(EDATE(B399,1)-B399))</f>
        <v>0</v>
      </c>
      <c r="E399" s="33" t="n">
        <f aca="false">-SUMIFS(Échéancier!$I$5:$I$300,Échéancier!$J$5:$J$300,$C$5,Échéancier!$C$5:$C$300,"&gt;="&amp;B399,Échéancier!$C$5:$C$300,"&lt;"&amp;EDATE(B399,1))</f>
        <v>-0</v>
      </c>
      <c r="F399" s="33" t="n">
        <f aca="false">-SUMIFS($D$68:$D$106,$E$68:$E$106,$C$5,$C$68:$C$106,"&gt;="&amp;B399,$C$68:$C$106,"&lt;"&amp;EDATE(B399,1))</f>
        <v>-0</v>
      </c>
      <c r="G399" s="33" t="n">
        <f aca="false">SUMIFS(Journal!$K$5:$K$1004,Journal!$C$5:$C$1004,$C$5,Journal!$A$5:$A$1004,"&gt;="&amp;B399,Journal!$A$5:$A$1004,"&lt;"&amp;MIN(EDATE(B399,1),$C$6+1))</f>
        <v>0</v>
      </c>
      <c r="H399" s="33" t="n">
        <f aca="false">IF(B399&lt;=$C$6,0,($C$12-$C$13/12)*(1+$C$14)^(YEAR(B399)-YEAR($C$6)))</f>
        <v>726.809786453277</v>
      </c>
      <c r="I399" s="33" t="n">
        <f aca="false">SUM(D399:H399)</f>
        <v>726.809786453277</v>
      </c>
      <c r="J399" s="33" t="n">
        <f aca="false">IF(C399&lt;=$C$22,I399,0)</f>
        <v>0</v>
      </c>
      <c r="K399" s="33" t="n">
        <f aca="false">IF(C399&lt;=$D$22,I399,0)</f>
        <v>0</v>
      </c>
      <c r="L399" s="33" t="n">
        <f aca="false">IF(C399&lt;=$E$22,I399,0)</f>
        <v>0</v>
      </c>
    </row>
    <row r="400" customFormat="false" ht="15" hidden="false" customHeight="true" outlineLevel="0" collapsed="false">
      <c r="B400" s="65" t="n">
        <f aca="false">EDATE(B399,1)</f>
        <v>51167</v>
      </c>
      <c r="C400" s="64" t="n">
        <f aca="false">B400+14</f>
        <v>51181</v>
      </c>
      <c r="D400" s="33" t="n">
        <f aca="false">IF(OR($C$9="",B400&gt;=$C$9),0,$C$10*(1+$C$11)^IF(B400&lt;$C$7,0,DATEDIF($C$7,B400,"y"))*MAX(0,MIN(EDATE(B400,1),$C$9)-MAX(B400,$C$7))/(EDATE(B400,1)-B400))</f>
        <v>0</v>
      </c>
      <c r="E400" s="33" t="n">
        <f aca="false">-SUMIFS(Échéancier!$I$5:$I$300,Échéancier!$J$5:$J$300,$C$5,Échéancier!$C$5:$C$300,"&gt;="&amp;B400,Échéancier!$C$5:$C$300,"&lt;"&amp;EDATE(B400,1))</f>
        <v>-0</v>
      </c>
      <c r="F400" s="33" t="n">
        <f aca="false">-SUMIFS($D$68:$D$106,$E$68:$E$106,$C$5,$C$68:$C$106,"&gt;="&amp;B400,$C$68:$C$106,"&lt;"&amp;EDATE(B400,1))</f>
        <v>-0</v>
      </c>
      <c r="G400" s="33" t="n">
        <f aca="false">SUMIFS(Journal!$K$5:$K$1004,Journal!$C$5:$C$1004,$C$5,Journal!$A$5:$A$1004,"&gt;="&amp;B400,Journal!$A$5:$A$1004,"&lt;"&amp;MIN(EDATE(B400,1),$C$6+1))</f>
        <v>0</v>
      </c>
      <c r="H400" s="33" t="n">
        <f aca="false">IF(B400&lt;=$C$6,0,($C$12-$C$13/12)*(1+$C$14)^(YEAR(B400)-YEAR($C$6)))</f>
        <v>726.809786453277</v>
      </c>
      <c r="I400" s="33" t="n">
        <f aca="false">SUM(D400:H400)</f>
        <v>726.809786453277</v>
      </c>
      <c r="J400" s="33" t="n">
        <f aca="false">IF(C400&lt;=$C$22,I400,0)</f>
        <v>0</v>
      </c>
      <c r="K400" s="33" t="n">
        <f aca="false">IF(C400&lt;=$D$22,I400,0)</f>
        <v>0</v>
      </c>
      <c r="L400" s="33" t="n">
        <f aca="false">IF(C400&lt;=$E$22,I400,0)</f>
        <v>0</v>
      </c>
    </row>
    <row r="401" customFormat="false" ht="15" hidden="false" customHeight="true" outlineLevel="0" collapsed="false">
      <c r="B401" s="65" t="n">
        <f aca="false">EDATE(B400,1)</f>
        <v>51196</v>
      </c>
      <c r="C401" s="64" t="n">
        <f aca="false">B401+14</f>
        <v>51210</v>
      </c>
      <c r="D401" s="33" t="n">
        <f aca="false">IF(OR($C$9="",B401&gt;=$C$9),0,$C$10*(1+$C$11)^IF(B401&lt;$C$7,0,DATEDIF($C$7,B401,"y"))*MAX(0,MIN(EDATE(B401,1),$C$9)-MAX(B401,$C$7))/(EDATE(B401,1)-B401))</f>
        <v>0</v>
      </c>
      <c r="E401" s="33" t="n">
        <f aca="false">-SUMIFS(Échéancier!$I$5:$I$300,Échéancier!$J$5:$J$300,$C$5,Échéancier!$C$5:$C$300,"&gt;="&amp;B401,Échéancier!$C$5:$C$300,"&lt;"&amp;EDATE(B401,1))</f>
        <v>-0</v>
      </c>
      <c r="F401" s="33" t="n">
        <f aca="false">-SUMIFS($D$68:$D$106,$E$68:$E$106,$C$5,$C$68:$C$106,"&gt;="&amp;B401,$C$68:$C$106,"&lt;"&amp;EDATE(B401,1))</f>
        <v>-0</v>
      </c>
      <c r="G401" s="33" t="n">
        <f aca="false">SUMIFS(Journal!$K$5:$K$1004,Journal!$C$5:$C$1004,$C$5,Journal!$A$5:$A$1004,"&gt;="&amp;B401,Journal!$A$5:$A$1004,"&lt;"&amp;MIN(EDATE(B401,1),$C$6+1))</f>
        <v>0</v>
      </c>
      <c r="H401" s="33" t="n">
        <f aca="false">IF(B401&lt;=$C$6,0,($C$12-$C$13/12)*(1+$C$14)^(YEAR(B401)-YEAR($C$6)))</f>
        <v>726.809786453277</v>
      </c>
      <c r="I401" s="33" t="n">
        <f aca="false">SUM(D401:H401)</f>
        <v>726.809786453277</v>
      </c>
      <c r="J401" s="33" t="n">
        <f aca="false">IF(C401&lt;=$C$22,I401,0)</f>
        <v>0</v>
      </c>
      <c r="K401" s="33" t="n">
        <f aca="false">IF(C401&lt;=$D$22,I401,0)</f>
        <v>0</v>
      </c>
      <c r="L401" s="33" t="n">
        <f aca="false">IF(C401&lt;=$E$22,I401,0)</f>
        <v>0</v>
      </c>
    </row>
    <row r="402" customFormat="false" ht="15" hidden="false" customHeight="true" outlineLevel="0" collapsed="false">
      <c r="B402" s="65" t="n">
        <f aca="false">EDATE(B401,1)</f>
        <v>51227</v>
      </c>
      <c r="C402" s="64" t="n">
        <f aca="false">B402+14</f>
        <v>51241</v>
      </c>
      <c r="D402" s="33" t="n">
        <f aca="false">IF(OR($C$9="",B402&gt;=$C$9),0,$C$10*(1+$C$11)^IF(B402&lt;$C$7,0,DATEDIF($C$7,B402,"y"))*MAX(0,MIN(EDATE(B402,1),$C$9)-MAX(B402,$C$7))/(EDATE(B402,1)-B402))</f>
        <v>0</v>
      </c>
      <c r="E402" s="33" t="n">
        <f aca="false">-SUMIFS(Échéancier!$I$5:$I$300,Échéancier!$J$5:$J$300,$C$5,Échéancier!$C$5:$C$300,"&gt;="&amp;B402,Échéancier!$C$5:$C$300,"&lt;"&amp;EDATE(B402,1))</f>
        <v>-0</v>
      </c>
      <c r="F402" s="33" t="n">
        <f aca="false">-SUMIFS($D$68:$D$106,$E$68:$E$106,$C$5,$C$68:$C$106,"&gt;="&amp;B402,$C$68:$C$106,"&lt;"&amp;EDATE(B402,1))</f>
        <v>-0</v>
      </c>
      <c r="G402" s="33" t="n">
        <f aca="false">SUMIFS(Journal!$K$5:$K$1004,Journal!$C$5:$C$1004,$C$5,Journal!$A$5:$A$1004,"&gt;="&amp;B402,Journal!$A$5:$A$1004,"&lt;"&amp;MIN(EDATE(B402,1),$C$6+1))</f>
        <v>0</v>
      </c>
      <c r="H402" s="33" t="n">
        <f aca="false">IF(B402&lt;=$C$6,0,($C$12-$C$13/12)*(1+$C$14)^(YEAR(B402)-YEAR($C$6)))</f>
        <v>726.809786453277</v>
      </c>
      <c r="I402" s="33" t="n">
        <f aca="false">SUM(D402:H402)</f>
        <v>726.809786453277</v>
      </c>
      <c r="J402" s="33" t="n">
        <f aca="false">IF(C402&lt;=$C$22,I402,0)</f>
        <v>0</v>
      </c>
      <c r="K402" s="33" t="n">
        <f aca="false">IF(C402&lt;=$D$22,I402,0)</f>
        <v>0</v>
      </c>
      <c r="L402" s="33" t="n">
        <f aca="false">IF(C402&lt;=$E$22,I402,0)</f>
        <v>0</v>
      </c>
    </row>
    <row r="403" customFormat="false" ht="15" hidden="false" customHeight="true" outlineLevel="0" collapsed="false">
      <c r="B403" s="65" t="n">
        <f aca="false">EDATE(B402,1)</f>
        <v>51257</v>
      </c>
      <c r="C403" s="64" t="n">
        <f aca="false">B403+14</f>
        <v>51271</v>
      </c>
      <c r="D403" s="33" t="n">
        <f aca="false">IF(OR($C$9="",B403&gt;=$C$9),0,$C$10*(1+$C$11)^IF(B403&lt;$C$7,0,DATEDIF($C$7,B403,"y"))*MAX(0,MIN(EDATE(B403,1),$C$9)-MAX(B403,$C$7))/(EDATE(B403,1)-B403))</f>
        <v>0</v>
      </c>
      <c r="E403" s="33" t="n">
        <f aca="false">-SUMIFS(Échéancier!$I$5:$I$300,Échéancier!$J$5:$J$300,$C$5,Échéancier!$C$5:$C$300,"&gt;="&amp;B403,Échéancier!$C$5:$C$300,"&lt;"&amp;EDATE(B403,1))</f>
        <v>-0</v>
      </c>
      <c r="F403" s="33" t="n">
        <f aca="false">-SUMIFS($D$68:$D$106,$E$68:$E$106,$C$5,$C$68:$C$106,"&gt;="&amp;B403,$C$68:$C$106,"&lt;"&amp;EDATE(B403,1))</f>
        <v>-0</v>
      </c>
      <c r="G403" s="33" t="n">
        <f aca="false">SUMIFS(Journal!$K$5:$K$1004,Journal!$C$5:$C$1004,$C$5,Journal!$A$5:$A$1004,"&gt;="&amp;B403,Journal!$A$5:$A$1004,"&lt;"&amp;MIN(EDATE(B403,1),$C$6+1))</f>
        <v>0</v>
      </c>
      <c r="H403" s="33" t="n">
        <f aca="false">IF(B403&lt;=$C$6,0,($C$12-$C$13/12)*(1+$C$14)^(YEAR(B403)-YEAR($C$6)))</f>
        <v>726.809786453277</v>
      </c>
      <c r="I403" s="33" t="n">
        <f aca="false">SUM(D403:H403)</f>
        <v>726.809786453277</v>
      </c>
      <c r="J403" s="33" t="n">
        <f aca="false">IF(C403&lt;=$C$22,I403,0)</f>
        <v>0</v>
      </c>
      <c r="K403" s="33" t="n">
        <f aca="false">IF(C403&lt;=$D$22,I403,0)</f>
        <v>0</v>
      </c>
      <c r="L403" s="33" t="n">
        <f aca="false">IF(C403&lt;=$E$22,I403,0)</f>
        <v>0</v>
      </c>
    </row>
    <row r="404" customFormat="false" ht="15" hidden="false" customHeight="true" outlineLevel="0" collapsed="false">
      <c r="B404" s="65" t="n">
        <f aca="false">EDATE(B403,1)</f>
        <v>51288</v>
      </c>
      <c r="C404" s="64" t="n">
        <f aca="false">B404+14</f>
        <v>51302</v>
      </c>
      <c r="D404" s="33" t="n">
        <f aca="false">IF(OR($C$9="",B404&gt;=$C$9),0,$C$10*(1+$C$11)^IF(B404&lt;$C$7,0,DATEDIF($C$7,B404,"y"))*MAX(0,MIN(EDATE(B404,1),$C$9)-MAX(B404,$C$7))/(EDATE(B404,1)-B404))</f>
        <v>0</v>
      </c>
      <c r="E404" s="33" t="n">
        <f aca="false">-SUMIFS(Échéancier!$I$5:$I$300,Échéancier!$J$5:$J$300,$C$5,Échéancier!$C$5:$C$300,"&gt;="&amp;B404,Échéancier!$C$5:$C$300,"&lt;"&amp;EDATE(B404,1))</f>
        <v>-0</v>
      </c>
      <c r="F404" s="33" t="n">
        <f aca="false">-SUMIFS($D$68:$D$106,$E$68:$E$106,$C$5,$C$68:$C$106,"&gt;="&amp;B404,$C$68:$C$106,"&lt;"&amp;EDATE(B404,1))</f>
        <v>-0</v>
      </c>
      <c r="G404" s="33" t="n">
        <f aca="false">SUMIFS(Journal!$K$5:$K$1004,Journal!$C$5:$C$1004,$C$5,Journal!$A$5:$A$1004,"&gt;="&amp;B404,Journal!$A$5:$A$1004,"&lt;"&amp;MIN(EDATE(B404,1),$C$6+1))</f>
        <v>0</v>
      </c>
      <c r="H404" s="33" t="n">
        <f aca="false">IF(B404&lt;=$C$6,0,($C$12-$C$13/12)*(1+$C$14)^(YEAR(B404)-YEAR($C$6)))</f>
        <v>726.809786453277</v>
      </c>
      <c r="I404" s="33" t="n">
        <f aca="false">SUM(D404:H404)</f>
        <v>726.809786453277</v>
      </c>
      <c r="J404" s="33" t="n">
        <f aca="false">IF(C404&lt;=$C$22,I404,0)</f>
        <v>0</v>
      </c>
      <c r="K404" s="33" t="n">
        <f aca="false">IF(C404&lt;=$D$22,I404,0)</f>
        <v>0</v>
      </c>
      <c r="L404" s="33" t="n">
        <f aca="false">IF(C404&lt;=$E$22,I404,0)</f>
        <v>0</v>
      </c>
    </row>
    <row r="405" customFormat="false" ht="15" hidden="false" customHeight="true" outlineLevel="0" collapsed="false">
      <c r="B405" s="65" t="n">
        <f aca="false">EDATE(B404,1)</f>
        <v>51318</v>
      </c>
      <c r="C405" s="64" t="n">
        <f aca="false">B405+14</f>
        <v>51332</v>
      </c>
      <c r="D405" s="33" t="n">
        <f aca="false">IF(OR($C$9="",B405&gt;=$C$9),0,$C$10*(1+$C$11)^IF(B405&lt;$C$7,0,DATEDIF($C$7,B405,"y"))*MAX(0,MIN(EDATE(B405,1),$C$9)-MAX(B405,$C$7))/(EDATE(B405,1)-B405))</f>
        <v>0</v>
      </c>
      <c r="E405" s="33" t="n">
        <f aca="false">-SUMIFS(Échéancier!$I$5:$I$300,Échéancier!$J$5:$J$300,$C$5,Échéancier!$C$5:$C$300,"&gt;="&amp;B405,Échéancier!$C$5:$C$300,"&lt;"&amp;EDATE(B405,1))</f>
        <v>-0</v>
      </c>
      <c r="F405" s="33" t="n">
        <f aca="false">-SUMIFS($D$68:$D$106,$E$68:$E$106,$C$5,$C$68:$C$106,"&gt;="&amp;B405,$C$68:$C$106,"&lt;"&amp;EDATE(B405,1))</f>
        <v>-0</v>
      </c>
      <c r="G405" s="33" t="n">
        <f aca="false">SUMIFS(Journal!$K$5:$K$1004,Journal!$C$5:$C$1004,$C$5,Journal!$A$5:$A$1004,"&gt;="&amp;B405,Journal!$A$5:$A$1004,"&lt;"&amp;MIN(EDATE(B405,1),$C$6+1))</f>
        <v>0</v>
      </c>
      <c r="H405" s="33" t="n">
        <f aca="false">IF(B405&lt;=$C$6,0,($C$12-$C$13/12)*(1+$C$14)^(YEAR(B405)-YEAR($C$6)))</f>
        <v>726.809786453277</v>
      </c>
      <c r="I405" s="33" t="n">
        <f aca="false">SUM(D405:H405)</f>
        <v>726.809786453277</v>
      </c>
      <c r="J405" s="33" t="n">
        <f aca="false">IF(C405&lt;=$C$22,I405,0)</f>
        <v>0</v>
      </c>
      <c r="K405" s="33" t="n">
        <f aca="false">IF(C405&lt;=$D$22,I405,0)</f>
        <v>0</v>
      </c>
      <c r="L405" s="33" t="n">
        <f aca="false">IF(C405&lt;=$E$22,I405,0)</f>
        <v>0</v>
      </c>
    </row>
    <row r="406" customFormat="false" ht="15" hidden="false" customHeight="true" outlineLevel="0" collapsed="false">
      <c r="B406" s="65" t="n">
        <f aca="false">EDATE(B405,1)</f>
        <v>51349</v>
      </c>
      <c r="C406" s="64" t="n">
        <f aca="false">B406+14</f>
        <v>51363</v>
      </c>
      <c r="D406" s="33" t="n">
        <f aca="false">IF(OR($C$9="",B406&gt;=$C$9),0,$C$10*(1+$C$11)^IF(B406&lt;$C$7,0,DATEDIF($C$7,B406,"y"))*MAX(0,MIN(EDATE(B406,1),$C$9)-MAX(B406,$C$7))/(EDATE(B406,1)-B406))</f>
        <v>0</v>
      </c>
      <c r="E406" s="33" t="n">
        <f aca="false">-SUMIFS(Échéancier!$I$5:$I$300,Échéancier!$J$5:$J$300,$C$5,Échéancier!$C$5:$C$300,"&gt;="&amp;B406,Échéancier!$C$5:$C$300,"&lt;"&amp;EDATE(B406,1))</f>
        <v>-0</v>
      </c>
      <c r="F406" s="33" t="n">
        <f aca="false">-SUMIFS($D$68:$D$106,$E$68:$E$106,$C$5,$C$68:$C$106,"&gt;="&amp;B406,$C$68:$C$106,"&lt;"&amp;EDATE(B406,1))</f>
        <v>-0</v>
      </c>
      <c r="G406" s="33" t="n">
        <f aca="false">SUMIFS(Journal!$K$5:$K$1004,Journal!$C$5:$C$1004,$C$5,Journal!$A$5:$A$1004,"&gt;="&amp;B406,Journal!$A$5:$A$1004,"&lt;"&amp;MIN(EDATE(B406,1),$C$6+1))</f>
        <v>0</v>
      </c>
      <c r="H406" s="33" t="n">
        <f aca="false">IF(B406&lt;=$C$6,0,($C$12-$C$13/12)*(1+$C$14)^(YEAR(B406)-YEAR($C$6)))</f>
        <v>726.809786453277</v>
      </c>
      <c r="I406" s="33" t="n">
        <f aca="false">SUM(D406:H406)</f>
        <v>726.809786453277</v>
      </c>
      <c r="J406" s="33" t="n">
        <f aca="false">IF(C406&lt;=$C$22,I406,0)</f>
        <v>0</v>
      </c>
      <c r="K406" s="33" t="n">
        <f aca="false">IF(C406&lt;=$D$22,I406,0)</f>
        <v>0</v>
      </c>
      <c r="L406" s="33" t="n">
        <f aca="false">IF(C406&lt;=$E$22,I406,0)</f>
        <v>0</v>
      </c>
    </row>
    <row r="407" customFormat="false" ht="15" hidden="false" customHeight="true" outlineLevel="0" collapsed="false">
      <c r="B407" s="65" t="n">
        <f aca="false">EDATE(B406,1)</f>
        <v>51380</v>
      </c>
      <c r="C407" s="64" t="n">
        <f aca="false">B407+14</f>
        <v>51394</v>
      </c>
      <c r="D407" s="33" t="n">
        <f aca="false">IF(OR($C$9="",B407&gt;=$C$9),0,$C$10*(1+$C$11)^IF(B407&lt;$C$7,0,DATEDIF($C$7,B407,"y"))*MAX(0,MIN(EDATE(B407,1),$C$9)-MAX(B407,$C$7))/(EDATE(B407,1)-B407))</f>
        <v>0</v>
      </c>
      <c r="E407" s="33" t="n">
        <f aca="false">-SUMIFS(Échéancier!$I$5:$I$300,Échéancier!$J$5:$J$300,$C$5,Échéancier!$C$5:$C$300,"&gt;="&amp;B407,Échéancier!$C$5:$C$300,"&lt;"&amp;EDATE(B407,1))</f>
        <v>-0</v>
      </c>
      <c r="F407" s="33" t="n">
        <f aca="false">-SUMIFS($D$68:$D$106,$E$68:$E$106,$C$5,$C$68:$C$106,"&gt;="&amp;B407,$C$68:$C$106,"&lt;"&amp;EDATE(B407,1))</f>
        <v>-0</v>
      </c>
      <c r="G407" s="33" t="n">
        <f aca="false">SUMIFS(Journal!$K$5:$K$1004,Journal!$C$5:$C$1004,$C$5,Journal!$A$5:$A$1004,"&gt;="&amp;B407,Journal!$A$5:$A$1004,"&lt;"&amp;MIN(EDATE(B407,1),$C$6+1))</f>
        <v>0</v>
      </c>
      <c r="H407" s="33" t="n">
        <f aca="false">IF(B407&lt;=$C$6,0,($C$12-$C$13/12)*(1+$C$14)^(YEAR(B407)-YEAR($C$6)))</f>
        <v>726.809786453277</v>
      </c>
      <c r="I407" s="33" t="n">
        <f aca="false">SUM(D407:H407)</f>
        <v>726.809786453277</v>
      </c>
      <c r="J407" s="33" t="n">
        <f aca="false">IF(C407&lt;=$C$22,I407,0)</f>
        <v>0</v>
      </c>
      <c r="K407" s="33" t="n">
        <f aca="false">IF(C407&lt;=$D$22,I407,0)</f>
        <v>0</v>
      </c>
      <c r="L407" s="33" t="n">
        <f aca="false">IF(C407&lt;=$E$22,I407,0)</f>
        <v>0</v>
      </c>
    </row>
    <row r="408" customFormat="false" ht="15" hidden="false" customHeight="true" outlineLevel="0" collapsed="false">
      <c r="B408" s="65" t="n">
        <f aca="false">EDATE(B407,1)</f>
        <v>51410</v>
      </c>
      <c r="C408" s="64" t="n">
        <f aca="false">B408+14</f>
        <v>51424</v>
      </c>
      <c r="D408" s="33" t="n">
        <f aca="false">IF(OR($C$9="",B408&gt;=$C$9),0,$C$10*(1+$C$11)^IF(B408&lt;$C$7,0,DATEDIF($C$7,B408,"y"))*MAX(0,MIN(EDATE(B408,1),$C$9)-MAX(B408,$C$7))/(EDATE(B408,1)-B408))</f>
        <v>0</v>
      </c>
      <c r="E408" s="33" t="n">
        <f aca="false">-SUMIFS(Échéancier!$I$5:$I$300,Échéancier!$J$5:$J$300,$C$5,Échéancier!$C$5:$C$300,"&gt;="&amp;B408,Échéancier!$C$5:$C$300,"&lt;"&amp;EDATE(B408,1))</f>
        <v>-0</v>
      </c>
      <c r="F408" s="33" t="n">
        <f aca="false">-SUMIFS($D$68:$D$106,$E$68:$E$106,$C$5,$C$68:$C$106,"&gt;="&amp;B408,$C$68:$C$106,"&lt;"&amp;EDATE(B408,1))</f>
        <v>-0</v>
      </c>
      <c r="G408" s="33" t="n">
        <f aca="false">SUMIFS(Journal!$K$5:$K$1004,Journal!$C$5:$C$1004,$C$5,Journal!$A$5:$A$1004,"&gt;="&amp;B408,Journal!$A$5:$A$1004,"&lt;"&amp;MIN(EDATE(B408,1),$C$6+1))</f>
        <v>0</v>
      </c>
      <c r="H408" s="33" t="n">
        <f aca="false">IF(B408&lt;=$C$6,0,($C$12-$C$13/12)*(1+$C$14)^(YEAR(B408)-YEAR($C$6)))</f>
        <v>726.809786453277</v>
      </c>
      <c r="I408" s="33" t="n">
        <f aca="false">SUM(D408:H408)</f>
        <v>726.809786453277</v>
      </c>
      <c r="J408" s="33" t="n">
        <f aca="false">IF(C408&lt;=$C$22,I408,0)</f>
        <v>0</v>
      </c>
      <c r="K408" s="33" t="n">
        <f aca="false">IF(C408&lt;=$D$22,I408,0)</f>
        <v>0</v>
      </c>
      <c r="L408" s="33" t="n">
        <f aca="false">IF(C408&lt;=$E$22,I408,0)</f>
        <v>0</v>
      </c>
    </row>
    <row r="409" customFormat="false" ht="15" hidden="false" customHeight="true" outlineLevel="0" collapsed="false">
      <c r="B409" s="65" t="n">
        <f aca="false">EDATE(B408,1)</f>
        <v>51441</v>
      </c>
      <c r="C409" s="64" t="n">
        <f aca="false">B409+14</f>
        <v>51455</v>
      </c>
      <c r="D409" s="33" t="n">
        <f aca="false">IF(OR($C$9="",B409&gt;=$C$9),0,$C$10*(1+$C$11)^IF(B409&lt;$C$7,0,DATEDIF($C$7,B409,"y"))*MAX(0,MIN(EDATE(B409,1),$C$9)-MAX(B409,$C$7))/(EDATE(B409,1)-B409))</f>
        <v>0</v>
      </c>
      <c r="E409" s="33" t="n">
        <f aca="false">-SUMIFS(Échéancier!$I$5:$I$300,Échéancier!$J$5:$J$300,$C$5,Échéancier!$C$5:$C$300,"&gt;="&amp;B409,Échéancier!$C$5:$C$300,"&lt;"&amp;EDATE(B409,1))</f>
        <v>-0</v>
      </c>
      <c r="F409" s="33" t="n">
        <f aca="false">-SUMIFS($D$68:$D$106,$E$68:$E$106,$C$5,$C$68:$C$106,"&gt;="&amp;B409,$C$68:$C$106,"&lt;"&amp;EDATE(B409,1))</f>
        <v>-0</v>
      </c>
      <c r="G409" s="33" t="n">
        <f aca="false">SUMIFS(Journal!$K$5:$K$1004,Journal!$C$5:$C$1004,$C$5,Journal!$A$5:$A$1004,"&gt;="&amp;B409,Journal!$A$5:$A$1004,"&lt;"&amp;MIN(EDATE(B409,1),$C$6+1))</f>
        <v>0</v>
      </c>
      <c r="H409" s="33" t="n">
        <f aca="false">IF(B409&lt;=$C$6,0,($C$12-$C$13/12)*(1+$C$14)^(YEAR(B409)-YEAR($C$6)))</f>
        <v>726.809786453277</v>
      </c>
      <c r="I409" s="33" t="n">
        <f aca="false">SUM(D409:H409)</f>
        <v>726.809786453277</v>
      </c>
      <c r="J409" s="33" t="n">
        <f aca="false">IF(C409&lt;=$C$22,I409,0)</f>
        <v>0</v>
      </c>
      <c r="K409" s="33" t="n">
        <f aca="false">IF(C409&lt;=$D$22,I409,0)</f>
        <v>0</v>
      </c>
      <c r="L409" s="33" t="n">
        <f aca="false">IF(C409&lt;=$E$22,I409,0)</f>
        <v>0</v>
      </c>
    </row>
    <row r="410" customFormat="false" ht="15" hidden="false" customHeight="true" outlineLevel="0" collapsed="false">
      <c r="B410" s="65" t="n">
        <f aca="false">EDATE(B409,1)</f>
        <v>51471</v>
      </c>
      <c r="C410" s="64" t="n">
        <f aca="false">B410+14</f>
        <v>51485</v>
      </c>
      <c r="D410" s="33" t="n">
        <f aca="false">IF(OR($C$9="",B410&gt;=$C$9),0,$C$10*(1+$C$11)^IF(B410&lt;$C$7,0,DATEDIF($C$7,B410,"y"))*MAX(0,MIN(EDATE(B410,1),$C$9)-MAX(B410,$C$7))/(EDATE(B410,1)-B410))</f>
        <v>0</v>
      </c>
      <c r="E410" s="33" t="n">
        <f aca="false">-SUMIFS(Échéancier!$I$5:$I$300,Échéancier!$J$5:$J$300,$C$5,Échéancier!$C$5:$C$300,"&gt;="&amp;B410,Échéancier!$C$5:$C$300,"&lt;"&amp;EDATE(B410,1))</f>
        <v>-0</v>
      </c>
      <c r="F410" s="33" t="n">
        <f aca="false">-SUMIFS($D$68:$D$106,$E$68:$E$106,$C$5,$C$68:$C$106,"&gt;="&amp;B410,$C$68:$C$106,"&lt;"&amp;EDATE(B410,1))</f>
        <v>-0</v>
      </c>
      <c r="G410" s="33" t="n">
        <f aca="false">SUMIFS(Journal!$K$5:$K$1004,Journal!$C$5:$C$1004,$C$5,Journal!$A$5:$A$1004,"&gt;="&amp;B410,Journal!$A$5:$A$1004,"&lt;"&amp;MIN(EDATE(B410,1),$C$6+1))</f>
        <v>0</v>
      </c>
      <c r="H410" s="33" t="n">
        <f aca="false">IF(B410&lt;=$C$6,0,($C$12-$C$13/12)*(1+$C$14)^(YEAR(B410)-YEAR($C$6)))</f>
        <v>726.809786453277</v>
      </c>
      <c r="I410" s="33" t="n">
        <f aca="false">SUM(D410:H410)</f>
        <v>726.809786453277</v>
      </c>
      <c r="J410" s="33" t="n">
        <f aca="false">IF(C410&lt;=$C$22,I410,0)</f>
        <v>0</v>
      </c>
      <c r="K410" s="33" t="n">
        <f aca="false">IF(C410&lt;=$D$22,I410,0)</f>
        <v>0</v>
      </c>
      <c r="L410" s="33" t="n">
        <f aca="false">IF(C410&lt;=$E$22,I410,0)</f>
        <v>0</v>
      </c>
    </row>
    <row r="411" customFormat="false" ht="15" hidden="false" customHeight="true" outlineLevel="0" collapsed="false">
      <c r="B411" s="65" t="n">
        <f aca="false">EDATE(B410,1)</f>
        <v>51502</v>
      </c>
      <c r="C411" s="64" t="n">
        <f aca="false">B411+14</f>
        <v>51516</v>
      </c>
      <c r="D411" s="33" t="n">
        <f aca="false">IF(OR($C$9="",B411&gt;=$C$9),0,$C$10*(1+$C$11)^IF(B411&lt;$C$7,0,DATEDIF($C$7,B411,"y"))*MAX(0,MIN(EDATE(B411,1),$C$9)-MAX(B411,$C$7))/(EDATE(B411,1)-B411))</f>
        <v>0</v>
      </c>
      <c r="E411" s="33" t="n">
        <f aca="false">-SUMIFS(Échéancier!$I$5:$I$300,Échéancier!$J$5:$J$300,$C$5,Échéancier!$C$5:$C$300,"&gt;="&amp;B411,Échéancier!$C$5:$C$300,"&lt;"&amp;EDATE(B411,1))</f>
        <v>-0</v>
      </c>
      <c r="F411" s="33" t="n">
        <f aca="false">-SUMIFS($D$68:$D$106,$E$68:$E$106,$C$5,$C$68:$C$106,"&gt;="&amp;B411,$C$68:$C$106,"&lt;"&amp;EDATE(B411,1))</f>
        <v>-0</v>
      </c>
      <c r="G411" s="33" t="n">
        <f aca="false">SUMIFS(Journal!$K$5:$K$1004,Journal!$C$5:$C$1004,$C$5,Journal!$A$5:$A$1004,"&gt;="&amp;B411,Journal!$A$5:$A$1004,"&lt;"&amp;MIN(EDATE(B411,1),$C$6+1))</f>
        <v>0</v>
      </c>
      <c r="H411" s="33" t="n">
        <f aca="false">IF(B411&lt;=$C$6,0,($C$12-$C$13/12)*(1+$C$14)^(YEAR(B411)-YEAR($C$6)))</f>
        <v>737.711933250076</v>
      </c>
      <c r="I411" s="33" t="n">
        <f aca="false">SUM(D411:H411)</f>
        <v>737.711933250076</v>
      </c>
      <c r="J411" s="33" t="n">
        <f aca="false">IF(C411&lt;=$C$22,I411,0)</f>
        <v>0</v>
      </c>
      <c r="K411" s="33" t="n">
        <f aca="false">IF(C411&lt;=$D$22,I411,0)</f>
        <v>0</v>
      </c>
      <c r="L411" s="33" t="n">
        <f aca="false">IF(C411&lt;=$E$22,I411,0)</f>
        <v>0</v>
      </c>
    </row>
    <row r="412" customFormat="false" ht="15" hidden="false" customHeight="true" outlineLevel="0" collapsed="false">
      <c r="B412" s="65" t="n">
        <f aca="false">EDATE(B411,1)</f>
        <v>51533</v>
      </c>
      <c r="C412" s="64" t="n">
        <f aca="false">B412+14</f>
        <v>51547</v>
      </c>
      <c r="D412" s="33" t="n">
        <f aca="false">IF(OR($C$9="",B412&gt;=$C$9),0,$C$10*(1+$C$11)^IF(B412&lt;$C$7,0,DATEDIF($C$7,B412,"y"))*MAX(0,MIN(EDATE(B412,1),$C$9)-MAX(B412,$C$7))/(EDATE(B412,1)-B412))</f>
        <v>0</v>
      </c>
      <c r="E412" s="33" t="n">
        <f aca="false">-SUMIFS(Échéancier!$I$5:$I$300,Échéancier!$J$5:$J$300,$C$5,Échéancier!$C$5:$C$300,"&gt;="&amp;B412,Échéancier!$C$5:$C$300,"&lt;"&amp;EDATE(B412,1))</f>
        <v>-0</v>
      </c>
      <c r="F412" s="33" t="n">
        <f aca="false">-SUMIFS($D$68:$D$106,$E$68:$E$106,$C$5,$C$68:$C$106,"&gt;="&amp;B412,$C$68:$C$106,"&lt;"&amp;EDATE(B412,1))</f>
        <v>-0</v>
      </c>
      <c r="G412" s="33" t="n">
        <f aca="false">SUMIFS(Journal!$K$5:$K$1004,Journal!$C$5:$C$1004,$C$5,Journal!$A$5:$A$1004,"&gt;="&amp;B412,Journal!$A$5:$A$1004,"&lt;"&amp;MIN(EDATE(B412,1),$C$6+1))</f>
        <v>0</v>
      </c>
      <c r="H412" s="33" t="n">
        <f aca="false">IF(B412&lt;=$C$6,0,($C$12-$C$13/12)*(1+$C$14)^(YEAR(B412)-YEAR($C$6)))</f>
        <v>737.711933250076</v>
      </c>
      <c r="I412" s="33" t="n">
        <f aca="false">SUM(D412:H412)</f>
        <v>737.711933250076</v>
      </c>
      <c r="J412" s="33" t="n">
        <f aca="false">IF(C412&lt;=$C$22,I412,0)</f>
        <v>0</v>
      </c>
      <c r="K412" s="33" t="n">
        <f aca="false">IF(C412&lt;=$D$22,I412,0)</f>
        <v>0</v>
      </c>
      <c r="L412" s="33" t="n">
        <f aca="false">IF(C412&lt;=$E$22,I412,0)</f>
        <v>0</v>
      </c>
    </row>
    <row r="413" customFormat="false" ht="15" hidden="false" customHeight="true" outlineLevel="0" collapsed="false">
      <c r="B413" s="65" t="n">
        <f aca="false">EDATE(B412,1)</f>
        <v>51561</v>
      </c>
      <c r="C413" s="64" t="n">
        <f aca="false">B413+14</f>
        <v>51575</v>
      </c>
      <c r="D413" s="33" t="n">
        <f aca="false">IF(OR($C$9="",B413&gt;=$C$9),0,$C$10*(1+$C$11)^IF(B413&lt;$C$7,0,DATEDIF($C$7,B413,"y"))*MAX(0,MIN(EDATE(B413,1),$C$9)-MAX(B413,$C$7))/(EDATE(B413,1)-B413))</f>
        <v>0</v>
      </c>
      <c r="E413" s="33" t="n">
        <f aca="false">-SUMIFS(Échéancier!$I$5:$I$300,Échéancier!$J$5:$J$300,$C$5,Échéancier!$C$5:$C$300,"&gt;="&amp;B413,Échéancier!$C$5:$C$300,"&lt;"&amp;EDATE(B413,1))</f>
        <v>-0</v>
      </c>
      <c r="F413" s="33" t="n">
        <f aca="false">-SUMIFS($D$68:$D$106,$E$68:$E$106,$C$5,$C$68:$C$106,"&gt;="&amp;B413,$C$68:$C$106,"&lt;"&amp;EDATE(B413,1))</f>
        <v>-0</v>
      </c>
      <c r="G413" s="33" t="n">
        <f aca="false">SUMIFS(Journal!$K$5:$K$1004,Journal!$C$5:$C$1004,$C$5,Journal!$A$5:$A$1004,"&gt;="&amp;B413,Journal!$A$5:$A$1004,"&lt;"&amp;MIN(EDATE(B413,1),$C$6+1))</f>
        <v>0</v>
      </c>
      <c r="H413" s="33" t="n">
        <f aca="false">IF(B413&lt;=$C$6,0,($C$12-$C$13/12)*(1+$C$14)^(YEAR(B413)-YEAR($C$6)))</f>
        <v>737.711933250076</v>
      </c>
      <c r="I413" s="33" t="n">
        <f aca="false">SUM(D413:H413)</f>
        <v>737.711933250076</v>
      </c>
      <c r="J413" s="33" t="n">
        <f aca="false">IF(C413&lt;=$C$22,I413,0)</f>
        <v>0</v>
      </c>
      <c r="K413" s="33" t="n">
        <f aca="false">IF(C413&lt;=$D$22,I413,0)</f>
        <v>0</v>
      </c>
      <c r="L413" s="33" t="n">
        <f aca="false">IF(C413&lt;=$E$22,I413,0)</f>
        <v>0</v>
      </c>
    </row>
    <row r="414" customFormat="false" ht="15" hidden="false" customHeight="true" outlineLevel="0" collapsed="false">
      <c r="B414" s="65" t="n">
        <f aca="false">EDATE(B413,1)</f>
        <v>51592</v>
      </c>
      <c r="C414" s="64" t="n">
        <f aca="false">B414+14</f>
        <v>51606</v>
      </c>
      <c r="D414" s="33" t="n">
        <f aca="false">IF(OR($C$9="",B414&gt;=$C$9),0,$C$10*(1+$C$11)^IF(B414&lt;$C$7,0,DATEDIF($C$7,B414,"y"))*MAX(0,MIN(EDATE(B414,1),$C$9)-MAX(B414,$C$7))/(EDATE(B414,1)-B414))</f>
        <v>0</v>
      </c>
      <c r="E414" s="33" t="n">
        <f aca="false">-SUMIFS(Échéancier!$I$5:$I$300,Échéancier!$J$5:$J$300,$C$5,Échéancier!$C$5:$C$300,"&gt;="&amp;B414,Échéancier!$C$5:$C$300,"&lt;"&amp;EDATE(B414,1))</f>
        <v>-0</v>
      </c>
      <c r="F414" s="33" t="n">
        <f aca="false">-SUMIFS($D$68:$D$106,$E$68:$E$106,$C$5,$C$68:$C$106,"&gt;="&amp;B414,$C$68:$C$106,"&lt;"&amp;EDATE(B414,1))</f>
        <v>-0</v>
      </c>
      <c r="G414" s="33" t="n">
        <f aca="false">SUMIFS(Journal!$K$5:$K$1004,Journal!$C$5:$C$1004,$C$5,Journal!$A$5:$A$1004,"&gt;="&amp;B414,Journal!$A$5:$A$1004,"&lt;"&amp;MIN(EDATE(B414,1),$C$6+1))</f>
        <v>0</v>
      </c>
      <c r="H414" s="33" t="n">
        <f aca="false">IF(B414&lt;=$C$6,0,($C$12-$C$13/12)*(1+$C$14)^(YEAR(B414)-YEAR($C$6)))</f>
        <v>737.711933250076</v>
      </c>
      <c r="I414" s="33" t="n">
        <f aca="false">SUM(D414:H414)</f>
        <v>737.711933250076</v>
      </c>
      <c r="J414" s="33" t="n">
        <f aca="false">IF(C414&lt;=$C$22,I414,0)</f>
        <v>0</v>
      </c>
      <c r="K414" s="33" t="n">
        <f aca="false">IF(C414&lt;=$D$22,I414,0)</f>
        <v>0</v>
      </c>
      <c r="L414" s="33" t="n">
        <f aca="false">IF(C414&lt;=$E$22,I414,0)</f>
        <v>0</v>
      </c>
    </row>
    <row r="415" customFormat="false" ht="15" hidden="false" customHeight="true" outlineLevel="0" collapsed="false">
      <c r="B415" s="65" t="n">
        <f aca="false">EDATE(B414,1)</f>
        <v>51622</v>
      </c>
      <c r="C415" s="64" t="n">
        <f aca="false">B415+14</f>
        <v>51636</v>
      </c>
      <c r="D415" s="33" t="n">
        <f aca="false">IF(OR($C$9="",B415&gt;=$C$9),0,$C$10*(1+$C$11)^IF(B415&lt;$C$7,0,DATEDIF($C$7,B415,"y"))*MAX(0,MIN(EDATE(B415,1),$C$9)-MAX(B415,$C$7))/(EDATE(B415,1)-B415))</f>
        <v>0</v>
      </c>
      <c r="E415" s="33" t="n">
        <f aca="false">-SUMIFS(Échéancier!$I$5:$I$300,Échéancier!$J$5:$J$300,$C$5,Échéancier!$C$5:$C$300,"&gt;="&amp;B415,Échéancier!$C$5:$C$300,"&lt;"&amp;EDATE(B415,1))</f>
        <v>-0</v>
      </c>
      <c r="F415" s="33" t="n">
        <f aca="false">-SUMIFS($D$68:$D$106,$E$68:$E$106,$C$5,$C$68:$C$106,"&gt;="&amp;B415,$C$68:$C$106,"&lt;"&amp;EDATE(B415,1))</f>
        <v>-0</v>
      </c>
      <c r="G415" s="33" t="n">
        <f aca="false">SUMIFS(Journal!$K$5:$K$1004,Journal!$C$5:$C$1004,$C$5,Journal!$A$5:$A$1004,"&gt;="&amp;B415,Journal!$A$5:$A$1004,"&lt;"&amp;MIN(EDATE(B415,1),$C$6+1))</f>
        <v>0</v>
      </c>
      <c r="H415" s="33" t="n">
        <f aca="false">IF(B415&lt;=$C$6,0,($C$12-$C$13/12)*(1+$C$14)^(YEAR(B415)-YEAR($C$6)))</f>
        <v>737.711933250076</v>
      </c>
      <c r="I415" s="33" t="n">
        <f aca="false">SUM(D415:H415)</f>
        <v>737.711933250076</v>
      </c>
      <c r="J415" s="33" t="n">
        <f aca="false">IF(C415&lt;=$C$22,I415,0)</f>
        <v>0</v>
      </c>
      <c r="K415" s="33" t="n">
        <f aca="false">IF(C415&lt;=$D$22,I415,0)</f>
        <v>0</v>
      </c>
      <c r="L415" s="33" t="n">
        <f aca="false">IF(C415&lt;=$E$22,I415,0)</f>
        <v>0</v>
      </c>
    </row>
    <row r="416" customFormat="false" ht="15" hidden="false" customHeight="true" outlineLevel="0" collapsed="false">
      <c r="B416" s="65" t="n">
        <f aca="false">EDATE(B415,1)</f>
        <v>51653</v>
      </c>
      <c r="C416" s="64" t="n">
        <f aca="false">B416+14</f>
        <v>51667</v>
      </c>
      <c r="D416" s="33" t="n">
        <f aca="false">IF(OR($C$9="",B416&gt;=$C$9),0,$C$10*(1+$C$11)^IF(B416&lt;$C$7,0,DATEDIF($C$7,B416,"y"))*MAX(0,MIN(EDATE(B416,1),$C$9)-MAX(B416,$C$7))/(EDATE(B416,1)-B416))</f>
        <v>0</v>
      </c>
      <c r="E416" s="33" t="n">
        <f aca="false">-SUMIFS(Échéancier!$I$5:$I$300,Échéancier!$J$5:$J$300,$C$5,Échéancier!$C$5:$C$300,"&gt;="&amp;B416,Échéancier!$C$5:$C$300,"&lt;"&amp;EDATE(B416,1))</f>
        <v>-0</v>
      </c>
      <c r="F416" s="33" t="n">
        <f aca="false">-SUMIFS($D$68:$D$106,$E$68:$E$106,$C$5,$C$68:$C$106,"&gt;="&amp;B416,$C$68:$C$106,"&lt;"&amp;EDATE(B416,1))</f>
        <v>-0</v>
      </c>
      <c r="G416" s="33" t="n">
        <f aca="false">SUMIFS(Journal!$K$5:$K$1004,Journal!$C$5:$C$1004,$C$5,Journal!$A$5:$A$1004,"&gt;="&amp;B416,Journal!$A$5:$A$1004,"&lt;"&amp;MIN(EDATE(B416,1),$C$6+1))</f>
        <v>0</v>
      </c>
      <c r="H416" s="33" t="n">
        <f aca="false">IF(B416&lt;=$C$6,0,($C$12-$C$13/12)*(1+$C$14)^(YEAR(B416)-YEAR($C$6)))</f>
        <v>737.711933250076</v>
      </c>
      <c r="I416" s="33" t="n">
        <f aca="false">SUM(D416:H416)</f>
        <v>737.711933250076</v>
      </c>
      <c r="J416" s="33" t="n">
        <f aca="false">IF(C416&lt;=$C$22,I416,0)</f>
        <v>0</v>
      </c>
      <c r="K416" s="33" t="n">
        <f aca="false">IF(C416&lt;=$D$22,I416,0)</f>
        <v>0</v>
      </c>
      <c r="L416" s="33" t="n">
        <f aca="false">IF(C416&lt;=$E$22,I416,0)</f>
        <v>0</v>
      </c>
    </row>
    <row r="417" customFormat="false" ht="15" hidden="false" customHeight="true" outlineLevel="0" collapsed="false">
      <c r="B417" s="65" t="n">
        <f aca="false">EDATE(B416,1)</f>
        <v>51683</v>
      </c>
      <c r="C417" s="64" t="n">
        <f aca="false">B417+14</f>
        <v>51697</v>
      </c>
      <c r="D417" s="33" t="n">
        <f aca="false">IF(OR($C$9="",B417&gt;=$C$9),0,$C$10*(1+$C$11)^IF(B417&lt;$C$7,0,DATEDIF($C$7,B417,"y"))*MAX(0,MIN(EDATE(B417,1),$C$9)-MAX(B417,$C$7))/(EDATE(B417,1)-B417))</f>
        <v>0</v>
      </c>
      <c r="E417" s="33" t="n">
        <f aca="false">-SUMIFS(Échéancier!$I$5:$I$300,Échéancier!$J$5:$J$300,$C$5,Échéancier!$C$5:$C$300,"&gt;="&amp;B417,Échéancier!$C$5:$C$300,"&lt;"&amp;EDATE(B417,1))</f>
        <v>-0</v>
      </c>
      <c r="F417" s="33" t="n">
        <f aca="false">-SUMIFS($D$68:$D$106,$E$68:$E$106,$C$5,$C$68:$C$106,"&gt;="&amp;B417,$C$68:$C$106,"&lt;"&amp;EDATE(B417,1))</f>
        <v>-0</v>
      </c>
      <c r="G417" s="33" t="n">
        <f aca="false">SUMIFS(Journal!$K$5:$K$1004,Journal!$C$5:$C$1004,$C$5,Journal!$A$5:$A$1004,"&gt;="&amp;B417,Journal!$A$5:$A$1004,"&lt;"&amp;MIN(EDATE(B417,1),$C$6+1))</f>
        <v>0</v>
      </c>
      <c r="H417" s="33" t="n">
        <f aca="false">IF(B417&lt;=$C$6,0,($C$12-$C$13/12)*(1+$C$14)^(YEAR(B417)-YEAR($C$6)))</f>
        <v>737.711933250076</v>
      </c>
      <c r="I417" s="33" t="n">
        <f aca="false">SUM(D417:H417)</f>
        <v>737.711933250076</v>
      </c>
      <c r="J417" s="33" t="n">
        <f aca="false">IF(C417&lt;=$C$22,I417,0)</f>
        <v>0</v>
      </c>
      <c r="K417" s="33" t="n">
        <f aca="false">IF(C417&lt;=$D$22,I417,0)</f>
        <v>0</v>
      </c>
      <c r="L417" s="33" t="n">
        <f aca="false">IF(C417&lt;=$E$22,I417,0)</f>
        <v>0</v>
      </c>
    </row>
    <row r="418" customFormat="false" ht="15" hidden="false" customHeight="true" outlineLevel="0" collapsed="false">
      <c r="B418" s="65" t="n">
        <f aca="false">EDATE(B417,1)</f>
        <v>51714</v>
      </c>
      <c r="C418" s="64" t="n">
        <f aca="false">B418+14</f>
        <v>51728</v>
      </c>
      <c r="D418" s="33" t="n">
        <f aca="false">IF(OR($C$9="",B418&gt;=$C$9),0,$C$10*(1+$C$11)^IF(B418&lt;$C$7,0,DATEDIF($C$7,B418,"y"))*MAX(0,MIN(EDATE(B418,1),$C$9)-MAX(B418,$C$7))/(EDATE(B418,1)-B418))</f>
        <v>0</v>
      </c>
      <c r="E418" s="33" t="n">
        <f aca="false">-SUMIFS(Échéancier!$I$5:$I$300,Échéancier!$J$5:$J$300,$C$5,Échéancier!$C$5:$C$300,"&gt;="&amp;B418,Échéancier!$C$5:$C$300,"&lt;"&amp;EDATE(B418,1))</f>
        <v>-0</v>
      </c>
      <c r="F418" s="33" t="n">
        <f aca="false">-SUMIFS($D$68:$D$106,$E$68:$E$106,$C$5,$C$68:$C$106,"&gt;="&amp;B418,$C$68:$C$106,"&lt;"&amp;EDATE(B418,1))</f>
        <v>-0</v>
      </c>
      <c r="G418" s="33" t="n">
        <f aca="false">SUMIFS(Journal!$K$5:$K$1004,Journal!$C$5:$C$1004,$C$5,Journal!$A$5:$A$1004,"&gt;="&amp;B418,Journal!$A$5:$A$1004,"&lt;"&amp;MIN(EDATE(B418,1),$C$6+1))</f>
        <v>0</v>
      </c>
      <c r="H418" s="33" t="n">
        <f aca="false">IF(B418&lt;=$C$6,0,($C$12-$C$13/12)*(1+$C$14)^(YEAR(B418)-YEAR($C$6)))</f>
        <v>737.711933250076</v>
      </c>
      <c r="I418" s="33" t="n">
        <f aca="false">SUM(D418:H418)</f>
        <v>737.711933250076</v>
      </c>
      <c r="J418" s="33" t="n">
        <f aca="false">IF(C418&lt;=$C$22,I418,0)</f>
        <v>0</v>
      </c>
      <c r="K418" s="33" t="n">
        <f aca="false">IF(C418&lt;=$D$22,I418,0)</f>
        <v>0</v>
      </c>
      <c r="L418" s="33" t="n">
        <f aca="false">IF(C418&lt;=$E$22,I418,0)</f>
        <v>0</v>
      </c>
    </row>
    <row r="419" customFormat="false" ht="15" hidden="false" customHeight="true" outlineLevel="0" collapsed="false">
      <c r="B419" s="65" t="n">
        <f aca="false">EDATE(B418,1)</f>
        <v>51745</v>
      </c>
      <c r="C419" s="64" t="n">
        <f aca="false">B419+14</f>
        <v>51759</v>
      </c>
      <c r="D419" s="33" t="n">
        <f aca="false">IF(OR($C$9="",B419&gt;=$C$9),0,$C$10*(1+$C$11)^IF(B419&lt;$C$7,0,DATEDIF($C$7,B419,"y"))*MAX(0,MIN(EDATE(B419,1),$C$9)-MAX(B419,$C$7))/(EDATE(B419,1)-B419))</f>
        <v>0</v>
      </c>
      <c r="E419" s="33" t="n">
        <f aca="false">-SUMIFS(Échéancier!$I$5:$I$300,Échéancier!$J$5:$J$300,$C$5,Échéancier!$C$5:$C$300,"&gt;="&amp;B419,Échéancier!$C$5:$C$300,"&lt;"&amp;EDATE(B419,1))</f>
        <v>-0</v>
      </c>
      <c r="F419" s="33" t="n">
        <f aca="false">-SUMIFS($D$68:$D$106,$E$68:$E$106,$C$5,$C$68:$C$106,"&gt;="&amp;B419,$C$68:$C$106,"&lt;"&amp;EDATE(B419,1))</f>
        <v>-0</v>
      </c>
      <c r="G419" s="33" t="n">
        <f aca="false">SUMIFS(Journal!$K$5:$K$1004,Journal!$C$5:$C$1004,$C$5,Journal!$A$5:$A$1004,"&gt;="&amp;B419,Journal!$A$5:$A$1004,"&lt;"&amp;MIN(EDATE(B419,1),$C$6+1))</f>
        <v>0</v>
      </c>
      <c r="H419" s="33" t="n">
        <f aca="false">IF(B419&lt;=$C$6,0,($C$12-$C$13/12)*(1+$C$14)^(YEAR(B419)-YEAR($C$6)))</f>
        <v>737.711933250076</v>
      </c>
      <c r="I419" s="33" t="n">
        <f aca="false">SUM(D419:H419)</f>
        <v>737.711933250076</v>
      </c>
      <c r="J419" s="33" t="n">
        <f aca="false">IF(C419&lt;=$C$22,I419,0)</f>
        <v>0</v>
      </c>
      <c r="K419" s="33" t="n">
        <f aca="false">IF(C419&lt;=$D$22,I419,0)</f>
        <v>0</v>
      </c>
      <c r="L419" s="33" t="n">
        <f aca="false">IF(C419&lt;=$E$22,I419,0)</f>
        <v>0</v>
      </c>
    </row>
    <row r="420" customFormat="false" ht="15" hidden="false" customHeight="true" outlineLevel="0" collapsed="false">
      <c r="B420" s="65" t="n">
        <f aca="false">EDATE(B419,1)</f>
        <v>51775</v>
      </c>
      <c r="C420" s="64" t="n">
        <f aca="false">B420+14</f>
        <v>51789</v>
      </c>
      <c r="D420" s="33" t="n">
        <f aca="false">IF(OR($C$9="",B420&gt;=$C$9),0,$C$10*(1+$C$11)^IF(B420&lt;$C$7,0,DATEDIF($C$7,B420,"y"))*MAX(0,MIN(EDATE(B420,1),$C$9)-MAX(B420,$C$7))/(EDATE(B420,1)-B420))</f>
        <v>0</v>
      </c>
      <c r="E420" s="33" t="n">
        <f aca="false">-SUMIFS(Échéancier!$I$5:$I$300,Échéancier!$J$5:$J$300,$C$5,Échéancier!$C$5:$C$300,"&gt;="&amp;B420,Échéancier!$C$5:$C$300,"&lt;"&amp;EDATE(B420,1))</f>
        <v>-0</v>
      </c>
      <c r="F420" s="33" t="n">
        <f aca="false">-SUMIFS($D$68:$D$106,$E$68:$E$106,$C$5,$C$68:$C$106,"&gt;="&amp;B420,$C$68:$C$106,"&lt;"&amp;EDATE(B420,1))</f>
        <v>-0</v>
      </c>
      <c r="G420" s="33" t="n">
        <f aca="false">SUMIFS(Journal!$K$5:$K$1004,Journal!$C$5:$C$1004,$C$5,Journal!$A$5:$A$1004,"&gt;="&amp;B420,Journal!$A$5:$A$1004,"&lt;"&amp;MIN(EDATE(B420,1),$C$6+1))</f>
        <v>0</v>
      </c>
      <c r="H420" s="33" t="n">
        <f aca="false">IF(B420&lt;=$C$6,0,($C$12-$C$13/12)*(1+$C$14)^(YEAR(B420)-YEAR($C$6)))</f>
        <v>737.711933250076</v>
      </c>
      <c r="I420" s="33" t="n">
        <f aca="false">SUM(D420:H420)</f>
        <v>737.711933250076</v>
      </c>
      <c r="J420" s="33" t="n">
        <f aca="false">IF(C420&lt;=$C$22,I420,0)</f>
        <v>0</v>
      </c>
      <c r="K420" s="33" t="n">
        <f aca="false">IF(C420&lt;=$D$22,I420,0)</f>
        <v>0</v>
      </c>
      <c r="L420" s="33" t="n">
        <f aca="false">IF(C420&lt;=$E$22,I420,0)</f>
        <v>0</v>
      </c>
    </row>
    <row r="421" customFormat="false" ht="15" hidden="false" customHeight="true" outlineLevel="0" collapsed="false">
      <c r="B421" s="65" t="n">
        <f aca="false">EDATE(B420,1)</f>
        <v>51806</v>
      </c>
      <c r="C421" s="64" t="n">
        <f aca="false">B421+14</f>
        <v>51820</v>
      </c>
      <c r="D421" s="33" t="n">
        <f aca="false">IF(OR($C$9="",B421&gt;=$C$9),0,$C$10*(1+$C$11)^IF(B421&lt;$C$7,0,DATEDIF($C$7,B421,"y"))*MAX(0,MIN(EDATE(B421,1),$C$9)-MAX(B421,$C$7))/(EDATE(B421,1)-B421))</f>
        <v>0</v>
      </c>
      <c r="E421" s="33" t="n">
        <f aca="false">-SUMIFS(Échéancier!$I$5:$I$300,Échéancier!$J$5:$J$300,$C$5,Échéancier!$C$5:$C$300,"&gt;="&amp;B421,Échéancier!$C$5:$C$300,"&lt;"&amp;EDATE(B421,1))</f>
        <v>-0</v>
      </c>
      <c r="F421" s="33" t="n">
        <f aca="false">-SUMIFS($D$68:$D$106,$E$68:$E$106,$C$5,$C$68:$C$106,"&gt;="&amp;B421,$C$68:$C$106,"&lt;"&amp;EDATE(B421,1))</f>
        <v>-0</v>
      </c>
      <c r="G421" s="33" t="n">
        <f aca="false">SUMIFS(Journal!$K$5:$K$1004,Journal!$C$5:$C$1004,$C$5,Journal!$A$5:$A$1004,"&gt;="&amp;B421,Journal!$A$5:$A$1004,"&lt;"&amp;MIN(EDATE(B421,1),$C$6+1))</f>
        <v>0</v>
      </c>
      <c r="H421" s="33" t="n">
        <f aca="false">IF(B421&lt;=$C$6,0,($C$12-$C$13/12)*(1+$C$14)^(YEAR(B421)-YEAR($C$6)))</f>
        <v>737.711933250076</v>
      </c>
      <c r="I421" s="33" t="n">
        <f aca="false">SUM(D421:H421)</f>
        <v>737.711933250076</v>
      </c>
      <c r="J421" s="33" t="n">
        <f aca="false">IF(C421&lt;=$C$22,I421,0)</f>
        <v>0</v>
      </c>
      <c r="K421" s="33" t="n">
        <f aca="false">IF(C421&lt;=$D$22,I421,0)</f>
        <v>0</v>
      </c>
      <c r="L421" s="33" t="n">
        <f aca="false">IF(C421&lt;=$E$22,I421,0)</f>
        <v>0</v>
      </c>
    </row>
    <row r="422" customFormat="false" ht="15" hidden="false" customHeight="true" outlineLevel="0" collapsed="false">
      <c r="B422" s="65" t="n">
        <f aca="false">EDATE(B421,1)</f>
        <v>51836</v>
      </c>
      <c r="C422" s="64" t="n">
        <f aca="false">B422+14</f>
        <v>51850</v>
      </c>
      <c r="D422" s="33" t="n">
        <f aca="false">IF(OR($C$9="",B422&gt;=$C$9),0,$C$10*(1+$C$11)^IF(B422&lt;$C$7,0,DATEDIF($C$7,B422,"y"))*MAX(0,MIN(EDATE(B422,1),$C$9)-MAX(B422,$C$7))/(EDATE(B422,1)-B422))</f>
        <v>0</v>
      </c>
      <c r="E422" s="33" t="n">
        <f aca="false">-SUMIFS(Échéancier!$I$5:$I$300,Échéancier!$J$5:$J$300,$C$5,Échéancier!$C$5:$C$300,"&gt;="&amp;B422,Échéancier!$C$5:$C$300,"&lt;"&amp;EDATE(B422,1))</f>
        <v>-0</v>
      </c>
      <c r="F422" s="33" t="n">
        <f aca="false">-SUMIFS($D$68:$D$106,$E$68:$E$106,$C$5,$C$68:$C$106,"&gt;="&amp;B422,$C$68:$C$106,"&lt;"&amp;EDATE(B422,1))</f>
        <v>-0</v>
      </c>
      <c r="G422" s="33" t="n">
        <f aca="false">SUMIFS(Journal!$K$5:$K$1004,Journal!$C$5:$C$1004,$C$5,Journal!$A$5:$A$1004,"&gt;="&amp;B422,Journal!$A$5:$A$1004,"&lt;"&amp;MIN(EDATE(B422,1),$C$6+1))</f>
        <v>0</v>
      </c>
      <c r="H422" s="33" t="n">
        <f aca="false">IF(B422&lt;=$C$6,0,($C$12-$C$13/12)*(1+$C$14)^(YEAR(B422)-YEAR($C$6)))</f>
        <v>737.711933250076</v>
      </c>
      <c r="I422" s="33" t="n">
        <f aca="false">SUM(D422:H422)</f>
        <v>737.711933250076</v>
      </c>
      <c r="J422" s="33" t="n">
        <f aca="false">IF(C422&lt;=$C$22,I422,0)</f>
        <v>0</v>
      </c>
      <c r="K422" s="33" t="n">
        <f aca="false">IF(C422&lt;=$D$22,I422,0)</f>
        <v>0</v>
      </c>
      <c r="L422" s="33" t="n">
        <f aca="false">IF(C422&lt;=$E$22,I422,0)</f>
        <v>0</v>
      </c>
    </row>
    <row r="423" customFormat="false" ht="15" hidden="false" customHeight="true" outlineLevel="0" collapsed="false">
      <c r="B423" s="65" t="n">
        <f aca="false">EDATE(B422,1)</f>
        <v>51867</v>
      </c>
      <c r="C423" s="64" t="n">
        <f aca="false">B423+14</f>
        <v>51881</v>
      </c>
      <c r="D423" s="33" t="n">
        <f aca="false">IF(OR($C$9="",B423&gt;=$C$9),0,$C$10*(1+$C$11)^IF(B423&lt;$C$7,0,DATEDIF($C$7,B423,"y"))*MAX(0,MIN(EDATE(B423,1),$C$9)-MAX(B423,$C$7))/(EDATE(B423,1)-B423))</f>
        <v>0</v>
      </c>
      <c r="E423" s="33" t="n">
        <f aca="false">-SUMIFS(Échéancier!$I$5:$I$300,Échéancier!$J$5:$J$300,$C$5,Échéancier!$C$5:$C$300,"&gt;="&amp;B423,Échéancier!$C$5:$C$300,"&lt;"&amp;EDATE(B423,1))</f>
        <v>-0</v>
      </c>
      <c r="F423" s="33" t="n">
        <f aca="false">-SUMIFS($D$68:$D$106,$E$68:$E$106,$C$5,$C$68:$C$106,"&gt;="&amp;B423,$C$68:$C$106,"&lt;"&amp;EDATE(B423,1))</f>
        <v>-0</v>
      </c>
      <c r="G423" s="33" t="n">
        <f aca="false">SUMIFS(Journal!$K$5:$K$1004,Journal!$C$5:$C$1004,$C$5,Journal!$A$5:$A$1004,"&gt;="&amp;B423,Journal!$A$5:$A$1004,"&lt;"&amp;MIN(EDATE(B423,1),$C$6+1))</f>
        <v>0</v>
      </c>
      <c r="H423" s="33" t="n">
        <f aca="false">IF(B423&lt;=$C$6,0,($C$12-$C$13/12)*(1+$C$14)^(YEAR(B423)-YEAR($C$6)))</f>
        <v>748.777612248827</v>
      </c>
      <c r="I423" s="33" t="n">
        <f aca="false">SUM(D423:H423)</f>
        <v>748.777612248827</v>
      </c>
      <c r="J423" s="33" t="n">
        <f aca="false">IF(C423&lt;=$C$22,I423,0)</f>
        <v>0</v>
      </c>
      <c r="K423" s="33" t="n">
        <f aca="false">IF(C423&lt;=$D$22,I423,0)</f>
        <v>0</v>
      </c>
      <c r="L423" s="33" t="n">
        <f aca="false">IF(C423&lt;=$E$22,I423,0)</f>
        <v>0</v>
      </c>
    </row>
    <row r="424" customFormat="false" ht="15" hidden="false" customHeight="true" outlineLevel="0" collapsed="false">
      <c r="B424" s="65" t="n">
        <f aca="false">EDATE(B423,1)</f>
        <v>51898</v>
      </c>
      <c r="C424" s="64" t="n">
        <f aca="false">B424+14</f>
        <v>51912</v>
      </c>
      <c r="D424" s="33" t="n">
        <f aca="false">IF(OR($C$9="",B424&gt;=$C$9),0,$C$10*(1+$C$11)^IF(B424&lt;$C$7,0,DATEDIF($C$7,B424,"y"))*MAX(0,MIN(EDATE(B424,1),$C$9)-MAX(B424,$C$7))/(EDATE(B424,1)-B424))</f>
        <v>0</v>
      </c>
      <c r="E424" s="33" t="n">
        <f aca="false">-SUMIFS(Échéancier!$I$5:$I$300,Échéancier!$J$5:$J$300,$C$5,Échéancier!$C$5:$C$300,"&gt;="&amp;B424,Échéancier!$C$5:$C$300,"&lt;"&amp;EDATE(B424,1))</f>
        <v>-0</v>
      </c>
      <c r="F424" s="33" t="n">
        <f aca="false">-SUMIFS($D$68:$D$106,$E$68:$E$106,$C$5,$C$68:$C$106,"&gt;="&amp;B424,$C$68:$C$106,"&lt;"&amp;EDATE(B424,1))</f>
        <v>-0</v>
      </c>
      <c r="G424" s="33" t="n">
        <f aca="false">SUMIFS(Journal!$K$5:$K$1004,Journal!$C$5:$C$1004,$C$5,Journal!$A$5:$A$1004,"&gt;="&amp;B424,Journal!$A$5:$A$1004,"&lt;"&amp;MIN(EDATE(B424,1),$C$6+1))</f>
        <v>0</v>
      </c>
      <c r="H424" s="33" t="n">
        <f aca="false">IF(B424&lt;=$C$6,0,($C$12-$C$13/12)*(1+$C$14)^(YEAR(B424)-YEAR($C$6)))</f>
        <v>748.777612248827</v>
      </c>
      <c r="I424" s="33" t="n">
        <f aca="false">SUM(D424:H424)</f>
        <v>748.777612248827</v>
      </c>
      <c r="J424" s="33" t="n">
        <f aca="false">IF(C424&lt;=$C$22,I424,0)</f>
        <v>0</v>
      </c>
      <c r="K424" s="33" t="n">
        <f aca="false">IF(C424&lt;=$D$22,I424,0)</f>
        <v>0</v>
      </c>
      <c r="L424" s="33" t="n">
        <f aca="false">IF(C424&lt;=$E$22,I424,0)</f>
        <v>0</v>
      </c>
    </row>
    <row r="425" customFormat="false" ht="15" hidden="false" customHeight="true" outlineLevel="0" collapsed="false">
      <c r="B425" s="65" t="n">
        <f aca="false">EDATE(B424,1)</f>
        <v>51926</v>
      </c>
      <c r="C425" s="64" t="n">
        <f aca="false">B425+14</f>
        <v>51940</v>
      </c>
      <c r="D425" s="33" t="n">
        <f aca="false">IF(OR($C$9="",B425&gt;=$C$9),0,$C$10*(1+$C$11)^IF(B425&lt;$C$7,0,DATEDIF($C$7,B425,"y"))*MAX(0,MIN(EDATE(B425,1),$C$9)-MAX(B425,$C$7))/(EDATE(B425,1)-B425))</f>
        <v>0</v>
      </c>
      <c r="E425" s="33" t="n">
        <f aca="false">-SUMIFS(Échéancier!$I$5:$I$300,Échéancier!$J$5:$J$300,$C$5,Échéancier!$C$5:$C$300,"&gt;="&amp;B425,Échéancier!$C$5:$C$300,"&lt;"&amp;EDATE(B425,1))</f>
        <v>-0</v>
      </c>
      <c r="F425" s="33" t="n">
        <f aca="false">-SUMIFS($D$68:$D$106,$E$68:$E$106,$C$5,$C$68:$C$106,"&gt;="&amp;B425,$C$68:$C$106,"&lt;"&amp;EDATE(B425,1))</f>
        <v>-0</v>
      </c>
      <c r="G425" s="33" t="n">
        <f aca="false">SUMIFS(Journal!$K$5:$K$1004,Journal!$C$5:$C$1004,$C$5,Journal!$A$5:$A$1004,"&gt;="&amp;B425,Journal!$A$5:$A$1004,"&lt;"&amp;MIN(EDATE(B425,1),$C$6+1))</f>
        <v>0</v>
      </c>
      <c r="H425" s="33" t="n">
        <f aca="false">IF(B425&lt;=$C$6,0,($C$12-$C$13/12)*(1+$C$14)^(YEAR(B425)-YEAR($C$6)))</f>
        <v>748.777612248827</v>
      </c>
      <c r="I425" s="33" t="n">
        <f aca="false">SUM(D425:H425)</f>
        <v>748.777612248827</v>
      </c>
      <c r="J425" s="33" t="n">
        <f aca="false">IF(C425&lt;=$C$22,I425,0)</f>
        <v>0</v>
      </c>
      <c r="K425" s="33" t="n">
        <f aca="false">IF(C425&lt;=$D$22,I425,0)</f>
        <v>0</v>
      </c>
      <c r="L425" s="33" t="n">
        <f aca="false">IF(C425&lt;=$E$22,I425,0)</f>
        <v>0</v>
      </c>
    </row>
    <row r="426" customFormat="false" ht="15" hidden="false" customHeight="true" outlineLevel="0" collapsed="false">
      <c r="B426" s="65" t="n">
        <f aca="false">EDATE(B425,1)</f>
        <v>51957</v>
      </c>
      <c r="C426" s="64" t="n">
        <f aca="false">B426+14</f>
        <v>51971</v>
      </c>
      <c r="D426" s="33" t="n">
        <f aca="false">IF(OR($C$9="",B426&gt;=$C$9),0,$C$10*(1+$C$11)^IF(B426&lt;$C$7,0,DATEDIF($C$7,B426,"y"))*MAX(0,MIN(EDATE(B426,1),$C$9)-MAX(B426,$C$7))/(EDATE(B426,1)-B426))</f>
        <v>0</v>
      </c>
      <c r="E426" s="33" t="n">
        <f aca="false">-SUMIFS(Échéancier!$I$5:$I$300,Échéancier!$J$5:$J$300,$C$5,Échéancier!$C$5:$C$300,"&gt;="&amp;B426,Échéancier!$C$5:$C$300,"&lt;"&amp;EDATE(B426,1))</f>
        <v>-0</v>
      </c>
      <c r="F426" s="33" t="n">
        <f aca="false">-SUMIFS($D$68:$D$106,$E$68:$E$106,$C$5,$C$68:$C$106,"&gt;="&amp;B426,$C$68:$C$106,"&lt;"&amp;EDATE(B426,1))</f>
        <v>-0</v>
      </c>
      <c r="G426" s="33" t="n">
        <f aca="false">SUMIFS(Journal!$K$5:$K$1004,Journal!$C$5:$C$1004,$C$5,Journal!$A$5:$A$1004,"&gt;="&amp;B426,Journal!$A$5:$A$1004,"&lt;"&amp;MIN(EDATE(B426,1),$C$6+1))</f>
        <v>0</v>
      </c>
      <c r="H426" s="33" t="n">
        <f aca="false">IF(B426&lt;=$C$6,0,($C$12-$C$13/12)*(1+$C$14)^(YEAR(B426)-YEAR($C$6)))</f>
        <v>748.777612248827</v>
      </c>
      <c r="I426" s="33" t="n">
        <f aca="false">SUM(D426:H426)</f>
        <v>748.777612248827</v>
      </c>
      <c r="J426" s="33" t="n">
        <f aca="false">IF(C426&lt;=$C$22,I426,0)</f>
        <v>0</v>
      </c>
      <c r="K426" s="33" t="n">
        <f aca="false">IF(C426&lt;=$D$22,I426,0)</f>
        <v>0</v>
      </c>
      <c r="L426" s="33" t="n">
        <f aca="false">IF(C426&lt;=$E$22,I426,0)</f>
        <v>0</v>
      </c>
    </row>
    <row r="427" customFormat="false" ht="15" hidden="false" customHeight="true" outlineLevel="0" collapsed="false">
      <c r="B427" s="65" t="n">
        <f aca="false">EDATE(B426,1)</f>
        <v>51987</v>
      </c>
      <c r="C427" s="64" t="n">
        <f aca="false">B427+14</f>
        <v>52001</v>
      </c>
      <c r="D427" s="33" t="n">
        <f aca="false">IF(OR($C$9="",B427&gt;=$C$9),0,$C$10*(1+$C$11)^IF(B427&lt;$C$7,0,DATEDIF($C$7,B427,"y"))*MAX(0,MIN(EDATE(B427,1),$C$9)-MAX(B427,$C$7))/(EDATE(B427,1)-B427))</f>
        <v>0</v>
      </c>
      <c r="E427" s="33" t="n">
        <f aca="false">-SUMIFS(Échéancier!$I$5:$I$300,Échéancier!$J$5:$J$300,$C$5,Échéancier!$C$5:$C$300,"&gt;="&amp;B427,Échéancier!$C$5:$C$300,"&lt;"&amp;EDATE(B427,1))</f>
        <v>-0</v>
      </c>
      <c r="F427" s="33" t="n">
        <f aca="false">-SUMIFS($D$68:$D$106,$E$68:$E$106,$C$5,$C$68:$C$106,"&gt;="&amp;B427,$C$68:$C$106,"&lt;"&amp;EDATE(B427,1))</f>
        <v>-0</v>
      </c>
      <c r="G427" s="33" t="n">
        <f aca="false">SUMIFS(Journal!$K$5:$K$1004,Journal!$C$5:$C$1004,$C$5,Journal!$A$5:$A$1004,"&gt;="&amp;B427,Journal!$A$5:$A$1004,"&lt;"&amp;MIN(EDATE(B427,1),$C$6+1))</f>
        <v>0</v>
      </c>
      <c r="H427" s="33" t="n">
        <f aca="false">IF(B427&lt;=$C$6,0,($C$12-$C$13/12)*(1+$C$14)^(YEAR(B427)-YEAR($C$6)))</f>
        <v>748.777612248827</v>
      </c>
      <c r="I427" s="33" t="n">
        <f aca="false">SUM(D427:H427)</f>
        <v>748.777612248827</v>
      </c>
      <c r="J427" s="33" t="n">
        <f aca="false">IF(C427&lt;=$C$22,I427,0)</f>
        <v>0</v>
      </c>
      <c r="K427" s="33" t="n">
        <f aca="false">IF(C427&lt;=$D$22,I427,0)</f>
        <v>0</v>
      </c>
      <c r="L427" s="33" t="n">
        <f aca="false">IF(C427&lt;=$E$22,I427,0)</f>
        <v>0</v>
      </c>
    </row>
    <row r="428" customFormat="false" ht="15" hidden="false" customHeight="true" outlineLevel="0" collapsed="false">
      <c r="B428" s="65" t="n">
        <f aca="false">EDATE(B427,1)</f>
        <v>52018</v>
      </c>
      <c r="C428" s="64" t="n">
        <f aca="false">B428+14</f>
        <v>52032</v>
      </c>
      <c r="D428" s="33" t="n">
        <f aca="false">IF(OR($C$9="",B428&gt;=$C$9),0,$C$10*(1+$C$11)^IF(B428&lt;$C$7,0,DATEDIF($C$7,B428,"y"))*MAX(0,MIN(EDATE(B428,1),$C$9)-MAX(B428,$C$7))/(EDATE(B428,1)-B428))</f>
        <v>0</v>
      </c>
      <c r="E428" s="33" t="n">
        <f aca="false">-SUMIFS(Échéancier!$I$5:$I$300,Échéancier!$J$5:$J$300,$C$5,Échéancier!$C$5:$C$300,"&gt;="&amp;B428,Échéancier!$C$5:$C$300,"&lt;"&amp;EDATE(B428,1))</f>
        <v>-0</v>
      </c>
      <c r="F428" s="33" t="n">
        <f aca="false">-SUMIFS($D$68:$D$106,$E$68:$E$106,$C$5,$C$68:$C$106,"&gt;="&amp;B428,$C$68:$C$106,"&lt;"&amp;EDATE(B428,1))</f>
        <v>-0</v>
      </c>
      <c r="G428" s="33" t="n">
        <f aca="false">SUMIFS(Journal!$K$5:$K$1004,Journal!$C$5:$C$1004,$C$5,Journal!$A$5:$A$1004,"&gt;="&amp;B428,Journal!$A$5:$A$1004,"&lt;"&amp;MIN(EDATE(B428,1),$C$6+1))</f>
        <v>0</v>
      </c>
      <c r="H428" s="33" t="n">
        <f aca="false">IF(B428&lt;=$C$6,0,($C$12-$C$13/12)*(1+$C$14)^(YEAR(B428)-YEAR($C$6)))</f>
        <v>748.777612248827</v>
      </c>
      <c r="I428" s="33" t="n">
        <f aca="false">SUM(D428:H428)</f>
        <v>748.777612248827</v>
      </c>
      <c r="J428" s="33" t="n">
        <f aca="false">IF(C428&lt;=$C$22,I428,0)</f>
        <v>0</v>
      </c>
      <c r="K428" s="33" t="n">
        <f aca="false">IF(C428&lt;=$D$22,I428,0)</f>
        <v>0</v>
      </c>
      <c r="L428" s="33" t="n">
        <f aca="false">IF(C428&lt;=$E$22,I428,0)</f>
        <v>0</v>
      </c>
    </row>
    <row r="429" customFormat="false" ht="15" hidden="false" customHeight="true" outlineLevel="0" collapsed="false">
      <c r="B429" s="65" t="n">
        <f aca="false">EDATE(B428,1)</f>
        <v>52048</v>
      </c>
      <c r="C429" s="64" t="n">
        <f aca="false">B429+14</f>
        <v>52062</v>
      </c>
      <c r="D429" s="33" t="n">
        <f aca="false">IF(OR($C$9="",B429&gt;=$C$9),0,$C$10*(1+$C$11)^IF(B429&lt;$C$7,0,DATEDIF($C$7,B429,"y"))*MAX(0,MIN(EDATE(B429,1),$C$9)-MAX(B429,$C$7))/(EDATE(B429,1)-B429))</f>
        <v>0</v>
      </c>
      <c r="E429" s="33" t="n">
        <f aca="false">-SUMIFS(Échéancier!$I$5:$I$300,Échéancier!$J$5:$J$300,$C$5,Échéancier!$C$5:$C$300,"&gt;="&amp;B429,Échéancier!$C$5:$C$300,"&lt;"&amp;EDATE(B429,1))</f>
        <v>-0</v>
      </c>
      <c r="F429" s="33" t="n">
        <f aca="false">-SUMIFS($D$68:$D$106,$E$68:$E$106,$C$5,$C$68:$C$106,"&gt;="&amp;B429,$C$68:$C$106,"&lt;"&amp;EDATE(B429,1))</f>
        <v>-0</v>
      </c>
      <c r="G429" s="33" t="n">
        <f aca="false">SUMIFS(Journal!$K$5:$K$1004,Journal!$C$5:$C$1004,$C$5,Journal!$A$5:$A$1004,"&gt;="&amp;B429,Journal!$A$5:$A$1004,"&lt;"&amp;MIN(EDATE(B429,1),$C$6+1))</f>
        <v>0</v>
      </c>
      <c r="H429" s="33" t="n">
        <f aca="false">IF(B429&lt;=$C$6,0,($C$12-$C$13/12)*(1+$C$14)^(YEAR(B429)-YEAR($C$6)))</f>
        <v>748.777612248827</v>
      </c>
      <c r="I429" s="33" t="n">
        <f aca="false">SUM(D429:H429)</f>
        <v>748.777612248827</v>
      </c>
      <c r="J429" s="33" t="n">
        <f aca="false">IF(C429&lt;=$C$22,I429,0)</f>
        <v>0</v>
      </c>
      <c r="K429" s="33" t="n">
        <f aca="false">IF(C429&lt;=$D$22,I429,0)</f>
        <v>0</v>
      </c>
      <c r="L429" s="33" t="n">
        <f aca="false">IF(C429&lt;=$E$22,I429,0)</f>
        <v>0</v>
      </c>
    </row>
    <row r="430" customFormat="false" ht="15" hidden="false" customHeight="true" outlineLevel="0" collapsed="false">
      <c r="B430" s="65" t="n">
        <f aca="false">EDATE(B429,1)</f>
        <v>52079</v>
      </c>
      <c r="C430" s="64" t="n">
        <f aca="false">B430+14</f>
        <v>52093</v>
      </c>
      <c r="D430" s="33" t="n">
        <f aca="false">IF(OR($C$9="",B430&gt;=$C$9),0,$C$10*(1+$C$11)^IF(B430&lt;$C$7,0,DATEDIF($C$7,B430,"y"))*MAX(0,MIN(EDATE(B430,1),$C$9)-MAX(B430,$C$7))/(EDATE(B430,1)-B430))</f>
        <v>0</v>
      </c>
      <c r="E430" s="33" t="n">
        <f aca="false">-SUMIFS(Échéancier!$I$5:$I$300,Échéancier!$J$5:$J$300,$C$5,Échéancier!$C$5:$C$300,"&gt;="&amp;B430,Échéancier!$C$5:$C$300,"&lt;"&amp;EDATE(B430,1))</f>
        <v>-0</v>
      </c>
      <c r="F430" s="33" t="n">
        <f aca="false">-SUMIFS($D$68:$D$106,$E$68:$E$106,$C$5,$C$68:$C$106,"&gt;="&amp;B430,$C$68:$C$106,"&lt;"&amp;EDATE(B430,1))</f>
        <v>-0</v>
      </c>
      <c r="G430" s="33" t="n">
        <f aca="false">SUMIFS(Journal!$K$5:$K$1004,Journal!$C$5:$C$1004,$C$5,Journal!$A$5:$A$1004,"&gt;="&amp;B430,Journal!$A$5:$A$1004,"&lt;"&amp;MIN(EDATE(B430,1),$C$6+1))</f>
        <v>0</v>
      </c>
      <c r="H430" s="33" t="n">
        <f aca="false">IF(B430&lt;=$C$6,0,($C$12-$C$13/12)*(1+$C$14)^(YEAR(B430)-YEAR($C$6)))</f>
        <v>748.777612248827</v>
      </c>
      <c r="I430" s="33" t="n">
        <f aca="false">SUM(D430:H430)</f>
        <v>748.777612248827</v>
      </c>
      <c r="J430" s="33" t="n">
        <f aca="false">IF(C430&lt;=$C$22,I430,0)</f>
        <v>0</v>
      </c>
      <c r="K430" s="33" t="n">
        <f aca="false">IF(C430&lt;=$D$22,I430,0)</f>
        <v>0</v>
      </c>
      <c r="L430" s="33" t="n">
        <f aca="false">IF(C430&lt;=$E$22,I430,0)</f>
        <v>0</v>
      </c>
    </row>
    <row r="431" customFormat="false" ht="15" hidden="false" customHeight="true" outlineLevel="0" collapsed="false">
      <c r="B431" s="65" t="n">
        <f aca="false">EDATE(B430,1)</f>
        <v>52110</v>
      </c>
      <c r="C431" s="64" t="n">
        <f aca="false">B431+14</f>
        <v>52124</v>
      </c>
      <c r="D431" s="33" t="n">
        <f aca="false">IF(OR($C$9="",B431&gt;=$C$9),0,$C$10*(1+$C$11)^IF(B431&lt;$C$7,0,DATEDIF($C$7,B431,"y"))*MAX(0,MIN(EDATE(B431,1),$C$9)-MAX(B431,$C$7))/(EDATE(B431,1)-B431))</f>
        <v>0</v>
      </c>
      <c r="E431" s="33" t="n">
        <f aca="false">-SUMIFS(Échéancier!$I$5:$I$300,Échéancier!$J$5:$J$300,$C$5,Échéancier!$C$5:$C$300,"&gt;="&amp;B431,Échéancier!$C$5:$C$300,"&lt;"&amp;EDATE(B431,1))</f>
        <v>-0</v>
      </c>
      <c r="F431" s="33" t="n">
        <f aca="false">-SUMIFS($D$68:$D$106,$E$68:$E$106,$C$5,$C$68:$C$106,"&gt;="&amp;B431,$C$68:$C$106,"&lt;"&amp;EDATE(B431,1))</f>
        <v>-0</v>
      </c>
      <c r="G431" s="33" t="n">
        <f aca="false">SUMIFS(Journal!$K$5:$K$1004,Journal!$C$5:$C$1004,$C$5,Journal!$A$5:$A$1004,"&gt;="&amp;B431,Journal!$A$5:$A$1004,"&lt;"&amp;MIN(EDATE(B431,1),$C$6+1))</f>
        <v>0</v>
      </c>
      <c r="H431" s="33" t="n">
        <f aca="false">IF(B431&lt;=$C$6,0,($C$12-$C$13/12)*(1+$C$14)^(YEAR(B431)-YEAR($C$6)))</f>
        <v>748.777612248827</v>
      </c>
      <c r="I431" s="33" t="n">
        <f aca="false">SUM(D431:H431)</f>
        <v>748.777612248827</v>
      </c>
      <c r="J431" s="33" t="n">
        <f aca="false">IF(C431&lt;=$C$22,I431,0)</f>
        <v>0</v>
      </c>
      <c r="K431" s="33" t="n">
        <f aca="false">IF(C431&lt;=$D$22,I431,0)</f>
        <v>0</v>
      </c>
      <c r="L431" s="33" t="n">
        <f aca="false">IF(C431&lt;=$E$22,I431,0)</f>
        <v>0</v>
      </c>
    </row>
    <row r="432" customFormat="false" ht="15" hidden="false" customHeight="true" outlineLevel="0" collapsed="false">
      <c r="B432" s="65" t="n">
        <f aca="false">EDATE(B431,1)</f>
        <v>52140</v>
      </c>
      <c r="C432" s="64" t="n">
        <f aca="false">B432+14</f>
        <v>52154</v>
      </c>
      <c r="D432" s="33" t="n">
        <f aca="false">IF(OR($C$9="",B432&gt;=$C$9),0,$C$10*(1+$C$11)^IF(B432&lt;$C$7,0,DATEDIF($C$7,B432,"y"))*MAX(0,MIN(EDATE(B432,1),$C$9)-MAX(B432,$C$7))/(EDATE(B432,1)-B432))</f>
        <v>0</v>
      </c>
      <c r="E432" s="33" t="n">
        <f aca="false">-SUMIFS(Échéancier!$I$5:$I$300,Échéancier!$J$5:$J$300,$C$5,Échéancier!$C$5:$C$300,"&gt;="&amp;B432,Échéancier!$C$5:$C$300,"&lt;"&amp;EDATE(B432,1))</f>
        <v>-0</v>
      </c>
      <c r="F432" s="33" t="n">
        <f aca="false">-SUMIFS($D$68:$D$106,$E$68:$E$106,$C$5,$C$68:$C$106,"&gt;="&amp;B432,$C$68:$C$106,"&lt;"&amp;EDATE(B432,1))</f>
        <v>-0</v>
      </c>
      <c r="G432" s="33" t="n">
        <f aca="false">SUMIFS(Journal!$K$5:$K$1004,Journal!$C$5:$C$1004,$C$5,Journal!$A$5:$A$1004,"&gt;="&amp;B432,Journal!$A$5:$A$1004,"&lt;"&amp;MIN(EDATE(B432,1),$C$6+1))</f>
        <v>0</v>
      </c>
      <c r="H432" s="33" t="n">
        <f aca="false">IF(B432&lt;=$C$6,0,($C$12-$C$13/12)*(1+$C$14)^(YEAR(B432)-YEAR($C$6)))</f>
        <v>748.777612248827</v>
      </c>
      <c r="I432" s="33" t="n">
        <f aca="false">SUM(D432:H432)</f>
        <v>748.777612248827</v>
      </c>
      <c r="J432" s="33" t="n">
        <f aca="false">IF(C432&lt;=$C$22,I432,0)</f>
        <v>0</v>
      </c>
      <c r="K432" s="33" t="n">
        <f aca="false">IF(C432&lt;=$D$22,I432,0)</f>
        <v>0</v>
      </c>
      <c r="L432" s="33" t="n">
        <f aca="false">IF(C432&lt;=$E$22,I432,0)</f>
        <v>0</v>
      </c>
    </row>
    <row r="433" customFormat="false" ht="15" hidden="false" customHeight="true" outlineLevel="0" collapsed="false">
      <c r="B433" s="66" t="s">
        <v>607</v>
      </c>
      <c r="C433" s="64" t="n">
        <f aca="false">$C$22</f>
        <v>46568</v>
      </c>
      <c r="D433" s="33"/>
      <c r="E433" s="33"/>
      <c r="F433" s="33"/>
      <c r="G433" s="33"/>
      <c r="H433" s="33"/>
      <c r="I433" s="33"/>
      <c r="J433" s="33" t="n">
        <f aca="false">$C$32-$C$16</f>
        <v>181785.65</v>
      </c>
      <c r="K433" s="33" t="n">
        <v>0</v>
      </c>
      <c r="L433" s="33" t="n">
        <v>0</v>
      </c>
    </row>
    <row r="434" customFormat="false" ht="15" hidden="false" customHeight="true" outlineLevel="0" collapsed="false">
      <c r="B434" s="66" t="s">
        <v>608</v>
      </c>
      <c r="C434" s="64" t="n">
        <f aca="false">$D$22</f>
        <v>46934</v>
      </c>
      <c r="D434" s="33"/>
      <c r="E434" s="33"/>
      <c r="F434" s="33"/>
      <c r="G434" s="33"/>
      <c r="H434" s="33"/>
      <c r="I434" s="33"/>
      <c r="J434" s="33" t="n">
        <v>0</v>
      </c>
      <c r="K434" s="33" t="n">
        <f aca="false">$D$32-$C$16</f>
        <v>189917.241614557</v>
      </c>
      <c r="L434" s="33" t="n">
        <v>0</v>
      </c>
    </row>
    <row r="435" customFormat="false" ht="15" hidden="false" customHeight="true" outlineLevel="0" collapsed="false">
      <c r="B435" s="66" t="s">
        <v>609</v>
      </c>
      <c r="C435" s="64" t="n">
        <f aca="false">$E$22</f>
        <v>47299</v>
      </c>
      <c r="D435" s="33"/>
      <c r="E435" s="33"/>
      <c r="F435" s="33"/>
      <c r="G435" s="33"/>
      <c r="H435" s="33"/>
      <c r="I435" s="33"/>
      <c r="J435" s="33" t="n">
        <v>0</v>
      </c>
      <c r="K435" s="33" t="n">
        <v>0</v>
      </c>
      <c r="L435" s="33" t="n">
        <f aca="false">$E$32-$C$16</f>
        <v>197393.848041632</v>
      </c>
    </row>
  </sheetData>
  <mergeCells count="3">
    <mergeCell ref="B61:F62"/>
    <mergeCell ref="B66:F66"/>
    <mergeCell ref="B130:L130"/>
  </mergeCells>
  <dataValidations count="1">
    <dataValidation allowBlank="true" errorStyle="stop" operator="between" showDropDown="false" showErrorMessage="false" showInputMessage="false" sqref="E68:E106" type="list">
      <formula1>lst_biens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1"/>
    <col collapsed="false" customWidth="true" hidden="false" outlineLevel="0" max="3" min="3" style="1" width="38"/>
    <col collapsed="false" customWidth="true" hidden="false" outlineLevel="0" max="5" min="4" style="1" width="14"/>
    <col collapsed="false" customWidth="true" hidden="false" outlineLevel="0" max="6" min="6" style="1" width="80"/>
  </cols>
  <sheetData>
    <row r="1" customFormat="false" ht="19.5" hidden="false" customHeight="true" outlineLevel="0" collapsed="false">
      <c r="A1" s="2" t="s">
        <v>610</v>
      </c>
    </row>
    <row r="2" customFormat="false" ht="15" hidden="false" customHeight="true" outlineLevel="0" collapsed="false">
      <c r="A2" s="3" t="s">
        <v>611</v>
      </c>
    </row>
    <row r="4" customFormat="false" ht="30" hidden="false" customHeight="true" outlineLevel="0" collapsed="false">
      <c r="A4" s="16" t="s">
        <v>612</v>
      </c>
      <c r="B4" s="16" t="s">
        <v>57</v>
      </c>
      <c r="C4" s="16" t="s">
        <v>613</v>
      </c>
      <c r="D4" s="16" t="s">
        <v>614</v>
      </c>
      <c r="E4" s="16" t="s">
        <v>615</v>
      </c>
      <c r="F4" s="16" t="s">
        <v>616</v>
      </c>
    </row>
    <row r="5" customFormat="false" ht="15" hidden="false" customHeight="true" outlineLevel="0" collapsed="false">
      <c r="A5" s="39" t="s">
        <v>190</v>
      </c>
      <c r="B5" s="39" t="s">
        <v>58</v>
      </c>
      <c r="C5" s="39" t="s">
        <v>617</v>
      </c>
      <c r="D5" s="13" t="n">
        <v>46310</v>
      </c>
      <c r="E5" s="36" t="n">
        <v>566.37</v>
      </c>
      <c r="F5" s="39" t="s">
        <v>618</v>
      </c>
    </row>
    <row r="6" customFormat="false" ht="15" hidden="false" customHeight="true" outlineLevel="0" collapsed="false">
      <c r="A6" s="39" t="s">
        <v>619</v>
      </c>
      <c r="B6" s="39" t="s">
        <v>58</v>
      </c>
      <c r="C6" s="39" t="s">
        <v>620</v>
      </c>
      <c r="D6" s="13" t="n">
        <v>46388</v>
      </c>
      <c r="E6" s="36" t="n">
        <v>604.5</v>
      </c>
      <c r="F6" s="39" t="s">
        <v>621</v>
      </c>
    </row>
    <row r="7" customFormat="false" ht="15" hidden="false" customHeight="true" outlineLevel="0" collapsed="false">
      <c r="A7" s="39" t="s">
        <v>299</v>
      </c>
      <c r="B7" s="39" t="s">
        <v>58</v>
      </c>
      <c r="C7" s="39" t="s">
        <v>622</v>
      </c>
      <c r="D7" s="13" t="n">
        <v>46371</v>
      </c>
      <c r="E7" s="36" t="n">
        <v>318.99</v>
      </c>
      <c r="F7" s="39" t="s">
        <v>623</v>
      </c>
    </row>
    <row r="8" customFormat="false" ht="15" hidden="false" customHeight="true" outlineLevel="0" collapsed="false">
      <c r="A8" s="39" t="s">
        <v>624</v>
      </c>
      <c r="B8" s="39" t="s">
        <v>58</v>
      </c>
      <c r="C8" s="39" t="s">
        <v>625</v>
      </c>
      <c r="D8" s="13" t="n">
        <v>46356</v>
      </c>
      <c r="E8" s="36" t="n">
        <v>111.6</v>
      </c>
      <c r="F8" s="39" t="s">
        <v>626</v>
      </c>
    </row>
    <row r="9" customFormat="false" ht="15" hidden="false" customHeight="true" outlineLevel="0" collapsed="false">
      <c r="A9" s="39" t="s">
        <v>627</v>
      </c>
      <c r="B9" s="39" t="s">
        <v>58</v>
      </c>
      <c r="C9" s="39" t="s">
        <v>628</v>
      </c>
      <c r="D9" s="13" t="n">
        <v>46508</v>
      </c>
      <c r="E9" s="36"/>
      <c r="F9" s="39" t="s">
        <v>629</v>
      </c>
    </row>
    <row r="10" customFormat="false" ht="15" hidden="false" customHeight="true" outlineLevel="0" collapsed="false">
      <c r="A10" s="39" t="s">
        <v>630</v>
      </c>
      <c r="B10" s="39" t="s">
        <v>58</v>
      </c>
      <c r="C10" s="39" t="s">
        <v>631</v>
      </c>
      <c r="D10" s="13" t="n">
        <v>46478</v>
      </c>
      <c r="E10" s="36" t="n">
        <v>114.39</v>
      </c>
      <c r="F10" s="39" t="s">
        <v>632</v>
      </c>
    </row>
    <row r="11" customFormat="false" ht="15" hidden="false" customHeight="true" outlineLevel="0" collapsed="false">
      <c r="A11" s="39" t="s">
        <v>633</v>
      </c>
      <c r="B11" s="39" t="s">
        <v>634</v>
      </c>
      <c r="C11" s="39" t="s">
        <v>628</v>
      </c>
      <c r="D11" s="13" t="n">
        <v>46508</v>
      </c>
      <c r="E11" s="36" t="n">
        <v>558</v>
      </c>
      <c r="F11" s="39" t="s">
        <v>635</v>
      </c>
    </row>
    <row r="12" customFormat="false" ht="15" hidden="false" customHeight="true" outlineLevel="0" collapsed="false">
      <c r="A12" s="39" t="s">
        <v>636</v>
      </c>
      <c r="B12" s="39" t="s">
        <v>634</v>
      </c>
      <c r="C12" s="39" t="s">
        <v>637</v>
      </c>
      <c r="D12" s="13" t="n">
        <v>46527</v>
      </c>
      <c r="E12" s="36"/>
      <c r="F12" s="39" t="s">
        <v>638</v>
      </c>
    </row>
    <row r="13" customFormat="false" ht="15" hidden="false" customHeight="true" outlineLevel="0" collapsed="false">
      <c r="A13" s="39" t="s">
        <v>639</v>
      </c>
      <c r="B13" s="39" t="s">
        <v>58</v>
      </c>
      <c r="C13" s="39" t="s">
        <v>640</v>
      </c>
      <c r="D13" s="13" t="n">
        <v>46675</v>
      </c>
      <c r="E13" s="36"/>
      <c r="F13" s="39" t="s">
        <v>641</v>
      </c>
    </row>
    <row r="14" customFormat="false" ht="15" hidden="false" customHeight="true" outlineLevel="0" collapsed="false">
      <c r="A14" s="39" t="s">
        <v>642</v>
      </c>
      <c r="B14" s="39" t="s">
        <v>58</v>
      </c>
      <c r="C14" s="39" t="s">
        <v>643</v>
      </c>
      <c r="D14" s="13"/>
      <c r="E14" s="36" t="n">
        <v>2064.6</v>
      </c>
      <c r="F14" s="39" t="s">
        <v>644</v>
      </c>
    </row>
    <row r="15" customFormat="false" ht="15" hidden="false" customHeight="true" outlineLevel="0" collapsed="false">
      <c r="A15" s="39" t="s">
        <v>645</v>
      </c>
      <c r="B15" s="39" t="s">
        <v>58</v>
      </c>
      <c r="C15" s="39" t="s">
        <v>646</v>
      </c>
      <c r="D15" s="13" t="n">
        <v>48945</v>
      </c>
      <c r="E15" s="36"/>
      <c r="F15" s="39" t="s">
        <v>647</v>
      </c>
    </row>
  </sheetData>
  <conditionalFormatting sqref="D5:D40">
    <cfRule type="expression" priority="2" aboveAverage="0" equalAverage="0" bottom="0" percent="0" rank="0" text="" dxfId="7">
      <formula>AND(D5&lt;&gt;"",D5&lt;=Synthèse!$C$4+30)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 min="2" style="1" width="15"/>
    <col collapsed="false" customWidth="true" hidden="false" outlineLevel="0" max="4" min="4" style="1" width="13"/>
    <col collapsed="false" customWidth="true" hidden="false" outlineLevel="0" max="5" min="5" style="1" width="15"/>
    <col collapsed="false" customWidth="true" hidden="false" outlineLevel="0" max="6" min="6" style="1" width="90"/>
  </cols>
  <sheetData>
    <row r="1" customFormat="false" ht="19.5" hidden="false" customHeight="true" outlineLevel="0" collapsed="false">
      <c r="A1" s="2" t="s">
        <v>53</v>
      </c>
    </row>
    <row r="2" customFormat="false" ht="15" hidden="false" customHeight="true" outlineLevel="0" collapsed="false">
      <c r="A2" s="3" t="s">
        <v>648</v>
      </c>
    </row>
    <row r="4" customFormat="false" ht="30" hidden="false" customHeight="true" outlineLevel="0" collapsed="false">
      <c r="A4" s="16" t="s">
        <v>649</v>
      </c>
      <c r="B4" s="16" t="s">
        <v>650</v>
      </c>
      <c r="C4" s="16" t="s">
        <v>651</v>
      </c>
      <c r="D4" s="16" t="s">
        <v>652</v>
      </c>
      <c r="E4" s="16" t="s">
        <v>653</v>
      </c>
      <c r="F4" s="16" t="s">
        <v>522</v>
      </c>
    </row>
    <row r="5" customFormat="false" ht="15" hidden="false" customHeight="true" outlineLevel="0" collapsed="false">
      <c r="A5" s="39" t="s">
        <v>654</v>
      </c>
      <c r="B5" s="21" t="n">
        <f aca="false">SUMIFS(Journal!$L$5:$L$1004,Journal!$D$5:$D$1004,"Agence")</f>
        <v>77.8100000000002</v>
      </c>
      <c r="C5" s="24" t="n">
        <v>77.81</v>
      </c>
      <c r="D5" s="21" t="n">
        <f aca="false">B5-C5</f>
        <v>0</v>
      </c>
      <c r="E5" s="9" t="str">
        <f aca="false">IF(ABS(D5)&lt;0.01,"OK",IF(ROW()&gt;=12,"Écart expliqué","À vérifier"))</f>
        <v>OK</v>
      </c>
      <c r="F5" s="67" t="s">
        <v>655</v>
      </c>
    </row>
    <row r="6" customFormat="false" ht="15" hidden="false" customHeight="true" outlineLevel="0" collapsed="false">
      <c r="A6" s="39" t="s">
        <v>656</v>
      </c>
      <c r="B6" s="48" t="n">
        <f aca="false">COUNTIF(Journal!$H$5:$H$1004,"?")</f>
        <v>0</v>
      </c>
      <c r="C6" s="41" t="n">
        <v>0</v>
      </c>
      <c r="D6" s="48" t="n">
        <f aca="false">B6-C6</f>
        <v>0</v>
      </c>
      <c r="E6" s="9" t="str">
        <f aca="false">IF(ABS(D6)&lt;0.01,"OK",IF(ROW()&gt;=12,"Écart expliqué","À vérifier"))</f>
        <v>OK</v>
      </c>
      <c r="F6" s="67" t="s">
        <v>657</v>
      </c>
    </row>
    <row r="7" customFormat="false" ht="15" hidden="false" customHeight="true" outlineLevel="0" collapsed="false">
      <c r="A7" s="39" t="s">
        <v>658</v>
      </c>
      <c r="B7" s="48" t="n">
        <f aca="false">COUNTIFS(Journal!$A$5:$A$1004,"&lt;&gt;",Journal!$E$5:$E$1004,"")</f>
        <v>0</v>
      </c>
      <c r="C7" s="41" t="n">
        <v>0</v>
      </c>
      <c r="D7" s="48" t="n">
        <f aca="false">B7-C7</f>
        <v>0</v>
      </c>
      <c r="E7" s="9" t="str">
        <f aca="false">IF(ABS(D7)&lt;0.01,"OK",IF(ROW()&gt;=12,"Écart expliqué","À vérifier"))</f>
        <v>OK</v>
      </c>
      <c r="F7" s="67" t="s">
        <v>659</v>
      </c>
    </row>
    <row r="8" customFormat="false" ht="15" hidden="false" customHeight="true" outlineLevel="0" collapsed="false">
      <c r="A8" s="39" t="s">
        <v>660</v>
      </c>
      <c r="B8" s="48" t="n">
        <f aca="false">COUNTIF(Journal!$I$5:$I$1004,"À valider")</f>
        <v>1</v>
      </c>
      <c r="C8" s="41" t="n">
        <v>0</v>
      </c>
      <c r="D8" s="48" t="n">
        <f aca="false">B8-C8</f>
        <v>1</v>
      </c>
      <c r="E8" s="9" t="str">
        <f aca="false">IF(ABS(D8)&lt;0.01,"OK",IF(ROW()&gt;=12,"Écart expliqué","À vérifier"))</f>
        <v>À vérifier</v>
      </c>
      <c r="F8" s="67" t="s">
        <v>661</v>
      </c>
    </row>
    <row r="9" customFormat="false" ht="15" hidden="false" customHeight="true" outlineLevel="0" collapsed="false">
      <c r="A9" s="39" t="s">
        <v>662</v>
      </c>
      <c r="B9" s="21" t="n">
        <f aca="false">Synthèse!D25</f>
        <v>5751.04886136987</v>
      </c>
      <c r="C9" s="24" t="n">
        <v>5751.05</v>
      </c>
      <c r="D9" s="21" t="n">
        <f aca="false">B9-C9</f>
        <v>-0.00113863013393711</v>
      </c>
      <c r="E9" s="9" t="str">
        <f aca="false">IF(ABS(D9)&lt;0.5,"OK",IF(ROW()&gt;=12,"Écart expliqué","À vérifier"))</f>
        <v>OK</v>
      </c>
      <c r="F9" s="67" t="s">
        <v>663</v>
      </c>
    </row>
    <row r="10" customFormat="false" ht="15" hidden="false" customHeight="true" outlineLevel="0" collapsed="false">
      <c r="A10" s="39" t="s">
        <v>664</v>
      </c>
      <c r="B10" s="21" t="n">
        <f aca="false">Synthèse!E25</f>
        <v>9297.33666575343</v>
      </c>
      <c r="C10" s="24" t="n">
        <v>9297.34</v>
      </c>
      <c r="D10" s="21" t="n">
        <f aca="false">B10-C10</f>
        <v>-0.0033342465703754</v>
      </c>
      <c r="E10" s="9" t="str">
        <f aca="false">IF(ABS(D10)&lt;0.5,"OK",IF(ROW()&gt;=12,"Écart expliqué","À vérifier"))</f>
        <v>OK</v>
      </c>
      <c r="F10" s="67" t="s">
        <v>665</v>
      </c>
    </row>
    <row r="11" customFormat="false" ht="15" hidden="false" customHeight="true" outlineLevel="0" collapsed="false">
      <c r="A11" s="39" t="s">
        <v>666</v>
      </c>
      <c r="B11" s="21" t="n">
        <f aca="false">Synthèse!E21+Synthèse!E22</f>
        <v>1919.72</v>
      </c>
      <c r="C11" s="24" t="n">
        <v>1919.71</v>
      </c>
      <c r="D11" s="21" t="n">
        <f aca="false">B11-C11</f>
        <v>0.00999999999999091</v>
      </c>
      <c r="E11" s="9" t="str">
        <f aca="false">IF(ABS(D11)&lt;0.01,"OK",IF(ROW()&gt;=12,"Écart expliqué","À vérifier"))</f>
        <v>OK</v>
      </c>
      <c r="F11" s="67" t="s">
        <v>667</v>
      </c>
    </row>
    <row r="12" customFormat="false" ht="15" hidden="false" customHeight="true" outlineLevel="0" collapsed="false">
      <c r="A12" s="39" t="s">
        <v>668</v>
      </c>
      <c r="B12" s="21" t="n">
        <f aca="false">Synthèse!D13</f>
        <v>8366.76</v>
      </c>
      <c r="C12" s="24" t="n">
        <v>8316</v>
      </c>
      <c r="D12" s="21" t="n">
        <f aca="false">B12-C12</f>
        <v>50.7600000000002</v>
      </c>
      <c r="E12" s="9" t="str">
        <f aca="false">IF(ABS(D12)&lt;0.01,"OK",IF(ROW()&gt;=12,"Écart expliqué","À vérifier"))</f>
        <v>Écart expliqué</v>
      </c>
      <c r="F12" s="67" t="s">
        <v>669</v>
      </c>
    </row>
    <row r="13" customFormat="false" ht="21.75" hidden="false" customHeight="true" outlineLevel="0" collapsed="false">
      <c r="A13" s="39" t="s">
        <v>670</v>
      </c>
      <c r="B13" s="21" t="n">
        <f aca="false">Synthèse!E13</f>
        <v>13703.15</v>
      </c>
      <c r="C13" s="24" t="n">
        <v>14434.33</v>
      </c>
      <c r="D13" s="21" t="n">
        <f aca="false">B13-C13</f>
        <v>-731.18</v>
      </c>
      <c r="E13" s="9" t="str">
        <f aca="false">IF(ABS(D13)&lt;0.01,"OK",IF(ROW()&gt;=12,"Écart expliqué","À vérifier"))</f>
        <v>Écart expliqué</v>
      </c>
      <c r="F13" s="67" t="s">
        <v>671</v>
      </c>
    </row>
    <row r="14" customFormat="false" ht="21.75" hidden="false" customHeight="true" outlineLevel="0" collapsed="false">
      <c r="A14" s="39" t="s">
        <v>672</v>
      </c>
      <c r="B14" s="21" t="n">
        <f aca="false">Synthèse!D23</f>
        <v>4726.86</v>
      </c>
      <c r="C14" s="24" t="n">
        <v>4399.83</v>
      </c>
      <c r="D14" s="21" t="n">
        <f aca="false">B14-C14</f>
        <v>327.030000000001</v>
      </c>
      <c r="E14" s="9" t="str">
        <f aca="false">IF(ABS(D14)&lt;0.01,"OK",IF(ROW()&gt;=12,"Écart expliqué","À vérifier"))</f>
        <v>Écart expliqué</v>
      </c>
      <c r="F14" s="67" t="s">
        <v>673</v>
      </c>
    </row>
    <row r="15" customFormat="false" ht="15" hidden="false" customHeight="true" outlineLevel="0" collapsed="false">
      <c r="A15" s="39" t="s">
        <v>674</v>
      </c>
      <c r="B15" s="21" t="n">
        <f aca="false">Synthèse!E23</f>
        <v>7020.35</v>
      </c>
      <c r="C15" s="24" t="n">
        <v>7126.6</v>
      </c>
      <c r="D15" s="21" t="n">
        <f aca="false">B15-C15</f>
        <v>-106.25</v>
      </c>
      <c r="E15" s="9" t="str">
        <f aca="false">IF(ABS(D15)&lt;0.01,"OK",IF(ROW()&gt;=12,"Écart expliqué","À vérifier"))</f>
        <v>Écart expliqué</v>
      </c>
      <c r="F15" s="67" t="s">
        <v>675</v>
      </c>
    </row>
    <row r="16" customFormat="false" ht="21.75" hidden="false" customHeight="true" outlineLevel="0" collapsed="false">
      <c r="A16" s="39" t="s">
        <v>676</v>
      </c>
      <c r="B16" s="21" t="n">
        <f aca="false">'Vendre quand'!C32</f>
        <v>182343.65</v>
      </c>
      <c r="C16" s="21" t="n">
        <f aca="false">Revente!C23</f>
        <v>182343.65</v>
      </c>
      <c r="D16" s="21" t="n">
        <f aca="false">B16-C16</f>
        <v>0</v>
      </c>
      <c r="E16" s="9" t="str">
        <f aca="false">IF(OR('Vendre quand'!C22&lt;&gt;Revente!C6,'Vendre quand'!C23&lt;&gt;Revente!C7),"Non comparable",IF(ABS(D16)&lt;1,"OK","À vérifier"))</f>
        <v>OK</v>
      </c>
      <c r="F16" s="67" t="s">
        <v>677</v>
      </c>
    </row>
  </sheetData>
  <conditionalFormatting sqref="E5:E20">
    <cfRule type="cellIs" priority="2" operator="equal" aboveAverage="0" equalAverage="0" bottom="0" percent="0" rank="0" text="" dxfId="9">
      <formula>"OK"</formula>
    </cfRule>
    <cfRule type="cellIs" priority="3" operator="equal" aboveAverage="0" equalAverage="0" bottom="0" percent="0" rank="0" text="" dxfId="7">
      <formula>"À vérifier"</formula>
    </cfRule>
    <cfRule type="cellIs" priority="4" operator="equal" aboveAverage="0" equalAverage="0" bottom="0" percent="0" rank="0" text="" dxfId="8">
      <formula>"Écart expliqué"</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20"/>
    <col collapsed="false" customWidth="true" hidden="false" outlineLevel="0" max="4" min="4" style="1" width="14"/>
    <col collapsed="false" customWidth="true" hidden="false" outlineLevel="0" max="5" min="5" style="1" width="20"/>
  </cols>
  <sheetData>
    <row r="1" customFormat="false" ht="19.5" hidden="false" customHeight="true" outlineLevel="0" collapsed="false">
      <c r="A1" s="2" t="s">
        <v>678</v>
      </c>
    </row>
    <row r="2" customFormat="false" ht="15" hidden="false" customHeight="true" outlineLevel="0" collapsed="false">
      <c r="A2" s="3" t="s">
        <v>679</v>
      </c>
    </row>
    <row r="4" customFormat="false" ht="30" hidden="false" customHeight="true" outlineLevel="0" collapsed="false">
      <c r="A4" s="16" t="s">
        <v>680</v>
      </c>
      <c r="B4" s="16" t="s">
        <v>681</v>
      </c>
      <c r="C4" s="16" t="s">
        <v>682</v>
      </c>
      <c r="D4" s="16" t="s">
        <v>118</v>
      </c>
      <c r="E4" s="16" t="s">
        <v>683</v>
      </c>
    </row>
    <row r="5" customFormat="false" ht="15" hidden="false" customHeight="true" outlineLevel="0" collapsed="false">
      <c r="A5" s="39" t="s">
        <v>148</v>
      </c>
      <c r="B5" s="39" t="s">
        <v>359</v>
      </c>
      <c r="C5" s="39" t="s">
        <v>358</v>
      </c>
      <c r="D5" s="39" t="s">
        <v>368</v>
      </c>
      <c r="E5" s="39" t="s">
        <v>369</v>
      </c>
    </row>
    <row r="6" customFormat="false" ht="15" hidden="false" customHeight="true" outlineLevel="0" collapsed="false">
      <c r="A6" s="39" t="s">
        <v>126</v>
      </c>
      <c r="B6" s="39" t="s">
        <v>684</v>
      </c>
      <c r="C6" s="39" t="s">
        <v>685</v>
      </c>
      <c r="D6" s="39" t="s">
        <v>377</v>
      </c>
      <c r="E6" s="39" t="s">
        <v>378</v>
      </c>
    </row>
    <row r="7" customFormat="false" ht="15" hidden="false" customHeight="true" outlineLevel="0" collapsed="false">
      <c r="A7" s="39" t="s">
        <v>203</v>
      </c>
      <c r="B7" s="39" t="s">
        <v>686</v>
      </c>
      <c r="C7" s="39" t="s">
        <v>687</v>
      </c>
      <c r="D7" s="39" t="s">
        <v>400</v>
      </c>
      <c r="E7" s="39" t="s">
        <v>393</v>
      </c>
    </row>
    <row r="8" customFormat="false" ht="15" hidden="false" customHeight="true" outlineLevel="0" collapsed="false">
      <c r="B8" s="39" t="s">
        <v>688</v>
      </c>
      <c r="D8" s="39" t="s">
        <v>405</v>
      </c>
      <c r="E8" s="39" t="s">
        <v>398</v>
      </c>
    </row>
    <row r="9" customFormat="false" ht="15" hidden="false" customHeight="true" outlineLevel="0" collapsed="false">
      <c r="B9" s="39" t="s">
        <v>689</v>
      </c>
      <c r="E9" s="39" t="s">
        <v>401</v>
      </c>
    </row>
    <row r="10" customFormat="false" ht="15" hidden="false" customHeight="true" outlineLevel="0" collapsed="false">
      <c r="B10" s="39" t="s">
        <v>690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2026-10-26T19:03:43Z</dcterms:created>
  <dc:creator>openpyxl</dc:creator>
  <dc:description/>
  <dc:language>en-US</dc:language>
  <cp:lastModifiedBy/>
  <dcterms:modified xsi:type="dcterms:W3CDTF">2026-10-31T17:03:17Z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